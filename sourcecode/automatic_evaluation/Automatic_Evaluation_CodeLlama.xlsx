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9"/>
  <sheetViews>
    <sheetView workbookViewId="0">
      <selection activeCell="A1" sqref="A1"/>
    </sheetView>
  </sheetViews>
  <sheetFormatPr baseColWidth="8" defaultRowHeight="15"/>
  <sheetData>
    <row r="1">
      <c r="A1" s="1" t="inlineStr">
        <is>
          <t>Repository</t>
        </is>
      </c>
      <c r="B1" s="1" t="inlineStr">
        <is>
          <t>File Name</t>
        </is>
      </c>
      <c r="C1" s="1" t="inlineStr">
        <is>
          <t>File Link</t>
        </is>
      </c>
      <c r="D1" s="1" t="inlineStr">
        <is>
          <t>Zero Summary</t>
        </is>
      </c>
      <c r="E1" s="1" t="inlineStr">
        <is>
          <t>BLEU Zero</t>
        </is>
      </c>
      <c r="F1" s="1" t="inlineStr">
        <is>
          <t>ROUGE Zero</t>
        </is>
      </c>
      <c r="G1" s="1" t="inlineStr">
        <is>
          <t>METEOR Zero</t>
        </is>
      </c>
      <c r="H1" s="1" t="inlineStr">
        <is>
          <t>Few Summary</t>
        </is>
      </c>
      <c r="I1" s="1" t="inlineStr">
        <is>
          <t>BLEU Few</t>
        </is>
      </c>
      <c r="J1" s="1" t="inlineStr">
        <is>
          <t>ROUGE Few</t>
        </is>
      </c>
      <c r="K1" s="1" t="inlineStr">
        <is>
          <t>METEOR Few</t>
        </is>
      </c>
      <c r="L1" s="1" t="inlineStr">
        <is>
          <t>Adv Summary</t>
        </is>
      </c>
      <c r="M1" s="1" t="inlineStr">
        <is>
          <t>BLEU Adv</t>
        </is>
      </c>
      <c r="N1" s="1" t="inlineStr">
        <is>
          <t>ROUGE Adv</t>
        </is>
      </c>
      <c r="O1" s="1" t="inlineStr">
        <is>
          <t>METEOR Adv</t>
        </is>
      </c>
    </row>
    <row r="2">
      <c r="A2" t="inlineStr">
        <is>
          <t>butterknife</t>
        </is>
      </c>
      <c r="B2" t="inlineStr">
        <is>
          <t>butterknife-integration-test/src/androidTestReflect/java/com/example/butterknife/functional/BindBoolFailureTest.java</t>
        </is>
      </c>
      <c r="C2">
        <f>HYPERLINK("https://github.com/JakeWharton/butterknife/blob/master/butterknife-integration-test/src/androidTestReflect/java/com/example/butterknife/functional/BindBoolFailureTest.java")</f>
        <v/>
      </c>
      <c r="D2" t="inlineStr">
        <is>
          <t>The provided code is a unit test for the `BindBool` annotation in the Butter Knife library for Android development. It tests that the `@BindBool` annotation can only be used with boolean fields and throws an exception if it's used with any other data type. The test creates a fake view tree and tries to bind a non-boolean field using the `@BindBool` annotation</t>
        </is>
      </c>
      <c r="E2" t="n">
        <v>0.0029</v>
      </c>
      <c r="F2" t="n">
        <v>0.0278</v>
      </c>
      <c r="G2" t="n">
        <v>0.0746</v>
      </c>
      <c r="H2" t="inlineStr">
        <is>
          <t>This is a Java project that uses the Butter Knife library to bind boolean values from XML layout files to fields in Android views. The `BindBool` annotation is used to indicate which fields should be bound. However, the test case fails because the field annotated with `@BindBool` has a non-boolean data type, causing the binding process to fail. The test verifies that</t>
        </is>
      </c>
      <c r="I2" t="n">
        <v>0.0029</v>
      </c>
      <c r="J2" t="n">
        <v>0.0282</v>
      </c>
      <c r="K2" t="n">
        <v>0.0746</v>
      </c>
      <c r="L2" t="inlineStr">
        <is>
          <t>The provided Java code is part of a unit test for a library called Butter Knife. It tests that when using the `@BindBool` annotation, the annotated field must have a boolean data type. If the field has any other data type, an `IllegalStateException` will be thrown with a message indicating that the field type must be boolean.</t>
        </is>
      </c>
      <c r="M2" t="n">
        <v>0</v>
      </c>
      <c r="N2" t="n">
        <v>0</v>
      </c>
      <c r="O2" t="n">
        <v>0.0388</v>
      </c>
    </row>
    <row r="3">
      <c r="A3" t="inlineStr">
        <is>
          <t>butterknife</t>
        </is>
      </c>
      <c r="B3" t="inlineStr">
        <is>
          <t>butterknife-integration-test/src/androidTestReflect/java/com/example/butterknife/functional/BindViewFailureTest.java</t>
        </is>
      </c>
      <c r="C3">
        <f>HYPERLINK("https://github.com/JakeWharton/butterknife/blob/master/butterknife-integration-test/src/androidTestReflect/java/com/example/butterknife/functional/BindViewFailureTest.java")</f>
        <v/>
      </c>
      <c r="D3" t="inlineStr">
        <is>
          <t>This is a JUnit test for the `BindView` annotation in Butter Knife, which checks that the annotated field extends from `View` or is an interface. The test creates a mock view hierarchy using the `ViewTree` class and then tries to bind a non-view object to it using the `ButterKnife.bind()` method. The test expects the</t>
        </is>
      </c>
      <c r="E3" t="n">
        <v>0.004</v>
      </c>
      <c r="F3" t="n">
        <v>0.0625</v>
      </c>
      <c r="G3" t="n">
        <v>0.119</v>
      </c>
      <c r="H3" t="inlineStr">
        <is>
          <t>This is a JUnit test that verifies the behavior of the `ButterKnife` library when binding views to objects that do not extend from `View`. The test creates a mock view tree with one node, and then attempts to bind a field in a non-view object to it using the `@BindView` annotation. The test expects the binding process to throw an exception with</t>
        </is>
      </c>
      <c r="I3" t="n">
        <v>0.0035</v>
      </c>
      <c r="J3" t="n">
        <v>0.0563</v>
      </c>
      <c r="K3" t="n">
        <v>0.1119</v>
      </c>
      <c r="L3" t="inlineStr">
        <is>
          <t>The provided code is a JUnit test that checks whether the `BindView` annotation can only be used for fields that extend from `View` or are interfaces. It uses the `ButterKnife` library to bind values to views and asserts that an exception is thrown when a field that doesn't meet these requirements is annotated with `@BindView`.</t>
        </is>
      </c>
      <c r="M3" t="n">
        <v>0.0033</v>
      </c>
      <c r="N3" t="n">
        <v>0.0312</v>
      </c>
      <c r="O3" t="n">
        <v>0.07870000000000001</v>
      </c>
    </row>
    <row r="4">
      <c r="A4" t="inlineStr">
        <is>
          <t>butterknife</t>
        </is>
      </c>
      <c r="B4" t="inlineStr">
        <is>
          <t>butterknife-integration-test/src/androidTestReflect/java/com/example/butterknife/functional/BindFloatFailureTest.java</t>
        </is>
      </c>
      <c r="C4">
        <f>HYPERLINK("https://github.com/JakeWharton/butterknife/blob/master/butterknife-integration-test/src/androidTestReflect/java/com/example/butterknife/functional/BindFloatFailureTest.java")</f>
        <v/>
      </c>
      <c r="D4" t="inlineStr">
        <is>
          <t>This is a JUnit test for the `BindFloat` annotation in the Butter Knife library. The test verifies that when using `@BindFloat`, the annotated field must have a float data type. If it does not, the test will throw an exception with a message indicating the problem.</t>
        </is>
      </c>
      <c r="E4" t="n">
        <v>0.004</v>
      </c>
      <c r="F4" t="n">
        <v>0.037</v>
      </c>
      <c r="G4" t="n">
        <v>0.0847</v>
      </c>
      <c r="H4" t="inlineStr">
        <is>
          <t>The code in this repository implements a system for binding float values to Android views using Butter Knife. It defines a `BindFloat` annotation that can be used to mark fields in classes that extend `View`. When the `ButterKnife.bind()` method is called on an instance of such a class with a view as its argument, it will attempt to set the value of</t>
        </is>
      </c>
      <c r="I4" t="n">
        <v>0.0029</v>
      </c>
      <c r="J4" t="n">
        <v>0.0563</v>
      </c>
      <c r="K4" t="n">
        <v>0.1119</v>
      </c>
      <c r="L4" t="inlineStr">
        <is>
          <t>The provided code is part of a test suite for a library called Butter Knife. It tests that the library correctly fails when attempting to bind a non-`float` value to a `@BindFloat` annotated field. The test creates a mock view hierarchy using `ViewTree`, instantiates a target object with a `@BindFloat` annotated field, and then attempts to bind the</t>
        </is>
      </c>
      <c r="M4" t="n">
        <v>0.0031</v>
      </c>
      <c r="N4" t="n">
        <v>0.0299</v>
      </c>
      <c r="O4" t="n">
        <v>0.0769</v>
      </c>
    </row>
    <row r="5">
      <c r="A5" t="inlineStr">
        <is>
          <t>butterknife</t>
        </is>
      </c>
      <c r="B5" t="inlineStr">
        <is>
          <t>butterknife-integration-test/src/androidTestReflect/java/com/example/butterknife/functional/BindAnimFailureTest.java</t>
        </is>
      </c>
      <c r="C5">
        <f>HYPERLINK("https://github.com/JakeWharton/butterknife/blob/master/butterknife-integration-test/src/androidTestReflect/java/com/example/butterknife/functional/BindAnimFailureTest.java")</f>
        <v/>
      </c>
      <c r="D5" t="inlineStr">
        <is>
          <t>The code is a unit test for a library called Butter Knife that simplifies Android view binding. It tests whether the `BindAnim` annotation can only be used on fields with types that extend `android.view.animation.Animation`. If the field does not have this type, then the test will throw an exception.</t>
        </is>
      </c>
      <c r="E5" t="n">
        <v>0</v>
      </c>
      <c r="F5" t="n">
        <v>0.0333</v>
      </c>
      <c r="G5" t="n">
        <v>0.08260000000000001</v>
      </c>
      <c r="H5" t="inlineStr">
        <is>
          <t>This is a Java test file for testing the functionality of the `BindAnim` annotation in the Butter Knife library. The test checks that when using the `@BindAnim` annotation on a non-animation object, an exception is thrown with a message indicating that the field type must be an animation. The test uses JUnit to perform unit tests and Google Truth for assertion checking. The</t>
        </is>
      </c>
      <c r="I5" t="n">
        <v>0.0038</v>
      </c>
      <c r="J5" t="n">
        <v>0.0833</v>
      </c>
      <c r="K5" t="n">
        <v>0.1111</v>
      </c>
      <c r="L5" t="inlineStr">
        <is>
          <t>The provided Java code is a unit test for the `BindAnim` annotation processor used by the Butter Knife library. It checks that the annotated field's type is indeed an Animation object. If the condition is not met, the test fails with an IllegalStateException containing a message indicating that the field type must be Animation.</t>
        </is>
      </c>
      <c r="M5" t="n">
        <v>0</v>
      </c>
      <c r="N5" t="n">
        <v>0</v>
      </c>
      <c r="O5" t="n">
        <v>0.0397</v>
      </c>
    </row>
    <row r="6">
      <c r="A6" t="inlineStr">
        <is>
          <t>butterknife</t>
        </is>
      </c>
      <c r="B6" t="inlineStr">
        <is>
          <t>butterknife-integration-test/src/androidTestReflect/java/com/example/butterknife/functional/BindStringFailureTest.java</t>
        </is>
      </c>
      <c r="C6">
        <f>HYPERLINK("https://github.com/JakeWharton/butterknife/blob/master/butterknife-integration-test/src/androidTestReflect/java/com/example/butterknife/functional/BindStringFailureTest.java")</f>
        <v/>
      </c>
      <c r="D6" t="inlineStr">
        <is>
          <t>This is a test case for the `BindString` annotation in Butter Knife, which is used to bind a string resource to a field in a view object. The test checks that the type of the annotated field must be `String`. If it is not, then an `IllegalStateException` is thrown with a message indicating the problem.</t>
        </is>
      </c>
      <c r="E6" t="n">
        <v>0.0033</v>
      </c>
      <c r="F6" t="n">
        <v>0.0317</v>
      </c>
      <c r="G6" t="n">
        <v>0.07870000000000001</v>
      </c>
      <c r="H6" t="inlineStr">
        <is>
          <t>This is a test case for the `BindString` annotation in Butter Knife, which binds a string value to a view. The test checks that the bound value has the correct type, which should be `String`. If it's not, an exception is thrown with a message indicating the problem.</t>
        </is>
      </c>
      <c r="I6" t="n">
        <v>0.0038</v>
      </c>
      <c r="J6" t="n">
        <v>0.0351</v>
      </c>
      <c r="K6" t="n">
        <v>0.0417</v>
      </c>
      <c r="L6" t="inlineStr">
        <is>
          <t>The code is a unit test for the Butter Knife library's annotation processor. It checks that when using the `@BindString` annotation, the annotated field must have a `String` type. If the field has any other type, the annotation processor will throw an exception.</t>
        </is>
      </c>
      <c r="M6" t="n">
        <v>0</v>
      </c>
      <c r="N6" t="n">
        <v>0</v>
      </c>
      <c r="O6" t="n">
        <v>0.0435</v>
      </c>
    </row>
    <row r="7">
      <c r="A7" t="inlineStr">
        <is>
          <t>butterknife</t>
        </is>
      </c>
      <c r="B7" t="inlineStr">
        <is>
          <t>butterknife-integration-test/src/androidTestReflect/java/com/example/butterknife/functional/BindDimenFailureTest.java</t>
        </is>
      </c>
      <c r="C7">
        <f>HYPERLINK("https://github.com/JakeWharton/butterknife/blob/master/butterknife-integration-test/src/androidTestReflect/java/com/example/butterknife/functional/BindDimenFailureTest.java")</f>
        <v/>
      </c>
      <c r="D7" t="inlineStr">
        <is>
          <t>The code is a unit test for a library called Butter Knife that helps developers bind values from XML layouts to Java objects. It tests whether the `BindDimen` annotation can only be used with fields of type `int` or `float`. If the field has any other type, it throws an exception.</t>
        </is>
      </c>
      <c r="E7" t="n">
        <v>0</v>
      </c>
      <c r="F7" t="n">
        <v>0</v>
      </c>
      <c r="G7" t="n">
        <v>0.0407</v>
      </c>
      <c r="H7" t="inlineStr">
        <is>
          <t>This is a Java project that uses the Butter Knife library to bind dimensions from Android views to fields in a target object. The `BindDimen` annotation is used to specify which view dimension should be bound to which field. However, the annotation only supports binding to int or float types, so if any other type is specified, an IllegalStateException will be thrown with an error</t>
        </is>
      </c>
      <c r="I7" t="n">
        <v>0.0028</v>
      </c>
      <c r="J7" t="n">
        <v>0.0274</v>
      </c>
      <c r="K7" t="n">
        <v>0.073</v>
      </c>
      <c r="L7" t="inlineStr">
        <is>
          <t>The code is a unit test for the Butter Knife library's `@BindDimen` annotation. It tests that the annotated field must have either `int` or `float` type. If the field has any other type, an exception is thrown with a message indicating that the field type must be one of these two types.</t>
        </is>
      </c>
      <c r="M7" t="n">
        <v>0</v>
      </c>
      <c r="N7" t="n">
        <v>0</v>
      </c>
      <c r="O7" t="n">
        <v>0</v>
      </c>
    </row>
    <row r="8">
      <c r="A8" t="inlineStr">
        <is>
          <t>butterknife</t>
        </is>
      </c>
      <c r="B8" t="inlineStr">
        <is>
          <t>butterknife-integration-test/src/androidTestReflect/java/com/example/butterknife/functional/BindViewsFailureTest.java</t>
        </is>
      </c>
      <c r="C8">
        <f>HYPERLINK("https://github.com/JakeWharton/butterknife/blob/master/butterknife-integration-test/src/androidTestReflect/java/com/example/butterknife/functional/BindViewsFailureTest.java")</f>
        <v/>
      </c>
      <c r="D8" t="inlineStr">
        <is>
          <t>The code is a test suite for the Butter Knife library's `@BindViews` annotation. It contains two test classes: `NoIds` and `NoGenericType`.
The `NoIds` test class has a field called `actual`, which is annotated with `@BindViews({})`. This means that no IDs are specified in the annotation, which is illegal according</t>
        </is>
      </c>
      <c r="E8" t="n">
        <v>0.0045</v>
      </c>
      <c r="F8" t="n">
        <v>0.0345</v>
      </c>
      <c r="G8" t="n">
        <v>0.08260000000000001</v>
      </c>
      <c r="H8" t="inlineStr">
        <is>
          <t>This is a Java test file that tests the behavior of the `BindViews` annotation in Butter Knife, a popular Android view binding library. The file defines several classes with different annotations to test various scenarios related to binding views.
The first class, `NoIds`, has a `@BindViews` annotation with no IDs specified, which should result in an exception being thrown when trying</t>
        </is>
      </c>
      <c r="I8" t="n">
        <v>0.003</v>
      </c>
      <c r="J8" t="n">
        <v>0.029</v>
      </c>
      <c r="K8" t="n">
        <v>0.0376</v>
      </c>
      <c r="L8" t="inlineStr">
        <is>
          <t>The code is part of a unit test for the Butter Knife library's `@BindViews` annotation. It tests that the annotation throws an exception when used without specifying any IDs. The test creates a mock view hierarchy using `ViewTree`, binds a target object to the views using `ButterKnife.bind()`, and then verifies that the expected exception was thrown.</t>
        </is>
      </c>
      <c r="M8" t="n">
        <v>0.0033</v>
      </c>
      <c r="N8" t="n">
        <v>0.0303</v>
      </c>
      <c r="O8" t="n">
        <v>0.0781</v>
      </c>
    </row>
    <row r="9">
      <c r="A9" t="inlineStr">
        <is>
          <t>butterknife</t>
        </is>
      </c>
      <c r="B9" t="inlineStr">
        <is>
          <t>butterknife-integration-test/src/androidTestReflect/java/com/example/butterknife/functional/BindArrayFailureTest.java</t>
        </is>
      </c>
      <c r="C9">
        <f>HYPERLINK("https://github.com/JakeWharton/butterknife/blob/master/butterknife-integration-test/src/androidTestReflect/java/com/example/butterknife/functional/BindArrayFailureTest.java")</f>
        <v/>
      </c>
      <c r="D9" t="inlineStr">
        <is>
          <t>This Java code is part of a unit test for the Butter Knife library's `@BindArray` annotation. It tests that when using this annotation on a `String[]`, `int[]`, `CharSequence[]`, or `android.content.res.TypedArray` field, the correct error message is thrown if the type is not supported. The test creates a mock view</t>
        </is>
      </c>
      <c r="E9" t="n">
        <v>0.0037</v>
      </c>
      <c r="F9" t="n">
        <v>0.0328</v>
      </c>
      <c r="G9" t="n">
        <v>0.08260000000000001</v>
      </c>
      <c r="H9" t="inlineStr">
        <is>
          <t>This is a Java test file for testing the functionality of the `BindArray` annotation in the Butter Knife library. The file defines a unit test named `typeMustBeSupported()` that checks if the `@BindArray` annotation can only be used with supported types such as `String[]`, `int[]`, `CharSequence[]`, or `android.content.res.</t>
        </is>
      </c>
      <c r="I9" t="n">
        <v>0.0046</v>
      </c>
      <c r="J9" t="n">
        <v>0.0702</v>
      </c>
      <c r="K9" t="n">
        <v>0.08400000000000001</v>
      </c>
      <c r="L9" t="inlineStr">
        <is>
          <t>The provided code is a unit test for the `BindArray` annotation in the Butter Knife library. It verifies that the annotation can only be used with arrays of supported types, such as `String[]`, `int[]`, `CharSequence[]`, or `android.content.res.TypedArray`. If the annotation is applied to a field of unsupported type, the</t>
        </is>
      </c>
      <c r="M9" t="n">
        <v>0</v>
      </c>
      <c r="N9" t="n">
        <v>0</v>
      </c>
      <c r="O9" t="n">
        <v>0.0413</v>
      </c>
    </row>
    <row r="10">
      <c r="A10" t="inlineStr">
        <is>
          <t>butterknife</t>
        </is>
      </c>
      <c r="B10" t="inlineStr">
        <is>
          <t>butterknife-integration-test/src/androidTestReflect/java/com/example/butterknife/functional/BindBitmapFailureTest.java</t>
        </is>
      </c>
      <c r="C10">
        <f>HYPERLINK("https://github.com/JakeWharton/butterknife/blob/master/butterknife-integration-test/src/androidTestReflect/java/com/example/butterknife/functional/BindBitmapFailureTest.java")</f>
        <v/>
      </c>
      <c r="D10" t="inlineStr">
        <is>
          <t>The provided code is a JUnit test for the `BindBitmap` annotation in the Butter Knife library. It tests that when using the `@BindBitmap` annotation on a non-`Bitmap` field, an exception should be thrown with a message indicating that the field type must be `Bitmap`.
The test creates a mock view tree with one root node, and then defines a</t>
        </is>
      </c>
      <c r="E10" t="n">
        <v>0.0031</v>
      </c>
      <c r="F10" t="n">
        <v>0.0294</v>
      </c>
      <c r="G10" t="n">
        <v>0.07630000000000001</v>
      </c>
      <c r="H10" t="inlineStr">
        <is>
          <t>This is a Java test file that uses JUnit to test the behavior of the `BindBitmap` annotation in the Butter Knife library for Android development. The test checks whether the `@BindBitmap` annotation can only be applied to fields with type `Bitmap`. If the field has any other type, it throws an exception with a specific error message.
The test creates a mock view</t>
        </is>
      </c>
      <c r="I10" t="n">
        <v>0.0029</v>
      </c>
      <c r="J10" t="n">
        <v>0.0282</v>
      </c>
      <c r="K10" t="n">
        <v>0.0741</v>
      </c>
      <c r="L10" t="inlineStr">
        <is>
          <t>The provided code is a JUnit test case that tests the functionality of the `BindBitmap` annotation from the Butter Knife library for Android development. It checks whether the bound Bitmap field has the correct type by attempting to bind a non-Bitmap object to the view tree and verifying that an IllegalStateException is thrown.</t>
        </is>
      </c>
      <c r="M10" t="n">
        <v>0.0041</v>
      </c>
      <c r="N10" t="n">
        <v>0.0645</v>
      </c>
      <c r="O10" t="n">
        <v>0.08</v>
      </c>
    </row>
    <row r="11">
      <c r="A11" t="inlineStr">
        <is>
          <t>butterknife</t>
        </is>
      </c>
      <c r="B11" t="inlineStr">
        <is>
          <t>butterknife-integration-test/src/androidTestReflect/java/com/example/butterknife/functional/BindIntFailureTest.java</t>
        </is>
      </c>
      <c r="C11">
        <f>HYPERLINK("https://github.com/JakeWharton/butterknife/blob/master/butterknife-integration-test/src/androidTestReflect/java/com/example/butterknife/functional/BindIntFailureTest.java")</f>
        <v/>
      </c>
      <c r="D11" t="inlineStr">
        <is>
          <t>This is a JUnit test that verifies the behavior of the `BindInt` annotation in the context of a view binding library called Butter Knife. The test creates a mock view hierarchy with one view, binds it to a target object using the `ButterKnife.bind()` method, and then checks that the `@BindInt` annotation on a field of the target</t>
        </is>
      </c>
      <c r="E11" t="n">
        <v>0.0038</v>
      </c>
      <c r="F11" t="n">
        <v>0.0606</v>
      </c>
      <c r="G11" t="n">
        <v>0.1163</v>
      </c>
      <c r="H11" t="inlineStr">
        <is>
          <t>The provided code is a test case for the Butter Knife library's `BindInt` annotation. It tests that when the annotated field has the wrong data type (`String`), an exception is thrown with a specific error message indicating that the field type must be `int`. The test uses JUnit to run the test cases and Google Truth for assertion checking. The code size is</t>
        </is>
      </c>
      <c r="I11" t="n">
        <v>0.0029</v>
      </c>
      <c r="J11" t="n">
        <v>0.0278</v>
      </c>
      <c r="K11" t="n">
        <v>0.0741</v>
      </c>
      <c r="L11" t="inlineStr">
        <is>
          <t>The code is a unit test for a library called Butter Knife that helps developers bind Android views to Java objects. It checks if the library's `@BindInt` annotation works correctly by attempting to bind an integer value to a string field. If the binding fails, the test should throw an exception with a specific error message indicating that the field type must be `int`.</t>
        </is>
      </c>
      <c r="M11" t="n">
        <v>0</v>
      </c>
      <c r="N11" t="n">
        <v>0</v>
      </c>
      <c r="O11" t="n">
        <v>0.0368</v>
      </c>
    </row>
    <row r="12">
      <c r="A12" t="inlineStr">
        <is>
          <t>butterknife</t>
        </is>
      </c>
      <c r="B12" t="inlineStr">
        <is>
          <t>butterknife-integration-test/src/androidTestReflect/java/com/example/butterknife/functional/BindFontFailureTest.java</t>
        </is>
      </c>
      <c r="C12">
        <f>HYPERLINK("https://github.com/JakeWharton/butterknife/blob/master/butterknife-integration-test/src/androidTestReflect/java/com/example/butterknife/functional/BindFontFailureTest.java")</f>
        <v/>
      </c>
      <c r="D12" t="inlineStr">
        <is>
          <t>The provided code is a test suite for the Butter Knife library's `@BindFont` annotation. It defines two classes with fields annotated with `@BindFont`, one of which has a valid font resource ID specified in its `style` attribute, while the other does not have a valid font resource ID specified. The test suite verifies that the `@BindFont` annotation throws an</t>
        </is>
      </c>
      <c r="E12" t="n">
        <v>0</v>
      </c>
      <c r="F12" t="n">
        <v>0</v>
      </c>
      <c r="G12" t="n">
        <v>0</v>
      </c>
      <c r="H12" t="inlineStr">
        <is>
          <t>The provided code is part of a Java project that uses the Butter Knife library to bind fonts to Android views. It defines several classes and methods related to font binding, including `BindFont`, which is used to annotate fields in a view holder class to indicate that they should be bound to a font resource. The `typeMustBeTypeface` method is called when the annotation</t>
        </is>
      </c>
      <c r="I12" t="n">
        <v>0.0029</v>
      </c>
      <c r="J12" t="n">
        <v>0.0282</v>
      </c>
      <c r="K12" t="n">
        <v>0.0741</v>
      </c>
      <c r="L12" t="inlineStr">
        <is>
          <t>The provided Java code is part of a test suite for a library called Butter Knife that simplifies Android view binding. It defines a test case named `typeMustBeTypeface` that verifies that when using the `@BindFont` annotation, the annotated field's type must be `Typeface`. If the field has any other type, an exception will be thrown at</t>
        </is>
      </c>
      <c r="M12" t="n">
        <v>0</v>
      </c>
      <c r="N12" t="n">
        <v>0</v>
      </c>
      <c r="O12" t="n">
        <v>0.0391</v>
      </c>
    </row>
    <row r="13">
      <c r="A13" t="inlineStr">
        <is>
          <t>butterknife</t>
        </is>
      </c>
      <c r="B13" t="inlineStr">
        <is>
          <t>butterknife-integration-test/src/androidTestReflect/java/com/example/butterknife/functional/BindColorFailureTest.java</t>
        </is>
      </c>
      <c r="C13">
        <f>HYPERLINK("https://github.com/JakeWharton/butterknife/blob/master/butterknife-integration-test/src/androidTestReflect/java/com/example/butterknife/functional/BindColorFailureTest.java")</f>
        <v/>
      </c>
      <c r="D13" t="inlineStr">
        <is>
          <t>The code defines a test case for the `BindColor` annotation in Butter Knife library. It creates a view tree using the `ViewTree` class and binds it to a `Target` object that has a `@BindColor` annotated field with a value of `String`. The test verifies that the binding fails because the field type is not `int` or `Color</t>
        </is>
      </c>
      <c r="E13" t="n">
        <v>0.0032</v>
      </c>
      <c r="F13" t="n">
        <v>0.0308</v>
      </c>
      <c r="G13" t="n">
        <v>0.0775</v>
      </c>
      <c r="H13" t="inlineStr">
        <is>
          <t>This is a test file for a Java program that uses the Butter Knife library to bind colors to views in Android applications. The `BindColor` annotation is used to specify which color should be bound to each view, and the `typeMustBeIntOrColorStateList` method tests that this annotation is correctly applied by throwing an exception if the bound value is not an integer or</t>
        </is>
      </c>
      <c r="I13" t="n">
        <v>0.0035</v>
      </c>
      <c r="J13" t="n">
        <v>0.0571</v>
      </c>
      <c r="K13" t="n">
        <v>0.1119</v>
      </c>
      <c r="L13" t="inlineStr">
        <is>
          <t>The provided code is a unit test for the Butter Knife library, specifically testing that the `@BindColor` annotation can only be applied to fields of type `int` or `ColorStateList`. The test creates a mock view hierarchy using the `ViewTree` class from the Android SDK, then defines a simple data structure called `Target` with a single field annotated with `@Bind</t>
        </is>
      </c>
      <c r="M13" t="n">
        <v>0</v>
      </c>
      <c r="N13" t="n">
        <v>0</v>
      </c>
      <c r="O13" t="n">
        <v>0.0382</v>
      </c>
    </row>
    <row r="14">
      <c r="A14" t="inlineStr">
        <is>
          <t>butterknife</t>
        </is>
      </c>
      <c r="B14" t="inlineStr">
        <is>
          <t>butterknife-integration-test/src/androidTestReflect/java/com/example/butterknife/functional/BindDrawableFailureTest.java</t>
        </is>
      </c>
      <c r="C14">
        <f>HYPERLINK("https://github.com/JakeWharton/butterknife/blob/master/butterknife-integration-test/src/androidTestReflect/java/com/example/butterknife/functional/BindDrawableFailureTest.java")</f>
        <v/>
      </c>
      <c r="D14" t="inlineStr">
        <is>
          <t>The code is a unit test for the `BindDrawable` annotation in the Butter Knife library. It tests that when a `@BindDrawable` annotated field has its type set to something other than `Drawable`, an `IllegalStateException` is thrown with a message indicating that the type must be `Drawable`. The test creates a mock view hierarchy using the `ViewTree` class</t>
        </is>
      </c>
      <c r="E14" t="n">
        <v>0</v>
      </c>
      <c r="F14" t="n">
        <v>0</v>
      </c>
      <c r="G14" t="n">
        <v>0.0388</v>
      </c>
      <c r="H14" t="inlineStr">
        <is>
          <t>This is a Java test file for testing the behavior of the `BindDrawable` annotation in the Butter Knife library. The file defines a `BindDrawableFailureTest` class that tests whether the `@BindDrawable` annotation correctly throws an exception when used with non-drawable types. It creates a view tree using the `ViewTree` class from the Android SDK, binds it to a</t>
        </is>
      </c>
      <c r="I14" t="n">
        <v>0.0032</v>
      </c>
      <c r="J14" t="n">
        <v>0.0303</v>
      </c>
      <c r="K14" t="n">
        <v>0.0775</v>
      </c>
      <c r="L14" t="inlineStr">
        <is>
          <t>The given code is a unit test for the Butter Knife library's `BindDrawable` annotation processor. It checks that the annotated field has the correct type (`Drawable`) and throws an exception if it doesn't.</t>
        </is>
      </c>
      <c r="M14" t="n">
        <v>0.0056</v>
      </c>
      <c r="N14" t="n">
        <v>0.0465</v>
      </c>
      <c r="O14" t="n">
        <v>0.0476</v>
      </c>
    </row>
    <row r="15">
      <c r="A15" t="inlineStr">
        <is>
          <t>butterknife</t>
        </is>
      </c>
      <c r="B15" t="inlineStr">
        <is>
          <t>butterknife-integration-test/src/main/java/com/example/butterknife/SimpleApp.java</t>
        </is>
      </c>
      <c r="C15">
        <f>HYPERLINK("https://github.com/JakeWharton/butterknife/blob/master/butterknife-integration-test/src/main/java/com/example/butterknife/SimpleApp.java")</f>
        <v/>
      </c>
      <c r="D15" t="inlineStr">
        <is>
          <t>The provided code is a Java file that defines a simple Android application called "SimpleApp". It extends the `Application` class and overrides the `onCreate()` method to set up some basic configuration for the app. Specifically, it sets the debug mode using the `ButterKnife.setDebug()` method based on the value of the `BuildConfig.DEBUG` constant. This allows</t>
        </is>
      </c>
      <c r="E15" t="n">
        <v>0.004</v>
      </c>
      <c r="F15" t="n">
        <v>0.0312</v>
      </c>
      <c r="G15" t="n">
        <v>0.119</v>
      </c>
      <c r="H15" t="inlineStr">
        <is>
          <t>This is an Android application that uses the Butter Knife library to simplify the process of working with views in Java. The `SimpleApp` class extends the `Application` class and overrides its `onCreate()` method to set the debug mode for Butter Knife based on the value of the `BuildConfig.DEBUG` constant.</t>
        </is>
      </c>
      <c r="I15" t="n">
        <v>0.0045</v>
      </c>
      <c r="J15" t="n">
        <v>0.06900000000000001</v>
      </c>
      <c r="K15" t="n">
        <v>0.124</v>
      </c>
      <c r="L15" t="inlineStr">
        <is>
          <t>The provided code is a Java class named "SimpleApp" that extends Android's "Application" class. It overrides the "onCreate()" method and sets up Butter Knife for debugging purposes based on the value of BuildConfig.DEBUG.</t>
        </is>
      </c>
      <c r="M15" t="n">
        <v>0.0056</v>
      </c>
      <c r="N15" t="n">
        <v>0.0465</v>
      </c>
      <c r="O15" t="n">
        <v>0.0476</v>
      </c>
    </row>
    <row r="16">
      <c r="A16" t="inlineStr">
        <is>
          <t>butterknife</t>
        </is>
      </c>
      <c r="B16" t="inlineStr">
        <is>
          <t>butterknife-integration-test/src/main/java/com/example/butterknife/unbinder/D.java</t>
        </is>
      </c>
      <c r="C16">
        <f>HYPERLINK("https://github.com/JakeWharton/butterknife/blob/master/butterknife-integration-test/src/main/java/com/example/butterknife/unbinder/D.java")</f>
        <v/>
      </c>
      <c r="D16" t="inlineStr">
        <is>
          <t>The provided code is a Java file that defines a class named `D` which extends another class named `C`. It uses the Butter Knife library to bind colors from the Android framework to instance variables in the `D` class. Specifically, it binds the color resource `android.R.color.darker_gray` to an integer variable named `grayColor`. The constructor</t>
        </is>
      </c>
      <c r="E16" t="n">
        <v>0</v>
      </c>
      <c r="F16" t="n">
        <v>0</v>
      </c>
      <c r="G16" t="n">
        <v>0.0397</v>
      </c>
      <c r="H16" t="inlineStr">
        <is>
          <t>This is a Java package named "com.example.butterknife.unbinder" that provides a class called "D". The class "D" extends another class called "C", which in turn implements a method called "bind". The "bind" method takes a View object as its parameter and binds it to the current instance of the "D" class using the But</t>
        </is>
      </c>
      <c r="I16" t="n">
        <v>0.0045</v>
      </c>
      <c r="J16" t="n">
        <v>0.09379999999999999</v>
      </c>
      <c r="K16" t="n">
        <v>0.16</v>
      </c>
      <c r="L16" t="inlineStr">
        <is>
          <t>The code defines a custom View component called "D" that inherits from another custom View component called "C". It uses the Butter Knife library for binding colors to views. The color used is defined as a field variable named "grayColor", which is annotated using the `@BindColor` annotation from the Butter Knife library. The constructor takes a `View` object as</t>
        </is>
      </c>
      <c r="M16" t="n">
        <v>0</v>
      </c>
      <c r="N16" t="n">
        <v>0</v>
      </c>
      <c r="O16" t="n">
        <v>0.0382</v>
      </c>
    </row>
    <row r="17">
      <c r="A17" t="inlineStr">
        <is>
          <t>butterknife</t>
        </is>
      </c>
      <c r="B17" t="inlineStr">
        <is>
          <t>butterknife-integration-test/src/main/java/com/example/butterknife/unbinder/E.java</t>
        </is>
      </c>
      <c r="C17">
        <f>HYPERLINK("https://github.com/JakeWharton/butterknife/blob/master/butterknife-integration-test/src/main/java/com/example/butterknife/unbinder/E.java")</f>
        <v/>
      </c>
      <c r="D17" t="inlineStr">
        <is>
          <t>This is a Java file that defines a subclass of `C` called `E`. It uses the `ButterKnife` library to bind color resources from the Android framework to fields in the class. The `@BindColor` annotation is used to specify which colors should be bound, and the `@ColorInt` annotation is used to indicate that the field should contain an integer value representing a</t>
        </is>
      </c>
      <c r="E17" t="n">
        <v>0.0036</v>
      </c>
      <c r="F17" t="n">
        <v>0.058</v>
      </c>
      <c r="G17" t="n">
        <v>0.1128</v>
      </c>
      <c r="H17" t="inlineStr">
        <is>
          <t>This is a Java Android project that uses the Butter Knife library to bind colors from the Android framework to fields in a custom View subclass. The `E` class inherits from `C`, which represents a custom View, and has a single field annotated with `@BindColor`. When the `E` object is created, its constructor calls `ButterKnife.bind()`</t>
        </is>
      </c>
      <c r="I17" t="n">
        <v>0.004</v>
      </c>
      <c r="J17" t="n">
        <v>0.0625</v>
      </c>
      <c r="K17" t="n">
        <v>0.1181</v>
      </c>
      <c r="L17" t="inlineStr">
        <is>
          <t>The provided code defines a Java class named `E` that extends another class named `C`. It uses the Butter Knife library to bind colors from Android's built-in color resources to instance variables. Specifically, it binds the `background_dark` color resource to an integer variable annotated with `@ColorInt`. The constructor takes a `View` object as input and calls</t>
        </is>
      </c>
      <c r="M17" t="n">
        <v>0.0033</v>
      </c>
      <c r="N17" t="n">
        <v>0.0299</v>
      </c>
      <c r="O17" t="n">
        <v>0.0781</v>
      </c>
    </row>
    <row r="18">
      <c r="A18" t="inlineStr">
        <is>
          <t>butterknife</t>
        </is>
      </c>
      <c r="B18" t="inlineStr">
        <is>
          <t>butterknife-integration-test/src/main/java/com/example/butterknife/unbinder/C.java</t>
        </is>
      </c>
      <c r="C18">
        <f>HYPERLINK("https://github.com/JakeWharton/butterknife/blob/master/butterknife-integration-test/src/main/java/com/example/butterknife/unbinder/C.java")</f>
        <v/>
      </c>
      <c r="D18" t="inlineStr">
        <is>
          <t>The code is a Java class named `C` that extends another class called `B`. It uses the Butter Knife library to bind color resources and views to its fields. Specifically, it has two fields:
* `@BindColor(android.R.color.transparent) @ColorInt int transparentColor;` - This field binds the Android system's "transparent</t>
        </is>
      </c>
      <c r="E18" t="n">
        <v>0.0046</v>
      </c>
      <c r="F18" t="n">
        <v>0.0345</v>
      </c>
      <c r="G18" t="n">
        <v>0.1261</v>
      </c>
      <c r="H18" t="inlineStr">
        <is>
          <t>The provided code is part of a Java Android application that uses the Butter Knife library to bind colors and views to objects in memory. The `C` class inherits from `B`, which is also a subclass of `Object`. It has two instance variables: `@BindColor(android.R.color.transparent) @ColorInt int transparentColor;` and `@BindView(</t>
        </is>
      </c>
      <c r="I18" t="n">
        <v>0.0037</v>
      </c>
      <c r="J18" t="n">
        <v>0.0328</v>
      </c>
      <c r="K18" t="n">
        <v>0.08260000000000001</v>
      </c>
      <c r="L18" t="inlineStr">
        <is>
          <t>The provided code is part of a Java Android project using the Butter Knife library for data binding. It defines a custom component called "C" that inherits from another component named "B". The "C" component has two fields annotated with the "@BindColor" and "@BindView" annotations, respectively, which indicate that they should be bound to specific colors and views in the</t>
        </is>
      </c>
      <c r="M18" t="n">
        <v>0.003</v>
      </c>
      <c r="N18" t="n">
        <v>0.0294</v>
      </c>
      <c r="O18" t="n">
        <v>0.07580000000000001</v>
      </c>
    </row>
    <row r="19">
      <c r="A19" t="inlineStr">
        <is>
          <t>butterknife</t>
        </is>
      </c>
      <c r="B19" t="inlineStr">
        <is>
          <t>butterknife-integration-test/src/main/java/com/example/butterknife/unbinder/F.java</t>
        </is>
      </c>
      <c r="C19">
        <f>HYPERLINK("https://github.com/JakeWharton/butterknife/blob/master/butterknife-integration-test/src/main/java/com/example/butterknife/unbinder/F.java")</f>
        <v/>
      </c>
      <c r="D19" t="inlineStr">
        <is>
          <t>This is a Java file that defines a class called `F` which extends another class called `D`. The `F` class has one field annotated with `@BindColor`, which is used to bind a color value from the Android framework's resource file to a variable in the `F` class. The constructor for `F` takes a `View` object as its argument and uses</t>
        </is>
      </c>
      <c r="E19" t="n">
        <v>0.0036</v>
      </c>
      <c r="F19" t="n">
        <v>0.058</v>
      </c>
      <c r="G19" t="n">
        <v>0.1136</v>
      </c>
      <c r="H19" t="inlineStr">
        <is>
          <t>This is a Java file that defines a class named `F` which extends another class named `D`. The `F` class has one field annotated with `@BindColor`, which is an annotation from the `butterknife` library used for data binding in Android applications. The field is initialized with a color value obtained from the Android framework's resource system using the `android.</t>
        </is>
      </c>
      <c r="I19" t="n">
        <v>0.0031</v>
      </c>
      <c r="J19" t="n">
        <v>0.0294</v>
      </c>
      <c r="K19" t="n">
        <v>0.07630000000000001</v>
      </c>
      <c r="L19" t="inlineStr">
        <is>
          <t>The provided code defines a custom View subclass called "F" that inherits from another custom View subclass called "D". It uses the Butter Knife library to bind color resources to instance variables. Specifically, it binds the Android system's "background_light" color resource to an integer variable annotated with the "@ColorInt" annotation. The constructor takes a View object as a</t>
        </is>
      </c>
      <c r="M19" t="n">
        <v>0</v>
      </c>
      <c r="N19" t="n">
        <v>0</v>
      </c>
      <c r="O19" t="n">
        <v>0.0385</v>
      </c>
    </row>
    <row r="20">
      <c r="A20" t="inlineStr">
        <is>
          <t>butterknife</t>
        </is>
      </c>
      <c r="B20" t="inlineStr">
        <is>
          <t>butterknife-integration-test/src/main/java/com/example/butterknife/unbinder/H.java</t>
        </is>
      </c>
      <c r="C20">
        <f>HYPERLINK("https://github.com/JakeWharton/butterknife/blob/master/butterknife-integration-test/src/main/java/com/example/butterknife/unbinder/H.java")</f>
        <v/>
      </c>
      <c r="D20" t="inlineStr">
        <is>
          <t>This is a Java class named `H` that inherits from another class called `G`. It has two fields annotated with `@BindColor` and `@BindView`, which are used to bind colors and views in the Android UI. The constructor takes a `View` object as a parameter and calls `ButterKnife.bind()` on it to perform the binding.</t>
        </is>
      </c>
      <c r="E20" t="n">
        <v>0.0041</v>
      </c>
      <c r="F20" t="n">
        <v>0.0645</v>
      </c>
      <c r="G20" t="n">
        <v>0.12</v>
      </c>
      <c r="H20" t="inlineStr">
        <is>
          <t>This is a Java file that defines a class called `H` which extends another class called `G`. The class has two fields: `@BindColor(android.R.color.holo_green_dark)` annotated with `@ColorInt`, and `@BindView(android.R.id.button3)` annotated with `@View`. It also has a constructor that takes in</t>
        </is>
      </c>
      <c r="I20" t="n">
        <v>0.0056</v>
      </c>
      <c r="J20" t="n">
        <v>0.0702</v>
      </c>
      <c r="K20" t="n">
        <v>0.0901</v>
      </c>
      <c r="L20" t="inlineStr">
        <is>
          <t>The provided code defines a subclass called "H" that inherits from another class called "G". It uses the Butter Knife library to bind colors and views to the subclass's fields. Specifically, it binds the color resource `android.R.color.holo_green_dark` to a field named `holoGreenDark`, and binds the view with</t>
        </is>
      </c>
      <c r="M20" t="n">
        <v>0.0039</v>
      </c>
      <c r="N20" t="n">
        <v>0.0328</v>
      </c>
      <c r="O20" t="n">
        <v>0.08400000000000001</v>
      </c>
    </row>
    <row r="21">
      <c r="A21" t="inlineStr">
        <is>
          <t>butterknife</t>
        </is>
      </c>
      <c r="B21" t="inlineStr">
        <is>
          <t>butterknife-integration-test/src/main/java/com/example/butterknife/unbinder/G.java</t>
        </is>
      </c>
      <c r="C21">
        <f>HYPERLINK("https://github.com/JakeWharton/butterknife/blob/master/butterknife-integration-test/src/main/java/com/example/butterknife/unbinder/G.java")</f>
        <v/>
      </c>
      <c r="D21" t="inlineStr">
        <is>
          <t>This is a Java class named `G` that extends another class called `E`. It uses the Butter Knife library to bind views and colors to variables in the constructor. The `@BindColor` annotation is used to bind a color resource (in this case, `darker_gray`) to a variable annotated with `@ColorInt`, while `@BindView` is used to bind</t>
        </is>
      </c>
      <c r="E21" t="n">
        <v>0.004</v>
      </c>
      <c r="F21" t="n">
        <v>0.0625</v>
      </c>
      <c r="G21" t="n">
        <v>0.1181</v>
      </c>
      <c r="H21" t="inlineStr">
        <is>
          <t>This is Java code for a class named "G" that extends another class called "E". It uses the Butter Knife library to bind colors and views to fields in the class. The class has one constructor that takes a single parameter of type `View`, which it calls its `super` constructor with. It also defines a method called `onClick()` that is annotated with `@</t>
        </is>
      </c>
      <c r="I21" t="n">
        <v>0.0034</v>
      </c>
      <c r="J21" t="n">
        <v>0.0571</v>
      </c>
      <c r="K21" t="n">
        <v>0.1111</v>
      </c>
      <c r="L21" t="inlineStr">
        <is>
          <t>The provided code is part of a Java Android application that uses the Butter Knife library for binding views and colors to objects. It defines a custom view called `G` that inherits from another custom view called `E`. The `G` view has two bindings: one for a color resource named `darker_gray`, which is bound to an integer variable annotated with `@</t>
        </is>
      </c>
      <c r="M21" t="n">
        <v>0.003</v>
      </c>
      <c r="N21" t="n">
        <v>0.029</v>
      </c>
      <c r="O21" t="n">
        <v>0.0752</v>
      </c>
    </row>
    <row r="22">
      <c r="A22" t="inlineStr">
        <is>
          <t>butterknife</t>
        </is>
      </c>
      <c r="B22" t="inlineStr">
        <is>
          <t>butterknife-integration-test/src/main/java/com/example/butterknife/unbinder/A.java</t>
        </is>
      </c>
      <c r="C22">
        <f>HYPERLINK("https://github.com/JakeWharton/butterknife/blob/master/butterknife-integration-test/src/main/java/com/example/butterknife/unbinder/A.java")</f>
        <v/>
      </c>
      <c r="D22" t="inlineStr">
        <is>
          <t>The code is a Java class named `A` that uses the Butter Knife library to bind colors from Android resources to instance variables. It has one constructor that takes in a View object as its parameter and calls the `ButterKnife.bind()` method with this object and itself as arguments. This binding process allows for the automatic injection of values into the instance variables annotated with</t>
        </is>
      </c>
      <c r="E22" t="n">
        <v>0.0034</v>
      </c>
      <c r="F22" t="n">
        <v>0.0548</v>
      </c>
      <c r="G22" t="n">
        <v>0.1103</v>
      </c>
      <c r="H22" t="inlineStr">
        <is>
          <t>This is a Java package named "com.example.butterknife.unbinder" that contains a single file named "A.java". The file defines a class named "A" which has one field annotated with the "@BindColor" annotation from the "butterknife" library. The field is also marked as "@ColorInt", indicating that it should be used</t>
        </is>
      </c>
      <c r="I22" t="n">
        <v>0.0039</v>
      </c>
      <c r="J22" t="n">
        <v>0.0339</v>
      </c>
      <c r="K22" t="n">
        <v>0.08400000000000001</v>
      </c>
      <c r="L22" t="inlineStr">
        <is>
          <t>The provided code defines a Java class named `A` that uses the Butter Knife library to bind colors from Android resources to instance variables. Specifically, the `@BindColor` annotation is used to bind the color resource `android.R.color.black` to an integer variable named `blackColor`. The constructor takes a `View` object as input and calls the `ButterK</t>
        </is>
      </c>
      <c r="M22" t="n">
        <v>0.0034</v>
      </c>
      <c r="N22" t="n">
        <v>0.0308</v>
      </c>
      <c r="O22" t="n">
        <v>0.0794</v>
      </c>
    </row>
    <row r="23">
      <c r="A23" t="inlineStr">
        <is>
          <t>butterknife</t>
        </is>
      </c>
      <c r="B23" t="inlineStr">
        <is>
          <t>butterknife-integration-test/src/main/java/com/example/butterknife/unbinder/B.java</t>
        </is>
      </c>
      <c r="C23">
        <f>HYPERLINK("https://github.com/JakeWharton/butterknife/blob/master/butterknife-integration-test/src/main/java/com/example/butterknife/unbinder/B.java")</f>
        <v/>
      </c>
      <c r="D23" t="inlineStr">
        <is>
          <t>This is a Java file that defines a subclass of a class called `A` named `B`. The file imports two packages: `com.example.butterknife.unbinder`, which appears to be related to the use of the Butter Knife library for data binding, and `androidx.annotation`, which provides annotations used in Android development.
The `B</t>
        </is>
      </c>
      <c r="E23" t="n">
        <v>0.0045</v>
      </c>
      <c r="F23" t="n">
        <v>0.06560000000000001</v>
      </c>
      <c r="G23" t="n">
        <v>0.124</v>
      </c>
      <c r="H23" t="inlineStr">
        <is>
          <t>This is a Java file that defines a class called `B` which extends another class called `A`. The `B` class has one field, `@BindColor(android.R.color.white) @ColorInt int whiteColor`, which is annotated with the `BindColor` annotation from the `butterknife` library. It also has a constructor that takes a `</t>
        </is>
      </c>
      <c r="I23" t="n">
        <v>0.0039</v>
      </c>
      <c r="J23" t="n">
        <v>0.0345</v>
      </c>
      <c r="K23" t="n">
        <v>0.042</v>
      </c>
      <c r="L23" t="inlineStr">
        <is>
          <t>The provided code is part of a Java Android application that utilizes the Butter Knife library for binding colors to views. The `B` class inherits from the `A` class and has one field annotated with `@BindColor`, which binds the color resource ID `android.R.color.white` to a private integer variable named `whiteColor`. The constructor takes a</t>
        </is>
      </c>
      <c r="M23" t="n">
        <v>0.0034</v>
      </c>
      <c r="N23" t="n">
        <v>0.0308</v>
      </c>
      <c r="O23" t="n">
        <v>0.0794</v>
      </c>
    </row>
    <row r="24">
      <c r="A24" t="inlineStr">
        <is>
          <t>butterknife</t>
        </is>
      </c>
      <c r="B24" t="inlineStr">
        <is>
          <t>butterknife-integration-test/src/main/java/com/example/butterknife/library/SimpleActivity.java</t>
        </is>
      </c>
      <c r="C24">
        <f>HYPERLINK("https://github.com/JakeWharton/butterknife/blob/master/butterknife-integration-test/src/main/java/com/example/butterknife/library/SimpleActivity.java")</f>
        <v/>
      </c>
      <c r="D24" t="inlineStr">
        <is>
          <t>This is a Java file that defines a simple activity with various UI elements such as buttons, text views, and list views. It uses Butter Knife to bind these elements to variables in the activity's scope for easier access and manipulation. The activity also has several methods annotated with different Butter Knife annotations, including `@OnClick`, which specifies a method to be called</t>
        </is>
      </c>
      <c r="E24" t="n">
        <v>0.0035</v>
      </c>
      <c r="F24" t="n">
        <v>0.0563</v>
      </c>
      <c r="G24" t="n">
        <v>0.1119</v>
      </c>
      <c r="H24" t="inlineStr">
        <is>
          <t>This is a Java Android project that uses Butter Knife to bind views in an activity. The `SimpleActivity` class has several methods annotated with various Butter Knife annotations such as `@BindView`, `@BindViews`, `@OnClick`, `@OnItemClick`, and `@OnLongClick`. These annotations allow for binding specific views or collections of views to variables, setting listeners</t>
        </is>
      </c>
      <c r="I24" t="n">
        <v>0.0043</v>
      </c>
      <c r="J24" t="n">
        <v>0.0678</v>
      </c>
      <c r="K24" t="n">
        <v>0.122</v>
      </c>
      <c r="L24" t="inlineStr">
        <is>
          <t>The code is for a simple Android activity that uses Butter Knife library to bind views and perform actions when buttons are clicked. It includes several annotations such as @BindView, @BindStrings, @BindViews, @OnClick, @OnItemClick, and @OnLongClick. The code also imports various classes from the Android framework, such as Activity, Bundle, View, Toast</t>
        </is>
      </c>
      <c r="M24" t="n">
        <v>0.0035</v>
      </c>
      <c r="N24" t="n">
        <v>0.0333</v>
      </c>
      <c r="O24" t="n">
        <v>0.0806</v>
      </c>
    </row>
    <row r="25">
      <c r="A25" t="inlineStr">
        <is>
          <t>butterknife</t>
        </is>
      </c>
      <c r="B25" t="inlineStr">
        <is>
          <t>butterknife-integration-test/src/main/java/com/example/butterknife/library/SimpleAdapter.java</t>
        </is>
      </c>
      <c r="C25">
        <f>HYPERLINK("https://github.com/JakeWharton/butterknife/blob/master/butterknife-integration-test/src/main/java/com/example/butterknife/library/SimpleAdapter.java")</f>
        <v/>
      </c>
      <c r="D25" t="inlineStr">
        <is>
          <t>This is a Java file that defines a custom adapter for a list view in Android. The adapter uses Butter Knife to bind views to objects, which allows for more efficient and readable code. The `SimpleAdapter` class has several methods that override those of the `BaseAdapter` class, including `getCount()`, `getItem()`, `getItemId()`, and `getView()`. These</t>
        </is>
      </c>
      <c r="E25" t="n">
        <v>0.004</v>
      </c>
      <c r="F25" t="n">
        <v>0.0645</v>
      </c>
      <c r="G25" t="n">
        <v>0.119</v>
      </c>
      <c r="H25" t="inlineStr">
        <is>
          <t>This is a Java file that defines a custom adapter for use in Android applications. The `SimpleAdapter` class extends the `BaseAdapter` class and provides a way to display data from an array of strings in a list view. It uses Butter Knife library to bind views to the layout.
Here's a high-level overview of how it works:
*</t>
        </is>
      </c>
      <c r="I25" t="n">
        <v>0.0037</v>
      </c>
      <c r="J25" t="n">
        <v>0.0597</v>
      </c>
      <c r="K25" t="n">
        <v>0.1154</v>
      </c>
      <c r="L25" t="inlineStr">
        <is>
          <t>The provided code is part of a Java library for Android development that utilizes Butter Knife, a dependency injection tool, to bind views to fields in a more efficient manner. The library provides a custom adapter implementation called `SimpleAdapter` that inflates layouts using a `LayoutInflater`, binds views to fields using Butter Knife, and sets text values for each item in the list</t>
        </is>
      </c>
      <c r="M25" t="n">
        <v>0.0029</v>
      </c>
      <c r="N25" t="n">
        <v>0.0571</v>
      </c>
      <c r="O25" t="n">
        <v>0.1119</v>
      </c>
    </row>
    <row r="26">
      <c r="A26" t="inlineStr">
        <is>
          <t>butterknife</t>
        </is>
      </c>
      <c r="B26" t="inlineStr">
        <is>
          <t>butterknife-integration-test/src/androidTest/java/com/example/butterknife/functional/BindFontTest.java</t>
        </is>
      </c>
      <c r="C26">
        <f>HYPERLINK("https://github.com/JakeWharton/butterknife/blob/master/butterknife-integration-test/src/androidTest/java/com/example/butterknife/functional/BindFontTest.java")</f>
        <v/>
      </c>
      <c r="D26" t="inlineStr">
        <is>
          <t>The provided code is a JUnit test for Butter Knife's `@BindFont` annotation. It creates a `TargetTypeface` object with a field annotated with `@BindFont`, which will be set to the font resource specified in the `R.font.inconsolata_regular` ID. The test then checks that the value of the `actual` field matches</t>
        </is>
      </c>
      <c r="E26" t="n">
        <v>0</v>
      </c>
      <c r="F26" t="n">
        <v>0</v>
      </c>
      <c r="G26" t="n">
        <v>0</v>
      </c>
      <c r="H26" t="inlineStr">
        <is>
          <t>This is a Java test file that uses Butter Knife to bind fonts from resources to views in an Android app. The `BindFont` annotation is used to specify which font resource should be bound to a view's typeface property. The `TargetTypeface` class has a field annotated with `@BindFont`, which will have its value set by Butter Knife when the</t>
        </is>
      </c>
      <c r="I26" t="n">
        <v>0.0031</v>
      </c>
      <c r="J26" t="n">
        <v>0.0294</v>
      </c>
      <c r="K26" t="n">
        <v>0.07630000000000001</v>
      </c>
      <c r="L26" t="inlineStr">
        <is>
          <t>The code defines a test for Butter Knife's `BindFont` annotation, which is used to bind a font resource to a view. It creates a `TargetTypeface` object that has a field annotated with `@BindFont`, which will be set to the font resource defined by `R.font.inconsolata_regular`. The test then retrieves the value</t>
        </is>
      </c>
      <c r="M26" t="n">
        <v>0</v>
      </c>
      <c r="N26" t="n">
        <v>0</v>
      </c>
      <c r="O26" t="n">
        <v>0.041</v>
      </c>
    </row>
    <row r="27">
      <c r="A27" t="inlineStr">
        <is>
          <t>butterknife</t>
        </is>
      </c>
      <c r="B27" t="inlineStr">
        <is>
          <t>butterknife-integration-test/src/androidTest/java/com/example/butterknife/functional/BindDrawableTest.java</t>
        </is>
      </c>
      <c r="C27">
        <f>HYPERLINK("https://github.com/JakeWharton/butterknife/blob/master/butterknife-integration-test/src/androidTest/java/com/example/butterknife/functional/BindDrawableTest.java")</f>
        <v/>
      </c>
      <c r="D27" t="inlineStr">
        <is>
          <t>The provided code is a Java file containing unit tests for the `BindDrawable` annotation in the Butter Knife library. It defines a test class named `BindDrawableTest`, which has a single method called `asDrawable`. This method creates a new instance of the `Target` class, binds it to a view using Butter Knife's `bind()` method, and then</t>
        </is>
      </c>
      <c r="E27" t="n">
        <v>0.004</v>
      </c>
      <c r="F27" t="n">
        <v>0.0625</v>
      </c>
      <c r="G27" t="n">
        <v>0.1181</v>
      </c>
      <c r="H27" t="inlineStr">
        <is>
          <t>This is a Java project that uses the Butter Knife library to bind drawables to views in Android applications. The `BindDrawable` annotation is used to specify which drawable should be bound to a view, while the `ButterKnife` class provides methods for binding and unbinding drawables from views. The `Target` class is used to hold the bound drawable.</t>
        </is>
      </c>
      <c r="I27" t="n">
        <v>0.0038</v>
      </c>
      <c r="J27" t="n">
        <v>0.0615</v>
      </c>
      <c r="K27" t="n">
        <v>0.1163</v>
      </c>
      <c r="L27" t="inlineStr">
        <is>
          <t>The provided code is a unit test for the `BindDrawable` annotation processor used by the Butter Knife library. It creates a mock view tree and binds a target object to it using the `ButterKnife.bind()` method. The target object has a field annotated with `@BindDrawable`, which is set to the drawable resource specified in the `R.drawable</t>
        </is>
      </c>
      <c r="M27" t="n">
        <v>0.0033</v>
      </c>
      <c r="N27" t="n">
        <v>0.0308</v>
      </c>
      <c r="O27" t="n">
        <v>0.07870000000000001</v>
      </c>
    </row>
    <row r="28">
      <c r="A28" t="inlineStr">
        <is>
          <t>butterknife</t>
        </is>
      </c>
      <c r="B28" t="inlineStr">
        <is>
          <t>butterknife-integration-test/src/androidTest/java/com/example/butterknife/functional/BindFloatTest.java</t>
        </is>
      </c>
      <c r="C28">
        <f>HYPERLINK("https://github.com/JakeWharton/butterknife/blob/master/butterknife-integration-test/src/androidTest/java/com/example/butterknife/functional/BindFloatTest.java")</f>
        <v/>
      </c>
      <c r="D28" t="inlineStr">
        <is>
          <t>The provided code is a JUnit test for the `BindFloat` annotation in the Butter Knife library. It tests whether the `@BindFloat` annotation correctly binds a floating-point resource to a field in a target object.
The test creates a new instance of the `Target` class, which has a single field annotated with `@BindFloat`. The test then uses</t>
        </is>
      </c>
      <c r="E28" t="n">
        <v>0</v>
      </c>
      <c r="F28" t="n">
        <v>0</v>
      </c>
      <c r="G28" t="n">
        <v>0.0391</v>
      </c>
      <c r="H28" t="inlineStr">
        <is>
          <t>This is a Java project that uses the Butter Knife library to bind values from Android resources (such as dimensions) to fields in objects. The `BindFloat` annotation is used to specify which resource should be bound to which field, and the `ButterKnife.bind()` method is called on the object to perform the binding. The `Unbinder` returned by this</t>
        </is>
      </c>
      <c r="I28" t="n">
        <v>0.0038</v>
      </c>
      <c r="J28" t="n">
        <v>0.0606</v>
      </c>
      <c r="K28" t="n">
        <v>0.1163</v>
      </c>
      <c r="L28" t="inlineStr">
        <is>
          <t>The code defines a test for the `BindFloat` annotation from the Butter Knife library. It creates a view tree and binds a target object to it using the `ButterKnife.bind()` method. The target object has a field annotated with `@BindFloat`, which is used to inject the value of a resource ID into the field. The test verifies that</t>
        </is>
      </c>
      <c r="M28" t="n">
        <v>0.0032</v>
      </c>
      <c r="N28" t="n">
        <v>0.0303</v>
      </c>
      <c r="O28" t="n">
        <v>0.0775</v>
      </c>
    </row>
    <row r="29">
      <c r="A29" t="inlineStr">
        <is>
          <t>butterknife</t>
        </is>
      </c>
      <c r="B29" t="inlineStr">
        <is>
          <t>butterknife-integration-test/src/androidTest/java/com/example/butterknife/functional/BindBitmapTest.java</t>
        </is>
      </c>
      <c r="C29">
        <f>HYPERLINK("https://github.com/JakeWharton/butterknife/blob/master/butterknife-integration-test/src/androidTest/java/com/example/butterknife/functional/BindBitmapTest.java")</f>
        <v/>
      </c>
      <c r="D29" t="inlineStr">
        <is>
          <t>This is a test case for the `BindBitmap` annotation in the Butter Knife library. The test creates a `Target` object with a field annotated with `@BindBitmap`, which will be set to a bitmap loaded from a resource ID. The test then uses `ButterKnife.bind()` to bind the `Target` instance to a view tree, and checks that</t>
        </is>
      </c>
      <c r="E29" t="n">
        <v>0.004</v>
      </c>
      <c r="F29" t="n">
        <v>0.0625</v>
      </c>
      <c r="G29" t="n">
        <v>0.1181</v>
      </c>
      <c r="H29" t="inlineStr">
        <is>
          <t>This is a Java test file for the Butter Knife library that tests the binding of bitmaps to views using the `@BindBitmap` annotation. The `BindBitmapTest` class defines a `Target` class with a field annotated with `@BindBitmap`, which will be bound to a bitmap resource from the app's resources directory during testing. The `asBitmap()` method creates a</t>
        </is>
      </c>
      <c r="I29" t="n">
        <v>0.0033</v>
      </c>
      <c r="J29" t="n">
        <v>0.0308</v>
      </c>
      <c r="K29" t="n">
        <v>0.0781</v>
      </c>
      <c r="L29" t="inlineStr">
        <is>
          <t>The code is a test for the `BindBitmap` annotation in Butter Knife library. It creates a view tree using the `ViewTree` class and binds a `Target` object to it using the `ButterKnife.bind()` method. The `Target` object has a field annotated with `@BindBitmap`, which will be set to a bitmap resource from the</t>
        </is>
      </c>
      <c r="M29" t="n">
        <v>0.0035</v>
      </c>
      <c r="N29" t="n">
        <v>0.0328</v>
      </c>
      <c r="O29" t="n">
        <v>0.0806</v>
      </c>
    </row>
    <row r="30">
      <c r="A30" t="inlineStr">
        <is>
          <t>butterknife</t>
        </is>
      </c>
      <c r="B30" t="inlineStr">
        <is>
          <t>butterknife-integration-test/src/androidTest/java/com/example/butterknife/functional/BindViewsTest.java</t>
        </is>
      </c>
      <c r="C30">
        <f>HYPERLINK("https://github.com/JakeWharton/butterknife/blob/master/butterknife-integration-test/src/androidTest/java/com/example/butterknife/functional/BindViewsTest.java")</f>
        <v/>
      </c>
      <c r="D30" t="inlineStr">
        <is>
          <t>The provided code is a JUnit test for the `BindViews` annotation in Butter Knife, which allows you to bind multiple views at once using a single method call. The test creates a view tree with three child views and uses the `@BindViews` annotation on a field that expects a list of views. It then calls `ButterKnife.bind()` on the view</t>
        </is>
      </c>
      <c r="E30" t="n">
        <v>0.0031</v>
      </c>
      <c r="F30" t="n">
        <v>0.0294</v>
      </c>
      <c r="G30" t="n">
        <v>0.07630000000000001</v>
      </c>
      <c r="H30" t="inlineStr">
        <is>
          <t>This is a Java project that uses the Butter Knife library to bind views in Android applications. The `BindViews` annotation is used to specify which views should be bound to the annotated field or method. In this example, there are two test classes: `TargetViewArray` and `TargetViewList`. These classes contain fields with the `@BindViews` annotation, which indicate that</t>
        </is>
      </c>
      <c r="I30" t="n">
        <v>0.0038</v>
      </c>
      <c r="J30" t="n">
        <v>0.0615</v>
      </c>
      <c r="K30" t="n">
        <v>0.1163</v>
      </c>
      <c r="L30" t="inlineStr">
        <is>
          <t>The provided code is part of a test suite for a library called "Butter Knife" that simplifies the process of binding Android views to Java objects. The `BindViews` annotation is used to bind a list of view IDs to a field in a test class. The test verifies that the bound views can be accessed correctly after unbinding them.</t>
        </is>
      </c>
      <c r="M30" t="n">
        <v>0</v>
      </c>
      <c r="N30" t="n">
        <v>0</v>
      </c>
      <c r="O30" t="n">
        <v>0.0382</v>
      </c>
    </row>
    <row r="31">
      <c r="A31" t="inlineStr">
        <is>
          <t>butterknife</t>
        </is>
      </c>
      <c r="B31" t="inlineStr">
        <is>
          <t>butterknife-integration-test/src/androidTest/java/com/example/butterknife/functional/ViewTree.java</t>
        </is>
      </c>
      <c r="C31">
        <f>HYPERLINK("https://github.com/JakeWharton/butterknife/blob/master/butterknife-integration-test/src/androidTest/java/com/example/butterknife/functional/ViewTree.java")</f>
        <v/>
      </c>
      <c r="D31" t="inlineStr">
        <is>
          <t>The `ViewTree` class provides a way to create views programmatically by specifying their IDs as arguments in a method call. It uses reflection to instantiate the views with the specified IDs and returns them as a `View` object. The `create()` method takes two parameters: the first is a variable number of integers representing the IDs of the views to be created, and the second is a class</t>
        </is>
      </c>
      <c r="E31" t="n">
        <v>0.0027</v>
      </c>
      <c r="F31" t="n">
        <v>0.0267</v>
      </c>
      <c r="G31" t="n">
        <v>0.07190000000000001</v>
      </c>
      <c r="H31" t="inlineStr">
        <is>
          <t>This Java package `com.example.butterknife.functional` contains a single class called `ViewTree`, which has one static method called `create`. The `create` method takes in an array of integers as input and returns a `View` object that represents a tree structure of views with the given IDs. The `create` method uses reflection to instantiate the `View`</t>
        </is>
      </c>
      <c r="I31" t="n">
        <v>0.0041</v>
      </c>
      <c r="J31" t="n">
        <v>0.09379999999999999</v>
      </c>
      <c r="K31" t="n">
        <v>0.12</v>
      </c>
      <c r="L31" t="inlineStr">
        <is>
          <t>The code defines a function `create` that creates a `View` object with the given IDs. It uses reflection to instantiate the `View` object using the constructor that takes a `Context` parameter. The function returns the created `View` object.</t>
        </is>
      </c>
      <c r="M31" t="n">
        <v>0</v>
      </c>
      <c r="N31" t="n">
        <v>0.0435</v>
      </c>
      <c r="O31" t="n">
        <v>0.0455</v>
      </c>
    </row>
    <row r="32">
      <c r="A32" t="inlineStr">
        <is>
          <t>butterknife</t>
        </is>
      </c>
      <c r="B32" t="inlineStr">
        <is>
          <t>butterknife-integration-test/src/androidTest/java/com/example/butterknife/functional/OnItemLongClickTest.java</t>
        </is>
      </c>
      <c r="C32">
        <f>HYPERLINK("https://github.com/JakeWharton/butterknife/blob/master/butterknife-integration-test/src/androidTest/java/com/example/butterknife/functional/OnItemLongClickTest.java")</f>
        <v/>
      </c>
      <c r="D32" t="inlineStr">
        <is>
          <t>The provided Java code defines a test suite for testing the functionality of the `OnItemLongClick` annotation in Butter Knife library. It includes several unit tests that verify the behavior of the annotation when used on a spinner widget.
The test suite is written using JUnit framework and uses reflection to access private members of the tested classes. It sets up a mock Android environment with</t>
        </is>
      </c>
      <c r="E32" t="n">
        <v>0.0033</v>
      </c>
      <c r="F32" t="n">
        <v>0.0548</v>
      </c>
      <c r="G32" t="n">
        <v>0.073</v>
      </c>
      <c r="H32" t="inlineStr">
        <is>
          <t>This is a Java Android project that uses Butter Knife to bind events to views in a Spinner component. The project includes unit tests for the binding logic using JUnit.
The `OnItemLongClick` annotation is used on a method parameter to indicate that it should be called when an item in the spinner is long-clicked. The method takes a single argument,</t>
        </is>
      </c>
      <c r="I32" t="n">
        <v>0.003</v>
      </c>
      <c r="J32" t="n">
        <v>0.058</v>
      </c>
      <c r="K32" t="n">
        <v>0.07580000000000001</v>
      </c>
      <c r="L32" t="inlineStr">
        <is>
          <t>The code defines a test suite for testing the `OnItemLongClick` annotation used in Butter Knife library. It includes several tests that verify the correctness of the annotation's behavior when applied to various types of views, including spinners. The tests use JUnit framework and Android Instrumentation API to simulate user interactions with the UI elements. The code also includes some helper methods</t>
        </is>
      </c>
      <c r="M32" t="n">
        <v>0.003</v>
      </c>
      <c r="N32" t="n">
        <v>0.0286</v>
      </c>
      <c r="O32" t="n">
        <v>0.0752</v>
      </c>
    </row>
    <row r="33">
      <c r="A33" t="inlineStr">
        <is>
          <t>butterknife</t>
        </is>
      </c>
      <c r="B33" t="inlineStr">
        <is>
          <t>butterknife-integration-test/src/androidTest/java/com/example/butterknife/functional/BindDimenTest.java</t>
        </is>
      </c>
      <c r="C33">
        <f>HYPERLINK("https://github.com/JakeWharton/butterknife/blob/master/butterknife-integration-test/src/androidTest/java/com/example/butterknife/functional/BindDimenTest.java")</f>
        <v/>
      </c>
      <c r="D33" t="inlineStr">
        <is>
          <t>The provided code is a Java file containing a test for the `BindDimen` annotation in the Butter Knife library. It defines two classes, `IntTarget` and `FloatTarget`, which have a single field annotated with `@BindDimen`. These fields represent the dimensions of a resource ID that will be bound to the view tree using Butter Knife's `bind</t>
        </is>
      </c>
      <c r="E33" t="n">
        <v>0.0033</v>
      </c>
      <c r="F33" t="n">
        <v>0.0312</v>
      </c>
      <c r="G33" t="n">
        <v>0.07870000000000001</v>
      </c>
      <c r="H33" t="inlineStr">
        <is>
          <t>This is a Java project that uses the Butter Knife library to bind dimensions from Android resources to fields in classes. The `BindDimen` annotation is used to specify which resource should be bound to which field. The `asInt()` method is called on the `IntTarget` object to retrieve the value of the bound dimension, and it is compared against the expected value using Truth</t>
        </is>
      </c>
      <c r="I33" t="n">
        <v>0.0034</v>
      </c>
      <c r="J33" t="n">
        <v>0.0563</v>
      </c>
      <c r="K33" t="n">
        <v>0.1111</v>
      </c>
      <c r="L33" t="inlineStr">
        <is>
          <t>The provided Java code is part of a unit test for a library called "Butter Knife". It appears to be testing the functionality of the `BindDimen` annotation, which allows developers to bind dimensions from their XML resources to fields in their classes.
The test creates a view tree using the `ViewTree` class, then uses Butter Knife's `bind()`</t>
        </is>
      </c>
      <c r="M33" t="n">
        <v>0.0032</v>
      </c>
      <c r="N33" t="n">
        <v>0.0303</v>
      </c>
      <c r="O33" t="n">
        <v>0.0388</v>
      </c>
    </row>
    <row r="34">
      <c r="A34" t="inlineStr">
        <is>
          <t>butterknife</t>
        </is>
      </c>
      <c r="B34" t="inlineStr">
        <is>
          <t>butterknife-integration-test/src/androidTest/java/com/example/butterknife/functional/BindArrayTest.java</t>
        </is>
      </c>
      <c r="C34">
        <f>HYPERLINK("https://github.com/JakeWharton/butterknife/blob/master/butterknife-integration-test/src/androidTest/java/com/example/butterknife/functional/BindArrayTest.java")</f>
        <v/>
      </c>
      <c r="D34" t="inlineStr">
        <is>
          <t>The provided code is a Java file that defines a test for the `BindArray` annotation in the Butter Knife library. It creates a new instance of the `StringArrayTarget` class, which has a field annotated with `@BindArray`. The test then uses the `ButterKnife.bind()` method to bind the view tree to the target object, and checks if</t>
        </is>
      </c>
      <c r="E34" t="n">
        <v>0.0033</v>
      </c>
      <c r="F34" t="n">
        <v>0.0312</v>
      </c>
      <c r="G34" t="n">
        <v>0.07870000000000001</v>
      </c>
      <c r="H34" t="inlineStr">
        <is>
          <t>The provided code is a Java library for Android development that provides functionalities related to binding arrays to views using the Butter Knife framework. It consists of several classes, including `BindArray`, which binds an array resource to a view, and `StringArrayTarget`, which is a test class used to verify the behavior of the `BindArray` annotation. The code also includes unit tests</t>
        </is>
      </c>
      <c r="I34" t="n">
        <v>0.003</v>
      </c>
      <c r="J34" t="n">
        <v>0.058</v>
      </c>
      <c r="K34" t="n">
        <v>0.0752</v>
      </c>
      <c r="L34" t="inlineStr">
        <is>
          <t>The provided code is a test case for the `BindArray` annotation from the Butter Knife library. It tests whether the annotation correctly binds an array resource to a field of type `String[]`. The test creates a fake Android view tree and uses the `ButterKnife.bind()` method to bind the target object (which has a field annotated with `@BindArray</t>
        </is>
      </c>
      <c r="M34" t="n">
        <v>0.0032</v>
      </c>
      <c r="N34" t="n">
        <v>0.0303</v>
      </c>
      <c r="O34" t="n">
        <v>0.0775</v>
      </c>
    </row>
    <row r="35">
      <c r="A35" t="inlineStr">
        <is>
          <t>butterknife</t>
        </is>
      </c>
      <c r="B35" t="inlineStr">
        <is>
          <t>butterknife-integration-test/src/androidTest/java/com/example/butterknife/functional/BindColorTest.java</t>
        </is>
      </c>
      <c r="C35">
        <f>HYPERLINK("https://github.com/JakeWharton/butterknife/blob/master/butterknife-integration-test/src/androidTest/java/com/example/butterknife/functional/BindColorTest.java")</f>
        <v/>
      </c>
      <c r="D35" t="inlineStr">
        <is>
          <t>The provided code is a test for a library called "Butter Knife" that allows developers to bind Android views to Java objects using annotations. The `BindColor` annotation is used to bind a color resource from XML to an integer field in a Java object. The test case verifies that the bound value matches the expected value after binding and unbinding the view.</t>
        </is>
      </c>
      <c r="E35" t="n">
        <v>0.0029</v>
      </c>
      <c r="F35" t="n">
        <v>0.0286</v>
      </c>
      <c r="G35" t="n">
        <v>0.0746</v>
      </c>
      <c r="H35" t="inlineStr">
        <is>
          <t>This is a Java project that uses the Butter Knife library to bind colors from XML resources to fields in objects. The `BindColor` annotation is used to specify which color should be bound to each field. The `asInt()` method is called on the `IntTarget` object to retrieve the bound color value. The test case verifies that the correct color was bound by comparing it</t>
        </is>
      </c>
      <c r="I35" t="n">
        <v>0.0028</v>
      </c>
      <c r="J35" t="n">
        <v>0.0278</v>
      </c>
      <c r="K35" t="n">
        <v>0.0735</v>
      </c>
      <c r="L35" t="inlineStr">
        <is>
          <t>The provided code is part of a test suite for the "BindColor" feature in Android's Butter Knife library. It tests whether the library can correctly bind colors from resource files to integer values.
The test case creates a view tree using the `ViewTree` class, initializes a `Context` object, and then creates a new instance of the `IntTarget`</t>
        </is>
      </c>
      <c r="M35" t="n">
        <v>0.0032</v>
      </c>
      <c r="N35" t="n">
        <v>0.0303</v>
      </c>
      <c r="O35" t="n">
        <v>0.0775</v>
      </c>
    </row>
    <row r="36">
      <c r="A36" t="inlineStr">
        <is>
          <t>butterknife</t>
        </is>
      </c>
      <c r="B36" t="inlineStr">
        <is>
          <t>butterknife-integration-test/src/androidTest/java/com/example/butterknife/functional/OnItemSelectedTest.java</t>
        </is>
      </c>
      <c r="C36">
        <f>HYPERLINK("https://github.com/JakeWharton/butterknife/blob/master/butterknife-integration-test/src/androidTest/java/com/example/butterknife/functional/OnItemSelectedTest.java")</f>
        <v/>
      </c>
      <c r="D36" t="inlineStr">
        <is>
          <t>The `OnItemSelectedTest` class is a unit test for the `OnItemSelected` annotation in Butter Knife. It tests the behavior of the `onItemSelected()` method when an item is selected in a spinner widget.
The test sets up a mock spinner with a simple adapter that has two items. It then uses Butter Knife to bind the `</t>
        </is>
      </c>
      <c r="E36" t="n">
        <v>0</v>
      </c>
      <c r="F36" t="n">
        <v>0</v>
      </c>
      <c r="G36" t="n">
        <v>0.0394</v>
      </c>
      <c r="H36" t="inlineStr">
        <is>
          <t>This is a Java project that uses Butter Knife to bind methods to Android views in a test environment. The `OnItemSelected` annotation is used to specify callback functions for when items are selected from a spinner widget. The `Optional` annotation is used to indicate that some methods may be unimplemented or optional. The `Unbinder` interface is used to unbind</t>
        </is>
      </c>
      <c r="I36" t="n">
        <v>0.0031</v>
      </c>
      <c r="J36" t="n">
        <v>0.0597</v>
      </c>
      <c r="K36" t="n">
        <v>0.07630000000000001</v>
      </c>
      <c r="L36" t="inlineStr">
        <is>
          <t>The provided code is a Java class that tests the functionality of Butter Knife's `@OnItemSelected` annotation for Android development. It creates a custom `TestSpinner` subclass of `AbsSpinner`, which has a constructor that takes a `Context` object as input. The test class also imports several other classes from Butter Knife and AndroidX testing libraries.</t>
        </is>
      </c>
      <c r="M36" t="n">
        <v>0.0041</v>
      </c>
      <c r="N36" t="n">
        <v>0.0645</v>
      </c>
      <c r="O36" t="n">
        <v>0.08</v>
      </c>
    </row>
    <row r="37">
      <c r="A37" t="inlineStr">
        <is>
          <t>butterknife</t>
        </is>
      </c>
      <c r="B37" t="inlineStr">
        <is>
          <t>butterknife-integration-test/src/androidTest/java/com/example/butterknife/functional/BindStringTest.java</t>
        </is>
      </c>
      <c r="C37">
        <f>HYPERLINK("https://github.com/JakeWharton/butterknife/blob/master/butterknife-integration-test/src/androidTest/java/com/example/butterknife/functional/BindStringTest.java")</f>
        <v/>
      </c>
      <c r="D37" t="inlineStr">
        <is>
          <t>The code is a unit test for a Butter Knife binding library that binds a string resource to a field in a Java object. It creates a view hierarchy with one view and uses Butter Knife to bind the string resource ID `R.string.hey` to a field called `actual` in a `Target` class. The test checks that the bound value matches the</t>
        </is>
      </c>
      <c r="E37" t="n">
        <v>0.003</v>
      </c>
      <c r="F37" t="n">
        <v>0.0282</v>
      </c>
      <c r="G37" t="n">
        <v>0.0752</v>
      </c>
      <c r="H37" t="inlineStr">
        <is>
          <t>This is a Java project that uses Butter Knife to bind strings from Android resources to fields in a test class. The `BindString` annotation is used to specify which string should be bound to each field. The `simpleInt()` method creates a new instance of the `Target` class and binds it to a view using Butter Knife's `bind()` method. It</t>
        </is>
      </c>
      <c r="I37" t="n">
        <v>0.0037</v>
      </c>
      <c r="J37" t="n">
        <v>0.0588</v>
      </c>
      <c r="K37" t="n">
        <v>0.1145</v>
      </c>
      <c r="L37" t="inlineStr">
        <is>
          <t>The code is a unit test for the Butter Knife library's `BindString` annotation. It creates a view tree using the `ViewTree` class from the AndroidX Test package, binds a string resource to a field annotated with `@BindString`, and then asserts that the bound value matches the expected value. Finally, it unbinds the field and checks</t>
        </is>
      </c>
      <c r="M37" t="n">
        <v>0.0033</v>
      </c>
      <c r="N37" t="n">
        <v>0.0312</v>
      </c>
      <c r="O37" t="n">
        <v>0.07870000000000001</v>
      </c>
    </row>
    <row r="38">
      <c r="A38" t="inlineStr">
        <is>
          <t>butterknife</t>
        </is>
      </c>
      <c r="B38" t="inlineStr">
        <is>
          <t>butterknife-integration-test/src/androidTest/java/com/example/butterknife/functional/BindViewTest.java</t>
        </is>
      </c>
      <c r="C38">
        <f>HYPERLINK("https://github.com/JakeWharton/butterknife/blob/master/butterknife-integration-test/src/androidTest/java/com/example/butterknife/functional/BindViewTest.java")</f>
        <v/>
      </c>
      <c r="D38" t="inlineStr">
        <is>
          <t>The provided code is a test for the `BindView` annotation in the Butter Knife library. It creates a simple Android application with a single activity that has a layout file containing a button. The test checks that when the `BindView` annotation is applied to a field in the activity's class, the corresponding view is correctly bound to the field after calling `ButterKn</t>
        </is>
      </c>
      <c r="E38" t="n">
        <v>0</v>
      </c>
      <c r="F38" t="n">
        <v>0</v>
      </c>
      <c r="G38" t="n">
        <v>0</v>
      </c>
      <c r="H38" t="inlineStr">
        <is>
          <t>This is a Java test file for testing the functionality of the `BindView` annotation in the Butter Knife library. The file defines a `TargetView` class that has a field annotated with `@BindView`, which is used to bind a view from a layout resource to a variable in the class. The file also includes a test method named `view()` that creates a mock view</t>
        </is>
      </c>
      <c r="I38" t="n">
        <v>0.0034</v>
      </c>
      <c r="J38" t="n">
        <v>0.0563</v>
      </c>
      <c r="K38" t="n">
        <v>0.0741</v>
      </c>
      <c r="L38" t="inlineStr">
        <is>
          <t>The code is a unit test for the "BindView" annotation processor used by Butter Knife library for Android development. It creates a mock view hierarchy using the "ViewTree" class and binds the views to the target object using the "ButterKnife.bind()" method. The test then verifies that the bound view can be retrieved from the target object and that it</t>
        </is>
      </c>
      <c r="M38" t="n">
        <v>0.0031</v>
      </c>
      <c r="N38" t="n">
        <v>0.0294</v>
      </c>
      <c r="O38" t="n">
        <v>0.07630000000000001</v>
      </c>
    </row>
    <row r="39">
      <c r="A39" t="inlineStr">
        <is>
          <t>butterknife</t>
        </is>
      </c>
      <c r="B39" t="inlineStr">
        <is>
          <t>butterknife-integration-test/src/androidTest/java/com/example/butterknife/functional/OnTouchTest.java</t>
        </is>
      </c>
      <c r="C39">
        <f>HYPERLINK("https://github.com/JakeWharton/butterknife/blob/master/butterknife-integration-test/src/androidTest/java/com/example/butterknife/functional/OnTouchTest.java")</f>
        <v/>
      </c>
      <c r="D39" t="inlineStr">
        <is>
          <t>This is a JUnit test for the `onTouch` method in Butter Knife library. The test creates a simple view hierarchy with two views (a button and a text view), sets up a listener on one of them using `@OnTouch`, and then simulates a touch event on that view to verify that the listener was called correctly.
The test first creates a new</t>
        </is>
      </c>
      <c r="E39" t="n">
        <v>0.0035</v>
      </c>
      <c r="F39" t="n">
        <v>0.0571</v>
      </c>
      <c r="G39" t="n">
        <v>0.1119</v>
      </c>
      <c r="H39" t="inlineStr">
        <is>
          <t>This is a Java project that uses Butter Knife to bind methods to Android views for event handling. The `OnTouch` annotation is used to specify which method should be called when a view is touched. The `Simple` class has a `touch()` method that returns a boolean value indicating whether the touch event was handled or not. The `returnValue` field can be set to false</t>
        </is>
      </c>
      <c r="I39" t="n">
        <v>0.0028</v>
      </c>
      <c r="J39" t="n">
        <v>0.0278</v>
      </c>
      <c r="K39" t="n">
        <v>0.0735</v>
      </c>
      <c r="L39" t="inlineStr">
        <is>
          <t>The provided Java code is part of a unit test for Butter Knife's `@OnTouch` annotation. It creates a simple view hierarchy with a `Button` and a `TextView`, and then uses Butter Knife to bind a listener to the button that increments a counter when touched. The test verifies that the listener is called correctly and that the counter is incremented as</t>
        </is>
      </c>
      <c r="M39" t="n">
        <v>0.003</v>
      </c>
      <c r="N39" t="n">
        <v>0.0286</v>
      </c>
      <c r="O39" t="n">
        <v>0.0752</v>
      </c>
    </row>
    <row r="40">
      <c r="A40" t="inlineStr">
        <is>
          <t>butterknife</t>
        </is>
      </c>
      <c r="B40" t="inlineStr">
        <is>
          <t>butterknife-integration-test/src/androidTest/java/com/example/butterknife/functional/BindAnimTest.java</t>
        </is>
      </c>
      <c r="C40">
        <f>HYPERLINK("https://github.com/JakeWharton/butterknife/blob/master/butterknife-integration-test/src/androidTest/java/com/example/butterknife/functional/BindAnimTest.java")</f>
        <v/>
      </c>
      <c r="D40" t="inlineStr">
        <is>
          <t>This is a JUnit test for the `BindAnim` annotation in the Butter Knife library. The test creates a view hierarchy using the `ViewTree` class from the Android SDK, binds a target object to the view hierarchy using the `ButterKnife.bind()` method, and then checks that the `@BindAnim` annotated field on the target object has been</t>
        </is>
      </c>
      <c r="E40" t="n">
        <v>0.004</v>
      </c>
      <c r="F40" t="n">
        <v>0.0635</v>
      </c>
      <c r="G40" t="n">
        <v>0.119</v>
      </c>
      <c r="H40" t="inlineStr">
        <is>
          <t>This is a Java test file for testing the functionality of the Butter Knife library's `BindAnim` annotation. The file imports several classes from the Butter Knife library, including `BindAnim`, `ButterKnife`, and `Unbinder`. It also imports some Android-specific classes such as `View` and `Animation`.
The file defines a</t>
        </is>
      </c>
      <c r="I40" t="n">
        <v>0.0051</v>
      </c>
      <c r="J40" t="n">
        <v>0.1053</v>
      </c>
      <c r="K40" t="n">
        <v>0.1261</v>
      </c>
      <c r="L40" t="inlineStr">
        <is>
          <t>The provided code is a JUnit test for a Butter Knife library feature called "Bind Anim". It binds an animation resource from Android's R class to a view object using the Butter Knife library. The test checks that the animation is properly bound and can be accessed through the view object after binding.</t>
        </is>
      </c>
      <c r="M40" t="n">
        <v>0.0035</v>
      </c>
      <c r="N40" t="n">
        <v>0.0323</v>
      </c>
      <c r="O40" t="n">
        <v>0.08</v>
      </c>
    </row>
    <row r="41">
      <c r="A41" t="inlineStr">
        <is>
          <t>butterknife</t>
        </is>
      </c>
      <c r="B41" t="inlineStr">
        <is>
          <t>butterknife-integration-test/src/androidTest/java/com/example/butterknife/functional/OnItemClickTest.java</t>
        </is>
      </c>
      <c r="C41">
        <f>HYPERLINK("https://github.com/JakeWharton/butterknife/blob/master/butterknife-integration-test/src/androidTest/java/com/example/butterknife/functional/OnItemClickTest.java")</f>
        <v/>
      </c>
      <c r="D41" t="inlineStr">
        <is>
          <t>This is a Java test file for testing the functionality of the Butter Knife library's `@OnItemClick` annotation. The file defines a `TestSpinner` class that extends Android's `AbsSpinner` class and has a method called `setAdapter()` to set a custom adapter for the spinner. It also includes a JUnit test case named `testOn</t>
        </is>
      </c>
      <c r="E41" t="n">
        <v>0.0047</v>
      </c>
      <c r="F41" t="n">
        <v>0.0984</v>
      </c>
      <c r="G41" t="n">
        <v>0.122</v>
      </c>
      <c r="H41" t="inlineStr">
        <is>
          <t>This is a Java library for Android development that provides a way to bind Butter Knife annotations to views in your app's UI. The library includes a number of utility classes and methods for working with Butter Knife annotations, as well as a test suite for verifying the correctness of these bindings.
The main entry point for this library is the `ButterK</t>
        </is>
      </c>
      <c r="I41" t="n">
        <v>0.0035</v>
      </c>
      <c r="J41" t="n">
        <v>0.0563</v>
      </c>
      <c r="K41" t="n">
        <v>0.1119</v>
      </c>
      <c r="L41" t="inlineStr">
        <is>
          <t>The provided code is part of a test suite for Butter Knife, a library that simplifies Android view binding. It defines a `TestSpinner` subclass that extends `AbsSpinner` and sets up a simple adapter using `SimpleAdapter`. The `OnItemClickTest` class contains several unit tests that exercise various aspects of the `OnItemClick` annotation, which allows</t>
        </is>
      </c>
      <c r="M41" t="n">
        <v>0.0035</v>
      </c>
      <c r="N41" t="n">
        <v>0.0333</v>
      </c>
      <c r="O41" t="n">
        <v>0.0806</v>
      </c>
    </row>
    <row r="42">
      <c r="A42" t="inlineStr">
        <is>
          <t>butterknife</t>
        </is>
      </c>
      <c r="B42" t="inlineStr">
        <is>
          <t>butterknife-integration-test/src/androidTest/java/com/example/butterknife/functional/OnLongClickTest.java</t>
        </is>
      </c>
      <c r="C42">
        <f>HYPERLINK("https://github.com/JakeWharton/butterknife/blob/master/butterknife-integration-test/src/androidTest/java/com/example/butterknife/functional/OnLongClickTest.java")</f>
        <v/>
      </c>
      <c r="D42" t="inlineStr">
        <is>
          <t>The code defines a test for the `OnLongClick` annotation in Butter Knife, which is used to mark methods that should be called when a view is long-clicked. The test creates a mock view hierarchy with two views, one of which has the `OnLongClick` annotation applied to its first child (a button). When the button is long-pressed, the method</t>
        </is>
      </c>
      <c r="E42" t="n">
        <v>0</v>
      </c>
      <c r="F42" t="n">
        <v>0</v>
      </c>
      <c r="G42" t="n">
        <v>0.0385</v>
      </c>
      <c r="H42" t="inlineStr">
        <is>
          <t>This is a Java project that contains unit tests for Butter Knife, a library used to simplify Android view binding. The tests cover various scenarios related to long-click events on views, including handling multiple clicks in quick succession, returning different values based on the number of clicks, and using optional parameters to customize the behavior of the event handler. The test cases use JUnit annotations such as</t>
        </is>
      </c>
      <c r="I42" t="n">
        <v>0.0032</v>
      </c>
      <c r="J42" t="n">
        <v>0.0526</v>
      </c>
      <c r="K42" t="n">
        <v>0.1079</v>
      </c>
      <c r="L42" t="inlineStr">
        <is>
          <t>The code is part of a unit test for Butter Knife library's `onLongClick` annotation. It creates a simple view hierarchy using Android's `ViewTree`, binds a listener to a button using Butter Knife's `@OnLongClick` annotation, and then tests that the listener is called correctly when the button is long clicked. The test checks that the</t>
        </is>
      </c>
      <c r="M42" t="n">
        <v>0.0034</v>
      </c>
      <c r="N42" t="n">
        <v>0.0308</v>
      </c>
      <c r="O42" t="n">
        <v>0.0794</v>
      </c>
    </row>
    <row r="43">
      <c r="A43" t="inlineStr">
        <is>
          <t>butterknife</t>
        </is>
      </c>
      <c r="B43" t="inlineStr">
        <is>
          <t>butterknife-integration-test/src/androidTest/java/com/example/butterknife/functional/BindBoolTest.java</t>
        </is>
      </c>
      <c r="C43">
        <f>HYPERLINK("https://github.com/JakeWharton/butterknife/blob/master/butterknife-integration-test/src/androidTest/java/com/example/butterknife/functional/BindBoolTest.java")</f>
        <v/>
      </c>
      <c r="D43" t="inlineStr">
        <is>
          <t>The code is a unit test for a feature that binds a `boolean` value to a view using Butter Knife. It creates a `Target` object with a field annotated with `@BindBool`, initializes it with a `View` instance, and then uses Butter Knife's `bind()` method to bind the `boolean` value from the resource file `R</t>
        </is>
      </c>
      <c r="E43" t="n">
        <v>0.0034</v>
      </c>
      <c r="F43" t="n">
        <v>0.0317</v>
      </c>
      <c r="G43" t="n">
        <v>0.0794</v>
      </c>
      <c r="H43" t="inlineStr">
        <is>
          <t>This is a Java test file for a library called "Butter Knife" that simplifies Android view binding. The file defines a unit test named `BindBoolTest` that tests the behavior of the `@BindBool` annotation in Butter Knife.
The test creates a new instance of the `Target` class, which has a field annotated with `@BindBool`. It</t>
        </is>
      </c>
      <c r="I43" t="n">
        <v>0.0034</v>
      </c>
      <c r="J43" t="n">
        <v>0.0323</v>
      </c>
      <c r="K43" t="n">
        <v>0.0397</v>
      </c>
      <c r="L43" t="inlineStr">
        <is>
          <t>The provided Java code is a test case for the `BindBool` annotation processor from the Butter Knife library. It tests whether the `@BindBool` annotation correctly binds a resource ID to a field annotated with that annotation.
The test creates a new instance of the `Target` class, which has a field annotated with `@BindBool`. The test then uses But</t>
        </is>
      </c>
      <c r="M43" t="n">
        <v>0</v>
      </c>
      <c r="N43" t="n">
        <v>0</v>
      </c>
      <c r="O43" t="n">
        <v>0.0385</v>
      </c>
    </row>
    <row r="44">
      <c r="A44" t="inlineStr">
        <is>
          <t>butterknife</t>
        </is>
      </c>
      <c r="B44" t="inlineStr">
        <is>
          <t>butterknife-integration-test/src/androidTest/java/com/example/butterknife/functional/OnClickTest.java</t>
        </is>
      </c>
      <c r="C44">
        <f>HYPERLINK("https://github.com/JakeWharton/butterknife/blob/master/butterknife-integration-test/src/androidTest/java/com/example/butterknife/functional/OnClickTest.java")</f>
        <v/>
      </c>
      <c r="D44" t="inlineStr">
        <is>
          <t>The `OnClickTest` class is a unit test for the Butter Knife library's `@OnClick` annotation. It tests that when a view with an ID specified in the annotation is clicked, the corresponding method annotated with `@OnClick` is called.
The test creates a mock Android app environment using the `ViewTree` class, which provides a way to create</t>
        </is>
      </c>
      <c r="E44" t="n">
        <v>0</v>
      </c>
      <c r="F44" t="n">
        <v>0</v>
      </c>
      <c r="G44" t="n">
        <v>0.0394</v>
      </c>
      <c r="H44" t="inlineStr">
        <is>
          <t>This is a Java test file that uses JUnit to test the functionality of Butter Knife's `@OnClick` annotation for Android development. The file defines a `Simple` class with a method annotated with `@OnClick`, which increments a counter when called. It also includes a `ViewTree` class that creates a view hierarchy for testing purposes.
The `on</t>
        </is>
      </c>
      <c r="I44" t="n">
        <v>0.004</v>
      </c>
      <c r="J44" t="n">
        <v>0.0625</v>
      </c>
      <c r="K44" t="n">
        <v>0.07870000000000001</v>
      </c>
      <c r="L44" t="inlineStr">
        <is>
          <t>The provided code is part of a test suite for a library called Butter Knife. It appears to be testing the functionality of a method called "onClick" which is used to bind click listeners to views in Android applications.
The test creates a view hierarchy using the "ViewTree" class and then uses Butter Knife's "bind" method to attach a click</t>
        </is>
      </c>
      <c r="M44" t="n">
        <v>0.0036</v>
      </c>
      <c r="N44" t="n">
        <v>0.058</v>
      </c>
      <c r="O44" t="n">
        <v>0.07580000000000001</v>
      </c>
    </row>
    <row r="45">
      <c r="A45" t="inlineStr">
        <is>
          <t>butterknife</t>
        </is>
      </c>
      <c r="B45" t="inlineStr">
        <is>
          <t>butterknife-integration-test/src/androidTest/java/com/example/butterknife/functional/OnCheckedChangedTest.java</t>
        </is>
      </c>
      <c r="C45">
        <f>HYPERLINK("https://github.com/JakeWharton/butterknife/blob/master/butterknife-integration-test/src/androidTest/java/com/example/butterknife/functional/OnCheckedChangedTest.java")</f>
        <v/>
      </c>
      <c r="D45" t="inlineStr">
        <is>
          <t>The `OnCheckedChanged` annotation is used to mark methods that should be called when a toggle button's checked state changes. When the button is clicked or tapped, the method annotated with this annotation will be called with the new checked state as its argument. In this case, the method `click()` in the `Simple` class is marked with `@OnCheckedChanged(1)`</t>
        </is>
      </c>
      <c r="E45" t="n">
        <v>0</v>
      </c>
      <c r="F45" t="n">
        <v>0.0299</v>
      </c>
      <c r="G45" t="n">
        <v>0.0775</v>
      </c>
      <c r="H45" t="inlineStr">
        <is>
          <t>This is a Java test file that uses Butter Knife to bind events to methods in Android views. The file defines a `Simple` class with a method called `click()` which will be invoked when a toggle button with id 1 is checked or unchecked. The test case checks if the `click()` method is correctly bound to the view and if it increments a counter variable every</t>
        </is>
      </c>
      <c r="I45" t="n">
        <v>0.0033</v>
      </c>
      <c r="J45" t="n">
        <v>0.0541</v>
      </c>
      <c r="K45" t="n">
        <v>0.1087</v>
      </c>
      <c r="L45" t="inlineStr">
        <is>
          <t>The provided code is a Java file containing a test suite for Butter Knife, a library that simplifies Android view injection. The test suite includes one test method named "simple" which tests the functionality of the `@OnCheckedChanged` annotation.
The `Simple` inner class defines a field called "clicks" and has a method annotated with `@OnCheckedChanged`. When</t>
        </is>
      </c>
      <c r="M45" t="n">
        <v>0.004</v>
      </c>
      <c r="N45" t="n">
        <v>0.0635</v>
      </c>
      <c r="O45" t="n">
        <v>0.07870000000000001</v>
      </c>
    </row>
    <row r="46">
      <c r="A46" t="inlineStr">
        <is>
          <t>butterknife</t>
        </is>
      </c>
      <c r="B46" t="inlineStr">
        <is>
          <t>butterknife-integration-test/src/androidTest/java/com/example/butterknife/functional/BindIntTest.java</t>
        </is>
      </c>
      <c r="C46">
        <f>HYPERLINK("https://github.com/JakeWharton/butterknife/blob/master/butterknife-integration-test/src/androidTest/java/com/example/butterknife/functional/BindIntTest.java")</f>
        <v/>
      </c>
      <c r="D46" t="inlineStr">
        <is>
          <t>The provided code is a test for the `BindInt` annotation in Butter Knife library. It creates a simple view hierarchy with one view (tree), binds an integer resource to it using the `BindInt` annotation, and then checks that the bound value matches the expected value from the resources. The test also includes an assertion that the bound value remains the same after calling `un</t>
        </is>
      </c>
      <c r="E46" t="n">
        <v>0.0028</v>
      </c>
      <c r="F46" t="n">
        <v>0.0278</v>
      </c>
      <c r="G46" t="n">
        <v>0.0735</v>
      </c>
      <c r="H46" t="inlineStr">
        <is>
          <t>This is a Java project that uses Butter Knife to bind integer resources from Android's resource file (R.integer.twelve) to a field in a class called "Target". The project also includes unit tests using JUnit to verify the correctness of the binding process. The complexity of the code is O(N), where N is the number of integers in the R.</t>
        </is>
      </c>
      <c r="I46" t="n">
        <v>0.0031</v>
      </c>
      <c r="J46" t="n">
        <v>0.0282</v>
      </c>
      <c r="K46" t="n">
        <v>0.07630000000000001</v>
      </c>
      <c r="L46" t="inlineStr">
        <is>
          <t>The code defines a test for the `BindInt` annotation in Butter Knife library. It creates a view tree using `ViewTree.create()` method and initializes a `Target` object that has a field annotated with `@BindInt`. Then, it binds the view tree to the target object using `ButterKnife.bind()` method and checks if the value</t>
        </is>
      </c>
      <c r="M46" t="n">
        <v>0.0036</v>
      </c>
      <c r="N46" t="n">
        <v>0.0328</v>
      </c>
      <c r="O46" t="n">
        <v>0.0813</v>
      </c>
    </row>
    <row r="47">
      <c r="A47" t="inlineStr">
        <is>
          <t>butterknife</t>
        </is>
      </c>
      <c r="B47" t="inlineStr">
        <is>
          <t>butterknife-integration-test/src/androidTest/java/com/example/butterknife/unbinder/UnbinderTest.java</t>
        </is>
      </c>
      <c r="C47">
        <f>HYPERLINK("https://github.com/JakeWharton/butterknife/blob/master/butterknife-integration-test/src/androidTest/java/com/example/butterknife/unbinder/UnbinderTest.java")</f>
        <v/>
      </c>
      <c r="D47" t="inlineStr">
        <is>
          <t>This is a Java test file that uses JUnit to test the functionality of the `Unbinder` class from the Butter Knife library. The `Unbinder` class is used to unbind views from their corresponding fields in an Android app's UI.
The test case creates three buttons with different IDs (button1, button2, and button3), adds them</t>
        </is>
      </c>
      <c r="E47" t="n">
        <v>0.0045</v>
      </c>
      <c r="F47" t="n">
        <v>0.09520000000000001</v>
      </c>
      <c r="G47" t="n">
        <v>0.119</v>
      </c>
      <c r="H47" t="inlineStr">
        <is>
          <t>This is a Java project that uses Butter Knife to bind views in Android layout files. The `Unbinder` class is used to unbind views from their corresponding objects when they are no longer needed. The `verifyContentViewBinding()` method tests whether the correct views are bound to their corresponding IDs in the layout file. The test asserts that there are three buttons with IDs "</t>
        </is>
      </c>
      <c r="I47" t="n">
        <v>0.0029</v>
      </c>
      <c r="J47" t="n">
        <v>0.0286</v>
      </c>
      <c r="K47" t="n">
        <v>0.0741</v>
      </c>
      <c r="L47" t="inlineStr">
        <is>
          <t>The provided code is a test case for verifying the correct binding of views to their corresponding IDs using Butter Knife library. It creates a `FrameLayout` with three buttons and a view as content, then uses Butter Knife's `bind()` method to bind these views to their respective IDs. Finally, the test checks that the bound views can be retrieved correctly by ID.</t>
        </is>
      </c>
      <c r="M47" t="n">
        <v>0.0029</v>
      </c>
      <c r="N47" t="n">
        <v>0.0282</v>
      </c>
      <c r="O47" t="n">
        <v>0.0746</v>
      </c>
    </row>
    <row r="48">
      <c r="A48" t="inlineStr">
        <is>
          <t>butterknife</t>
        </is>
      </c>
      <c r="B48" t="inlineStr">
        <is>
          <t>butterknife-integration-test/src/androidTest/java/com/example/butterknife/library/SimpleActivityTest.java</t>
        </is>
      </c>
      <c r="C48">
        <f>HYPERLINK("https://github.com/JakeWharton/butterknife/blob/master/butterknife-integration-test/src/androidTest/java/com/example/butterknife/library/SimpleActivityTest.java")</f>
        <v/>
      </c>
      <c r="D48" t="inlineStr">
        <is>
          <t>This is a JUnit test for a simple Android application that uses Butter Knife to bind views in an activity. The test verifies that the correct views are bound to their corresponding IDs after calling `ButterKnife.bind()` on the activity instance. It also verifies that the views are correctly unbound by calling `Unbinder.unbind()`.</t>
        </is>
      </c>
      <c r="E48" t="n">
        <v>0.0035</v>
      </c>
      <c r="F48" t="n">
        <v>0.0323</v>
      </c>
      <c r="G48" t="n">
        <v>0.0806</v>
      </c>
      <c r="H48" t="inlineStr">
        <is>
          <t>This is a Java project that uses Butter Knife library to bind Android views to Java objects. The `SimpleActivity` class in this project has methods for binding and unbinding views using Butter Knife. The `verifyContentViewBinding()` method tests the correctness of view binding by verifying the IDs of bound views. The `verifySimpleActivityBound()` and `verifySimpleActivityUn</t>
        </is>
      </c>
      <c r="I48" t="n">
        <v>0.0041</v>
      </c>
      <c r="J48" t="n">
        <v>0.06560000000000001</v>
      </c>
      <c r="K48" t="n">
        <v>0.12</v>
      </c>
      <c r="L48" t="inlineStr">
        <is>
          <t>The provided Java code is part of a test suite for an Android app that uses the Butter Knife library for view binding. It defines a simple test case named "verifyContentViewBinding" that verifies that certain views are correctly bound to their corresponding IDs within the layout XML files. The test case creates an instance of the SimpleActivity class using the ActivityTestRule, binds the views using</t>
        </is>
      </c>
      <c r="M48" t="n">
        <v>0</v>
      </c>
      <c r="N48" t="n">
        <v>0</v>
      </c>
      <c r="O48" t="n">
        <v>0.0365</v>
      </c>
    </row>
    <row r="49">
      <c r="A49" t="inlineStr">
        <is>
          <t>butterknife</t>
        </is>
      </c>
      <c r="B49" t="inlineStr">
        <is>
          <t>butterknife-integration-test/src/androidTest/java/com/example/butterknife/library/SimpleAdapterTest.java</t>
        </is>
      </c>
      <c r="C49">
        <f>HYPERLINK("https://github.com/JakeWharton/butterknife/blob/master/butterknife-integration-test/src/androidTest/java/com/example/butterknife/library/SimpleAdapterTest.java")</f>
        <v/>
      </c>
      <c r="D49" t="inlineStr">
        <is>
          <t>This is a test file for a Java library called "ButterKnife". It appears to be testing the functionality of a class called `SimpleAdapter`, which is used to bind views from a layout resource to a data model object. The test case verifies that the `ViewHolder` class correctly initializes its fields with the correct view IDs from the layout resource.</t>
        </is>
      </c>
      <c r="E49" t="n">
        <v>0.0037</v>
      </c>
      <c r="F49" t="n">
        <v>0.0597</v>
      </c>
      <c r="G49" t="n">
        <v>0.07630000000000001</v>
      </c>
      <c r="H49" t="inlineStr">
        <is>
          <t>This is a Java test file for a library called "Butter Knife" that provides a way to bind Android views in a more efficient manner than traditional findViewById(). The file defines a single test method named "verifyViewHolderViews()" which inflates a view from a layout resource file and creates a new instance of a custom ViewHolder class using the inflated view as its root. It then ver</t>
        </is>
      </c>
      <c r="I49" t="n">
        <v>0.0033</v>
      </c>
      <c r="J49" t="n">
        <v>0.0541</v>
      </c>
      <c r="K49" t="n">
        <v>0.1087</v>
      </c>
      <c r="L49" t="inlineStr">
        <is>
          <t>The provided code is part of a test suite for a Java library called "Butter Knife". It defines a simple adapter that inflates a layout resource and creates view holders for each item in a list. The test verifies that the view holders have the expected IDs for their corresponding views.</t>
        </is>
      </c>
      <c r="M49" t="n">
        <v>0.0036</v>
      </c>
      <c r="N49" t="n">
        <v>0.0339</v>
      </c>
      <c r="O49" t="n">
        <v>0.0813</v>
      </c>
    </row>
    <row r="50">
      <c r="A50" t="inlineStr">
        <is>
          <t>butterknife</t>
        </is>
      </c>
      <c r="B50" t="inlineStr">
        <is>
          <t>butterknife-reflect/src/main/java/butterknife/ButterKnife.java</t>
        </is>
      </c>
      <c r="C50">
        <f>HYPERLINK("https://github.com/JakeWharton/butterknife/blob/master/butterknife-reflect/src/main/java/butterknife/ButterKnife.java")</f>
        <v/>
      </c>
      <c r="D50" t="inlineStr">
        <is>
          <t>The code is a Java library for Android development that provides various utility methods for working with views in an app. It includes functions for setting text, colors, fonts, images, animations, and other properties on views, as well as handling events such as button clicks and touch gestures. The library also includes support for using resources from XML files and for creating custom adapters for view p</t>
        </is>
      </c>
      <c r="E50" t="n">
        <v>0.0027</v>
      </c>
      <c r="F50" t="n">
        <v>0.0533</v>
      </c>
      <c r="G50" t="n">
        <v>0.07190000000000001</v>
      </c>
      <c r="H50" t="inlineStr">
        <is>
          <t>This is a Java library for Android development that provides various utility methods and classes for working with views in an app. The library includes support for creating and manipulating views, handling user input, and animating view transitions. It also includes a number of helper classes for working with different types of data, such as strings, integers, and colors. Overall, this library is designed to make</t>
        </is>
      </c>
      <c r="I50" t="n">
        <v>0.0033</v>
      </c>
      <c r="J50" t="n">
        <v>0.0541</v>
      </c>
      <c r="K50" t="n">
        <v>0.1087</v>
      </c>
      <c r="L50" t="inlineStr">
        <is>
          <t>The provided code is part of the ButterKnife library for Android development. It provides a set of annotations that can be used to simplify the process of working with views in Java code. The code defines various methods and classes related to view manipulation, such as setting text, images, and listeners, as well as animation and other helper functions. The library also includes support for binding</t>
        </is>
      </c>
      <c r="M50" t="n">
        <v>0.0028</v>
      </c>
      <c r="N50" t="n">
        <v>0.027</v>
      </c>
      <c r="O50" t="n">
        <v>0.0725</v>
      </c>
    </row>
    <row r="51">
      <c r="A51" t="inlineStr">
        <is>
          <t>butterknife</t>
        </is>
      </c>
      <c r="B51" t="inlineStr">
        <is>
          <t>butterknife-reflect/src/main/java/butterknife/CompositeUnbinder.java</t>
        </is>
      </c>
      <c r="C51">
        <f>HYPERLINK("https://github.com/JakeWharton/butterknife/blob/master/butterknife-reflect/src/main/java/butterknife/CompositeUnbinder.java")</f>
        <v/>
      </c>
      <c r="D51" t="inlineStr">
        <is>
          <t>The `CompositeUnbinder` class is a utility class that provides a way to composite multiple `Unbinder` objects into one. It does this by maintaining a list of `Unbinder` objects and calling their `unbind()` method in a loop when its own `unbind()` method is called. This allows developers to easily manage complex binding scenarios where multiple bind</t>
        </is>
      </c>
      <c r="E51" t="n">
        <v>0.004</v>
      </c>
      <c r="F51" t="n">
        <v>0.0635</v>
      </c>
      <c r="G51" t="n">
        <v>0.07870000000000001</v>
      </c>
      <c r="H51" t="inlineStr">
        <is>
          <t>This is a Java library called "butterknife" that provides a way to automatically inject dependencies into Android views. The library consists of a single file named `CompositeUnbinder`, which has a constructor that takes in a list of other `Unbinder` objects and defines a method called `unbind()` that iterates over these objects and calls their `unbind()`</t>
        </is>
      </c>
      <c r="I51" t="n">
        <v>0.004</v>
      </c>
      <c r="J51" t="n">
        <v>0.0635</v>
      </c>
      <c r="K51" t="n">
        <v>0.07870000000000001</v>
      </c>
      <c r="L51" t="inlineStr">
        <is>
          <t>The `CompositeUnbinder` class is a utility used to manage multiple `Unbinder` instances. It provides a single interface for binding and unbinding resources, allowing developers to easily manage complex resource management scenarios. The class takes a list of `Unbinder` objects as input during construction and stores them internally. When the `unbind()` method is called, it iter</t>
        </is>
      </c>
      <c r="M51" t="n">
        <v>0.0033</v>
      </c>
      <c r="N51" t="n">
        <v>0.0317</v>
      </c>
      <c r="O51" t="n">
        <v>0.07870000000000001</v>
      </c>
    </row>
    <row r="52">
      <c r="A52" t="inlineStr">
        <is>
          <t>butterknife</t>
        </is>
      </c>
      <c r="B52" t="inlineStr">
        <is>
          <t>butterknife-reflect/src/main/java/butterknife/FieldUnbinder.java</t>
        </is>
      </c>
      <c r="C52">
        <f>HYPERLINK("https://github.com/JakeWharton/butterknife/blob/master/butterknife-reflect/src/main/java/butterknife/FieldUnbinder.java")</f>
        <v/>
      </c>
      <c r="D52" t="inlineStr">
        <is>
          <t>The provided code is part of a library called "butterknife" that helps developers bind data to views in Android applications more easily. It consists of a single class called `FieldUnbinder` which has two fields: `target`, which represents the object whose field needs to be bound, and `field`, which represents the field on the target object that needs to be bound.</t>
        </is>
      </c>
      <c r="E52" t="n">
        <v>0.003</v>
      </c>
      <c r="F52" t="n">
        <v>0.0294</v>
      </c>
      <c r="G52" t="n">
        <v>0.07580000000000001</v>
      </c>
      <c r="H52" t="inlineStr">
        <is>
          <t>This is a Java package named "butterknife" that provides a utility for binding and unbinding objects to fields in other classes. The package consists of one file, `FieldUnbinder`, which has a single method, `unbind()`, that sets the value of a field on an object to null. The constructor takes two arguments: the object whose field should be bound, and</t>
        </is>
      </c>
      <c r="I52" t="n">
        <v>0.0037</v>
      </c>
      <c r="J52" t="n">
        <v>0.0597</v>
      </c>
      <c r="K52" t="n">
        <v>0.07630000000000001</v>
      </c>
      <c r="L52" t="inlineStr">
        <is>
          <t>The provided code defines a "FieldUnbinder" class that is used by Butter Knife library to unbind fields from their corresponding views. It takes two parameters - the object instance containing the field and the field itself - as input and sets the value of the field to null using reflection.</t>
        </is>
      </c>
      <c r="M52" t="n">
        <v>0.0037</v>
      </c>
      <c r="N52" t="n">
        <v>0.0357</v>
      </c>
      <c r="O52" t="n">
        <v>0.082</v>
      </c>
    </row>
    <row r="53">
      <c r="A53" t="inlineStr">
        <is>
          <t>butterknife</t>
        </is>
      </c>
      <c r="B53" t="inlineStr">
        <is>
          <t>butterknife-reflect/src/main/java/butterknife/ListenerUnbinder.java</t>
        </is>
      </c>
      <c r="C53">
        <f>HYPERLINK("https://github.com/JakeWharton/butterknife/blob/master/butterknife-reflect/src/main/java/butterknife/ListenerUnbinder.java")</f>
        <v/>
      </c>
      <c r="D53" t="inlineStr">
        <is>
          <t>This is a Java class called `ListenerUnbinder` that is used to unbind listeners from a list of views. It takes in two parameters: `targets`, which is a list of view objects, and `setter`, which is a function that sets the listener on each view object. The class has two constructors, one that initializes the listener to `null`</t>
        </is>
      </c>
      <c r="E53" t="n">
        <v>0.0038</v>
      </c>
      <c r="F53" t="n">
        <v>0.0615</v>
      </c>
      <c r="G53" t="n">
        <v>0.1163</v>
      </c>
      <c r="H53" t="inlineStr">
        <is>
          <t>This is a Java library for Android development that provides a way to bind listeners to views in a more efficient manner than using traditional methods. The library uses a combination of generics and reflection to allow developers to easily bind listeners to multiple views at once, while also providing a flexible way to unbind them later on. The main class of interest is `ListenerUnbinder`, which takes</t>
        </is>
      </c>
      <c r="I53" t="n">
        <v>0.0032</v>
      </c>
      <c r="J53" t="n">
        <v>0.0533</v>
      </c>
      <c r="K53" t="n">
        <v>0.1079</v>
      </c>
      <c r="L53" t="inlineStr">
        <is>
          <t>The provided code defines a `ListenerUnbinder` class that is used for binding listeners to views in Android applications. It takes two generic parameters - `V`, which represents the view type, and `L`, which represents the listener type. The class has three constructors: one that takes only a list of views and a setter function, another that takes the same arguments plus a</t>
        </is>
      </c>
      <c r="M53" t="n">
        <v>0.0029</v>
      </c>
      <c r="N53" t="n">
        <v>0.029</v>
      </c>
      <c r="O53" t="n">
        <v>0.0746</v>
      </c>
    </row>
    <row r="54">
      <c r="A54" t="inlineStr">
        <is>
          <t>butterknife</t>
        </is>
      </c>
      <c r="B54" t="inlineStr">
        <is>
          <t>butterknife-reflect/src/main/java/butterknife/EmptyTextWatcher.java</t>
        </is>
      </c>
      <c r="C54">
        <f>HYPERLINK("https://github.com/JakeWharton/butterknife/blob/master/butterknife-reflect/src/main/java/butterknife/EmptyTextWatcher.java")</f>
        <v/>
      </c>
      <c r="D54" t="inlineStr">
        <is>
          <t>This is a Java class named "EmptyTextWatcher" that implements the TextWatcher interface. It has three methods: `beforeTextChanged()`, `onTextChanged()`, and `afterTextChanged()`. These methods are called by Android's text watcher mechanism when certain events occur in an EditText field. The `beforeTextChanged()` method is called before the text changes, the `</t>
        </is>
      </c>
      <c r="E54" t="n">
        <v>0.005</v>
      </c>
      <c r="F54" t="n">
        <v>0.1071</v>
      </c>
      <c r="G54" t="n">
        <v>0.125</v>
      </c>
      <c r="H54" t="inlineStr">
        <is>
          <t>This is a Java package named "butterknife" that provides a class called "EmptyTextWatcher" which implements the Android TextWatcher interface. The class has three methods: beforeTextChanged(), onTextChanged(), and afterTextChanged(). These methods are empty and serve as placeholders for any custom logic that may be needed to handle text changes in an EditText field.</t>
        </is>
      </c>
      <c r="I54" t="n">
        <v>0.0046</v>
      </c>
      <c r="J54" t="n">
        <v>0.1333</v>
      </c>
      <c r="K54" t="n">
        <v>0.121</v>
      </c>
      <c r="L54" t="inlineStr">
        <is>
          <t>The provided code defines a class called "EmptyTextWatcher" that implements the Android TextWatcher interface. It overrides three methods from the base class - beforeTextChanged(), onTextChanged(), and afterTextChanged() - but does not perform any actual text manipulation. Instead, these methods are left empty, effectively making the class a no-op.</t>
        </is>
      </c>
      <c r="M54" t="n">
        <v>0.0045</v>
      </c>
      <c r="N54" t="n">
        <v>0.0727</v>
      </c>
      <c r="O54" t="n">
        <v>0.125</v>
      </c>
    </row>
    <row r="55">
      <c r="A55" t="inlineStr">
        <is>
          <t>butterknife</t>
        </is>
      </c>
      <c r="B55" t="inlineStr">
        <is>
          <t>website/static/prettify.js</t>
        </is>
      </c>
      <c r="C55">
        <f>HYPERLINK("https://github.com/JakeWharton/butterknife/blob/master/website/static/prettify.js")</f>
        <v/>
      </c>
      <c r="D55" t="inlineStr">
        <is>
          <t>The provided code is a JavaScript implementation of a regular expression engine. It defines a function `L` that takes a string as input and returns an array of arrays representing the matches in the input string. The function uses a number of helper functions to parse the regular expression pattern and perform matching. The main logic of the function can be summarized as follows:
1. Parse the regular expression</t>
        </is>
      </c>
      <c r="E55" t="n">
        <v>0.0026</v>
      </c>
      <c r="F55" t="n">
        <v>0.1039</v>
      </c>
      <c r="G55" t="n">
        <v>0.1064</v>
      </c>
      <c r="H55" t="inlineStr">
        <is>
          <t>This is a JavaScript file that defines a function called `L` which takes in a string as input and returns a modified version of it with certain characters escaped. The function uses regular expressions to identify specific patterns in the input string and replace them with their corresponding escape sequences. It then sorts the resulting array of escape sequences based on their character codes and outputs the final result.
The complexity of</t>
        </is>
      </c>
      <c r="I55" t="n">
        <v>0.003</v>
      </c>
      <c r="J55" t="n">
        <v>0.075</v>
      </c>
      <c r="K55" t="n">
        <v>0.1042</v>
      </c>
      <c r="L55" t="inlineStr">
        <is>
          <t>The provided code defines a regular expression pattern for matching strings that consist only of letters (both uppercase and lowercase) and digits. The pattern uses character classes and ranges to match any letter or digit from the ASCII table. The code also includes some special characters such as "\w" which matches any word character (alphanumeric plus underscore) and "\W" which matches any non-</t>
        </is>
      </c>
      <c r="M55" t="n">
        <v>0.0029</v>
      </c>
      <c r="N55" t="n">
        <v>0.0282</v>
      </c>
      <c r="O55" t="n">
        <v>0.0741</v>
      </c>
    </row>
    <row r="56">
      <c r="A56" t="inlineStr">
        <is>
          <t>butterknife</t>
        </is>
      </c>
      <c r="B56" t="inlineStr">
        <is>
          <t>website/static/jquery-maven-artifact.min.js</t>
        </is>
      </c>
      <c r="C56">
        <f>HYPERLINK("https://github.com/JakeWharton/butterknife/blob/master/website/static/jquery-maven-artifact.min.js")</f>
        <v/>
      </c>
      <c r="D56" t="inlineStr">
        <is>
          <t>This is a JavaScript plugin for the jQuery library that allows you to retrieve information about a specific artifact (e.g., a Java package or class) from the Maven Central Repository. The plugin uses the search API provided by the Maven Central Repository to find the latest version of an artifact and then retrieves its metadata using the `downloadUrl` function. Once it has retrieved the metadata,</t>
        </is>
      </c>
      <c r="E56" t="n">
        <v>0.0033</v>
      </c>
      <c r="F56" t="n">
        <v>0.0541</v>
      </c>
      <c r="G56" t="n">
        <v>0.1095</v>
      </c>
      <c r="H56" t="inlineStr">
        <is>
          <t>This is a Java plugin for the jQuery library that allows users to easily retrieve the latest version of an artifact from the Maven Central Repository. The plugin provides a single method called `artifactVersion` which takes in three parameters: `groupId`, `artifactId`, and `callback`. It then uses the `downloadUrl` function to construct the URL for the requested artifact and retrieves its latest version using</t>
        </is>
      </c>
      <c r="I56" t="n">
        <v>0.0034</v>
      </c>
      <c r="J56" t="n">
        <v>0.08450000000000001</v>
      </c>
      <c r="K56" t="n">
        <v>0.1111</v>
      </c>
      <c r="L56" t="inlineStr">
        <is>
          <t>The provided code is a JavaScript plugin for downloading Maven artifacts using jQuery. It provides a simple API for retrieving the latest version of an artifact from a specified group ID and artifact ID, as well as the URL for downloading that version. The plugin also includes a method for generating the URL for downloading the artifact's jar file.</t>
        </is>
      </c>
      <c r="M56" t="n">
        <v>0.0031</v>
      </c>
      <c r="N56" t="n">
        <v>0.0294</v>
      </c>
      <c r="O56" t="n">
        <v>0.07630000000000001</v>
      </c>
    </row>
    <row r="57">
      <c r="A57" t="inlineStr">
        <is>
          <t>butterknife</t>
        </is>
      </c>
      <c r="B57" t="inlineStr">
        <is>
          <t>butterknife-gradle-plugin/src/main/java/butterknife/plugin/R2Generator.kt</t>
        </is>
      </c>
      <c r="C57">
        <f>HYPERLINK("https://github.com/JakeWharton/butterknife/blob/master/butterknife-gradle-plugin/src/main/java/butterknife/plugin/R2Generator.kt")</f>
        <v/>
      </c>
      <c r="D57" t="inlineStr">
        <is>
          <t>The `R2Generator` task is a Gradle plugin that generates Java classes from Android's `R.txt` file. It takes in three inputs:
* `outputDir`: A directory where the generated Java classes will be written to.
* `rFile`: An input file containing the contents of the `R.txt` file.
* `packageName`:</t>
        </is>
      </c>
      <c r="E57" t="n">
        <v>0</v>
      </c>
      <c r="F57" t="n">
        <v>0</v>
      </c>
      <c r="G57" t="n">
        <v>0</v>
      </c>
      <c r="H57" t="inlineStr">
        <is>
          <t>This is a Kotlin script that generates Java classes from Android resources (`.xml` files). The `brewJava()` function takes in four parameters:
* `rFile`: A single `.xml` file containing Android resource definitions.
* `outputDir`: The directory where the generated Java classes should be saved.
* `packageName`: The name of the package for the</t>
        </is>
      </c>
      <c r="I57" t="n">
        <v>0.0035</v>
      </c>
      <c r="J57" t="n">
        <v>0.0702</v>
      </c>
      <c r="K57" t="n">
        <v>0.0806</v>
      </c>
      <c r="L57" t="inlineStr">
        <is>
          <t>The provided code is a part of a Gradle plugin that generates Java classes from R files. It defines a `R2Generator` task that takes in an input R file, a destination directory for generated Java classes, and two strings representing the package name and class name. The task then calls the `brewJava()` function, which performs the actual generation of the Java classes based on the</t>
        </is>
      </c>
      <c r="M57" t="n">
        <v>0.0028</v>
      </c>
      <c r="N57" t="n">
        <v>0.0274</v>
      </c>
      <c r="O57" t="n">
        <v>0.073</v>
      </c>
    </row>
    <row r="58">
      <c r="A58" t="inlineStr">
        <is>
          <t>butterknife</t>
        </is>
      </c>
      <c r="B58" t="inlineStr">
        <is>
          <t>butterknife-gradle-plugin/src/main/java/butterknife/plugin/ResourceSymbolListReader.kt</t>
        </is>
      </c>
      <c r="C58">
        <f>HYPERLINK("https://github.com/JakeWharton/butterknife/blob/master/butterknife-gradle-plugin/src/main/java/butterknife/plugin/ResourceSymbolListReader.kt")</f>
        <v/>
      </c>
      <c r="D58" t="inlineStr">
        <is>
          <t>The `ResourceSymbolListReader` class is used to parse a resource symbol list file and extract information about resources in the Android app. It takes a `FinalRClassBuilder` object as input and uses it to add new fields to the generated R class for each resource found in the symbol table.
The `readSymbolTable` method reads the contents of a given symbol table file and</t>
        </is>
      </c>
      <c r="E58" t="n">
        <v>0.003</v>
      </c>
      <c r="F58" t="n">
        <v>0.029</v>
      </c>
      <c r="G58" t="n">
        <v>0.0752</v>
      </c>
      <c r="H58" t="inlineStr">
        <is>
          <t>This is a Kotlin library for processing resource files used in Android development. The library provides a `ResourceSymbolListReader` class that reads a symbol table file and generates a list of resources with their corresponding IDs. The symbols in the symbol table are processed one by one, and each symbol's type and name are extracted from the line. If the symbol is of type int and its name</t>
        </is>
      </c>
      <c r="I58" t="n">
        <v>0.0032</v>
      </c>
      <c r="J58" t="n">
        <v>0.0526</v>
      </c>
      <c r="K58" t="n">
        <v>0.1079</v>
      </c>
      <c r="L58" t="inlineStr">
        <is>
          <t>The provided code defines a `ResourceSymbolListReader` class that reads a resource symbol table file and generates a list of resources for use by Butter Knife's annotation processor. It uses the `FinalRClassBuilder` class to add resources to the generated R class. The reader supports reading from a file and processing each line as a separate operation. Each line is split into four parts</t>
        </is>
      </c>
      <c r="M58" t="n">
        <v>0.0029</v>
      </c>
      <c r="N58" t="n">
        <v>0.0282</v>
      </c>
      <c r="O58" t="n">
        <v>0.0746</v>
      </c>
    </row>
    <row r="59">
      <c r="A59" t="inlineStr">
        <is>
          <t>butterknife</t>
        </is>
      </c>
      <c r="B59" t="inlineStr">
        <is>
          <t>butterknife-gradle-plugin/src/main/java/butterknife/plugin/FinalRClassBuilder.kt</t>
        </is>
      </c>
      <c r="C59">
        <f>HYPERLINK("https://github.com/JakeWharton/butterknife/blob/master/butterknife-gradle-plugin/src/main/java/butterknife/plugin/FinalRClassBuilder.kt")</f>
        <v/>
      </c>
      <c r="D59" t="inlineStr">
        <is>
          <t>This is a Kotlin program that generates a Java class with final fields containing the names of resources from an Android project's `R` file. The generated class has a name specified by the user and is placed in a package specified by the user. Each field in the generated class corresponds to a different resource type (e.g., string, drawable, etc.) and has a value</t>
        </is>
      </c>
      <c r="E59" t="n">
        <v>0.0034</v>
      </c>
      <c r="F59" t="n">
        <v>0.0541</v>
      </c>
      <c r="G59" t="n">
        <v>0.0735</v>
      </c>
      <c r="H59" t="inlineStr">
        <is>
          <t>This is a Kotlin library called `butterknife-plugin` that generates a Java class containing all the resources from an Android project's R file as final fields with their respective types. The generated class can be used to access these resources without having to use reflection or the `Resources` class. Additionally, this plugin allows developers to add support annotations to each field indicating its type,</t>
        </is>
      </c>
      <c r="I59" t="n">
        <v>0.0029</v>
      </c>
      <c r="J59" t="n">
        <v>0.0274</v>
      </c>
      <c r="K59" t="n">
        <v>0.0741</v>
      </c>
      <c r="L59" t="inlineStr">
        <is>
          <t>The provided code is part of a plugin for ButterKnife library. It generates a Java class that contains all the supported field names from an Android project's R file as final values. Additionally, it adds support annotations to each field indicating the type of resource used. The generated class can be used by other parts of the application to access resources more easily.</t>
        </is>
      </c>
      <c r="M59" t="n">
        <v>0</v>
      </c>
      <c r="N59" t="n">
        <v>0</v>
      </c>
      <c r="O59" t="n">
        <v>0.037</v>
      </c>
    </row>
    <row r="60">
      <c r="A60" t="inlineStr">
        <is>
          <t>butterknife</t>
        </is>
      </c>
      <c r="B60" t="inlineStr">
        <is>
          <t>butterknife-gradle-plugin/src/main/java/butterknife/plugin/ButterKnifePlugin.kt</t>
        </is>
      </c>
      <c r="C60">
        <f>HYPERLINK("https://github.com/JakeWharton/butterknife/blob/master/butterknife-gradle-plugin/src/main/java/butterknife/plugin/ButterKnifePlugin.kt")</f>
        <v/>
      </c>
      <c r="D60" t="inlineStr">
        <is>
          <t>The `ButterKnifePlugin` class defines a Gradle plugin that applies to Android projects. It uses the `com.android.build.gradle` API to interact with the Android build system and generate resource files for each variant in the project.
The plugin's `apply()` method takes a `Project` object as its argument and performs the following actions:</t>
        </is>
      </c>
      <c r="E60" t="n">
        <v>0.0037</v>
      </c>
      <c r="F60" t="n">
        <v>0.0323</v>
      </c>
      <c r="G60" t="n">
        <v>0.082</v>
      </c>
      <c r="H60" t="inlineStr">
        <is>
          <t>This plugin applies to Gradle projects and provides support for the Butter Knife annotation processor. It adds several new tasks to the build process, including one that generates R files for each variant of the app, and another that links those generated R files into the APK. The plugin also configures the Android extension to use the Butter Knife annotation processor by default.</t>
        </is>
      </c>
      <c r="I60" t="n">
        <v>0.0034</v>
      </c>
      <c r="J60" t="n">
        <v>0.0563</v>
      </c>
      <c r="K60" t="n">
        <v>0.1111</v>
      </c>
      <c r="L60" t="inlineStr">
        <is>
          <t>The `ButterKnifePlugin` class is a Gradle plugin that provides a mechanism for generating resource files for Android applications using the `butterknife` library. It applies to projects that use the `com.android.application` or `com.android.library` plugins and adds a new task called `generateResourceFiles` to the build process.
The `</t>
        </is>
      </c>
      <c r="M60" t="n">
        <v>0.004</v>
      </c>
      <c r="N60" t="n">
        <v>0.0351</v>
      </c>
      <c r="O60" t="n">
        <v>0.0847</v>
      </c>
    </row>
    <row r="61">
      <c r="A61" t="inlineStr">
        <is>
          <t>butterknife</t>
        </is>
      </c>
      <c r="B61" t="inlineStr">
        <is>
          <t>butterknife-gradle-plugin/src/test/resources/fixtures/R2.java</t>
        </is>
      </c>
      <c r="C61">
        <f>HYPERLINK("https://github.com/JakeWharton/butterknife/blob/master/butterknife-gradle-plugin/src/test/resources/fixtures/R2.java")</f>
        <v/>
      </c>
      <c r="D61" t="inlineStr">
        <is>
          <t>The provided code is a Java file that defines several classes for accessing resources in Android applications. The `R2` class is the main entry point for accessing these resources, and it has several subclasses representing different types of resources (e.g., `anim`, `array`, `attr`, etc.). Each subclass has a single field named `res` that represents the resource ID associated with that</t>
        </is>
      </c>
      <c r="E61" t="n">
        <v>0.003</v>
      </c>
      <c r="F61" t="n">
        <v>0.029</v>
      </c>
      <c r="G61" t="n">
        <v>0.0379</v>
      </c>
      <c r="H61" t="inlineStr">
        <is>
          <t>This is a Java file containing a set of constants for resource IDs used in Android applications. The `R2` class defines several inner classes with names that correspond to different types of resources (e.g., `anim`, `array`, `attr`, etc.). Each inner class has a single field named `res` that holds the ID value for the corresponding resource type. The `@...Res</t>
        </is>
      </c>
      <c r="I61" t="n">
        <v>0.0031</v>
      </c>
      <c r="J61" t="n">
        <v>0.0294</v>
      </c>
      <c r="K61" t="n">
        <v>0.07630000000000001</v>
      </c>
      <c r="L61" t="inlineStr">
        <is>
          <t>The generated code is part of a Butter Knife library for Android development. It provides resource IDs for various types of resources such as animations, arrays, attributes, booleans, colors, dimensions, drawables, IDs, integers, layouts, menus, plural strings, strings, styles, styleables, and more. These resource IDs can be used by other parts of</t>
        </is>
      </c>
      <c r="M61" t="n">
        <v>0.0035</v>
      </c>
      <c r="N61" t="n">
        <v>0.0333</v>
      </c>
      <c r="O61" t="n">
        <v>0.0806</v>
      </c>
    </row>
    <row r="62">
      <c r="A62" t="inlineStr">
        <is>
          <t>butterknife</t>
        </is>
      </c>
      <c r="B62" t="inlineStr">
        <is>
          <t>butterknife-gradle-plugin/src/test/fixtures/suffix_parsed_properly/src/main/java/butterknife/test/ButteryActivity.java</t>
        </is>
      </c>
      <c r="C62">
        <f>HYPERLINK("https://github.com/JakeWharton/butterknife/blob/master/butterknife-gradle-plugin/src/test/fixtures/suffix_parsed_properly/src/main/java/butterknife/test/ButteryActivity.java")</f>
        <v/>
      </c>
      <c r="D62" t="inlineStr">
        <is>
          <t>This is a Java class that represents an Android activity with Butter Knife dependency injection enabled. The class has two methods: `onCreate()` and `onDestroy()`. In the `onCreate()` method, the `ButterKnife` library is used to bind the view objects in the layout file (defined by the `R2.id.title` field) to the corresponding variables</t>
        </is>
      </c>
      <c r="E62" t="n">
        <v>0.0043</v>
      </c>
      <c r="F62" t="n">
        <v>0.06560000000000001</v>
      </c>
      <c r="G62" t="n">
        <v>0.122</v>
      </c>
      <c r="H62" t="inlineStr">
        <is>
          <t>This is a Java Android project that uses the Butter Knife library to bind views in the UI layer to variables in the activity class. The `ButteryActivity` class extends the `Activity` class and has a single field annotated with `@BindView`, which is used to bind a `TextView` object to the variable `title`. In the `onCreate()` method, the `But</t>
        </is>
      </c>
      <c r="I62" t="n">
        <v>0.0037</v>
      </c>
      <c r="J62" t="n">
        <v>0.0606</v>
      </c>
      <c r="K62" t="n">
        <v>0.1154</v>
      </c>
      <c r="L62" t="inlineStr">
        <is>
          <t>The provided code is a Java class named "ButteryActivity" that inherits from Android's "Activity" class. It uses the Butter Knife library for view binding, which simplifies the process of accessing and modifying UI elements in Android applications. The class has one method, "onCreate", which calls the "bind" method of the Butter Knife library to bind the views</t>
        </is>
      </c>
      <c r="M62" t="n">
        <v>0.0032</v>
      </c>
      <c r="N62" t="n">
        <v>0.0303</v>
      </c>
      <c r="O62" t="n">
        <v>0.0775</v>
      </c>
    </row>
    <row r="63">
      <c r="A63" t="inlineStr">
        <is>
          <t>butterknife</t>
        </is>
      </c>
      <c r="B63" t="inlineStr">
        <is>
          <t>butterknife-gradle-plugin/src/test/java/butterknife/plugin/BuildFilesRule.kt</t>
        </is>
      </c>
      <c r="C63">
        <f>HYPERLINK("https://github.com/JakeWharton/butterknife/blob/master/butterknife-gradle-plugin/src/test/java/butterknife/plugin/BuildFilesRule.kt")</f>
        <v/>
      </c>
      <c r="D63" t="inlineStr">
        <is>
          <t>The `BuildFilesRule` class is a JUnit test rule that creates or updates two files in the specified directory: `settings.gradle` and `build.gradle`. If either file does not exist, it will be created with default content. The `apply()` method takes two parameters: `base`, which is the base statement to execute before evaluating the rule, and `description`,</t>
        </is>
      </c>
      <c r="E63" t="n">
        <v>0.0034</v>
      </c>
      <c r="F63" t="n">
        <v>0.0312</v>
      </c>
      <c r="G63" t="n">
        <v>0.0397</v>
      </c>
      <c r="H63" t="inlineStr">
        <is>
          <t>This is a Kotlin library that provides a set of utility functions for working with files in a Gradle project. The `BuildFilesRule` class implements JUnit's `TestRule` interface and provides a way to create and modify files during test execution. It takes a `root` directory as input and creates or modifies the following files within that directory:
* `settings</t>
        </is>
      </c>
      <c r="I63" t="n">
        <v>0.0041</v>
      </c>
      <c r="J63" t="n">
        <v>0.09089999999999999</v>
      </c>
      <c r="K63" t="n">
        <v>0.1538</v>
      </c>
      <c r="L63" t="inlineStr">
        <is>
          <t>The `BuildFilesRule` class is used as a JUnit test rule for building Gradle files. It creates a `settings.gradle` file if one doesn't exist in the specified directory, and it adds a `build.gradle` file based on a template from the same directory if one doesn't already exist.</t>
        </is>
      </c>
      <c r="M63" t="n">
        <v>0.004</v>
      </c>
      <c r="N63" t="n">
        <v>0.0345</v>
      </c>
      <c r="O63" t="n">
        <v>0.0847</v>
      </c>
    </row>
    <row r="64">
      <c r="A64" t="inlineStr">
        <is>
          <t>butterknife</t>
        </is>
      </c>
      <c r="B64" t="inlineStr">
        <is>
          <t>butterknife-gradle-plugin/src/test/java/butterknife/plugin/AndroidHome.kt</t>
        </is>
      </c>
      <c r="C64">
        <f>HYPERLINK("https://github.com/JakeWharton/butterknife/blob/master/butterknife-gradle-plugin/src/test/java/butterknife/plugin/AndroidHome.kt")</f>
        <v/>
      </c>
      <c r="D64" t="inlineStr">
        <is>
          <t>This is a Kotlin function named `androidHome()` that returns the path to the Android SDK directory based on the following priority order:
1. The value of the `ANDROID_HOME` environment variable. If this variable is set, it will be returned directly.
2. A file called `local.properties` in the parent directory of the current working directory. If</t>
        </is>
      </c>
      <c r="E64" t="n">
        <v>0.0033</v>
      </c>
      <c r="F64" t="n">
        <v>0.0615</v>
      </c>
      <c r="G64" t="n">
        <v>0.07870000000000001</v>
      </c>
      <c r="H64" t="inlineStr">
        <is>
          <t>This is a Kotlin function named `androidHome()` that returns the path to the Android SDK directory. The function first checks if the `ANDROID_HOME` environment variable is set, and if so, it returns its value. If the variable is not set, the function looks for a file called `local.properties` in the parent directory of the current working directory, and if</t>
        </is>
      </c>
      <c r="I64" t="n">
        <v>0.0037</v>
      </c>
      <c r="J64" t="n">
        <v>0.08699999999999999</v>
      </c>
      <c r="K64" t="n">
        <v>0.1145</v>
      </c>
      <c r="L64" t="inlineStr">
        <is>
          <t>The provided code defines an internal function named `androidHome()` that returns the value of the ANDROID_HOME environment variable. If the variable is not set, it attempts to find the SDK directory by reading the `local.properties` file located in the parent folder of the current working directory. If the `local.properties` file exists and has a property called `sdk.dir`,</t>
        </is>
      </c>
      <c r="M64" t="n">
        <v>0.0032</v>
      </c>
      <c r="N64" t="n">
        <v>0.058</v>
      </c>
      <c r="O64" t="n">
        <v>0.0775</v>
      </c>
    </row>
    <row r="65">
      <c r="A65" t="inlineStr">
        <is>
          <t>butterknife</t>
        </is>
      </c>
      <c r="B65" t="inlineStr">
        <is>
          <t>butterknife-gradle-plugin/src/test/java/butterknife/plugin/FixturesTest.kt</t>
        </is>
      </c>
      <c r="C65">
        <f>HYPERLINK("https://github.com/JakeWharton/butterknife/blob/master/butterknife-gradle-plugin/src/test/java/butterknife/plugin/FixturesTest.kt")</f>
        <v/>
      </c>
      <c r="D65" t="inlineStr">
        <is>
          <t>This is a test class for verifying the correctness of Butter Knife plugin using Gradle. The class takes two parameters: `fixtureRoot` which represents the root directory of the project to be tested, and `name` which is the name of the test case.
The test method `execute()` performs the following steps:
1. It sets up the Android</t>
        </is>
      </c>
      <c r="E65" t="n">
        <v>0.0039</v>
      </c>
      <c r="F65" t="n">
        <v>0.0625</v>
      </c>
      <c r="G65" t="n">
        <v>0.1172</v>
      </c>
      <c r="H65" t="inlineStr">
        <is>
          <t>This is a Kotlin test class that uses the `Parameterized` annotation to run multiple tests with different input parameters. The `@Test` method takes in two parameters, `fixtureRoot` and `name`, which represent the root directory for the test fixtures and the name of the test case, respectively.
The `buildFilesRule` field is annotated with the `@</t>
        </is>
      </c>
      <c r="I65" t="n">
        <v>0.004</v>
      </c>
      <c r="J65" t="n">
        <v>0.06560000000000001</v>
      </c>
      <c r="K65" t="n">
        <v>0.119</v>
      </c>
      <c r="L65" t="inlineStr">
        <is>
          <t>The code is part of a plugin for Butter Knife that generates test cases for Android projects using JUnit. It takes a directory containing Android project files as input and generates test cases for all activities and fragments in the project. The generated tests use the Butter Knife library to simulate button clicks and other user interactions.</t>
        </is>
      </c>
      <c r="M65" t="n">
        <v>0.0032</v>
      </c>
      <c r="N65" t="n">
        <v>0.0308</v>
      </c>
      <c r="O65" t="n">
        <v>0.0775</v>
      </c>
    </row>
    <row r="66">
      <c r="A66" t="inlineStr">
        <is>
          <t>butterknife</t>
        </is>
      </c>
      <c r="B66" t="inlineStr">
        <is>
          <t>butterknife-gradle-plugin/src/test/java/butterknife/plugin/FinalRClassBuilderTest.kt</t>
        </is>
      </c>
      <c r="C66">
        <f>HYPERLINK("https://github.com/JakeWharton/butterknife/blob/master/butterknife-gradle-plugin/src/test/java/butterknife/plugin/FinalRClassBuilderTest.kt")</f>
        <v/>
      </c>
      <c r="D66" t="inlineStr">
        <is>
          <t>The code is a test for a function called `brewJava` that takes in three parameters:
* `rFile`: A file object representing an R.txt file.
* `outputDir`: A directory where the generated Java files will be written to.
* `packageName`: The name of the package that the generated Java classes should belong to.
The function</t>
        </is>
      </c>
      <c r="E66" t="n">
        <v>0</v>
      </c>
      <c r="F66" t="n">
        <v>0.0333</v>
      </c>
      <c r="G66" t="n">
        <v>0.0397</v>
      </c>
      <c r="H66" t="inlineStr">
        <is>
          <t>This is a test class for the `FinalRClassBuilder` class in the Butter Knife plugin. The class has one method called `brewJava`, which takes four arguments:
* `rFile`: A file object representing the R.txt file that contains the resource IDs to be generated.
* `outputDir`: A directory where the generated Java files should be written</t>
        </is>
      </c>
      <c r="I66" t="n">
        <v>0.0034</v>
      </c>
      <c r="J66" t="n">
        <v>0.0328</v>
      </c>
      <c r="K66" t="n">
        <v>0.0397</v>
      </c>
      <c r="L66" t="inlineStr">
        <is>
          <t>The provided code is part of a plugin for the Butter Knife library that generates R classes from resource files. It takes in an input file containing resource definitions (e.g., `R.txt`) and produces a corresponding R class (`R2.java` in this case). The generated R class includes methods for accessing resources by name, as well as constants for each resource ID.</t>
        </is>
      </c>
      <c r="M66" t="n">
        <v>0.003</v>
      </c>
      <c r="N66" t="n">
        <v>0.0282</v>
      </c>
      <c r="O66" t="n">
        <v>0.1136</v>
      </c>
    </row>
    <row r="67">
      <c r="A67" t="inlineStr">
        <is>
          <t>butterknife</t>
        </is>
      </c>
      <c r="B67" t="inlineStr">
        <is>
          <t>butterknife-annotations/src/main/java/butterknife/BindDrawable.java</t>
        </is>
      </c>
      <c r="C67">
        <f>HYPERLINK("https://github.com/JakeWharton/butterknife/blob/master/butterknife-annotations/src/main/java/butterknife/BindDrawable.java")</f>
        <v/>
      </c>
      <c r="D67" t="inlineStr">
        <is>
          <t>The `BindDrawable` annotation in ButterKnife is used to bind a field to a specific drawable resource ID. It can also optionally specify a color attribute resource ID to use for tinting the drawable. This allows developers to easily access and manipulate drawables within their Android applications using annotations instead of manually finding and casting them.</t>
        </is>
      </c>
      <c r="E67" t="n">
        <v>0.004</v>
      </c>
      <c r="F67" t="n">
        <v>0.0635</v>
      </c>
      <c r="G67" t="n">
        <v>0.1181</v>
      </c>
      <c r="H67" t="inlineStr">
        <is>
          <t>This Java annotation processor library for Android development provides a way to bind fields in an activity or fragment to specific drawables and color attributes. The `BindDrawable` annotation can be applied to fields of type `Drawable`, allowing you to specify a drawable resource ID as well as an optional color attribute resource ID (defaulting to no tint). When the annotated field is accessed, it returns</t>
        </is>
      </c>
      <c r="I67" t="n">
        <v>0.0033</v>
      </c>
      <c r="J67" t="n">
        <v>0.0548</v>
      </c>
      <c r="K67" t="n">
        <v>0.073</v>
      </c>
      <c r="L67" t="inlineStr">
        <is>
          <t>The code defines an annotation called "BindDrawable" for Android development, allowing developers to bind a field to a specific drawable resource ID. The annotation takes two parameters: "value", which specifies the drawable resource ID, and "tint", which specifies a color attribute resource ID that can be used to tint the drawable. The annotation is marked as "@Target(FI</t>
        </is>
      </c>
      <c r="M67" t="n">
        <v>0.0032</v>
      </c>
      <c r="N67" t="n">
        <v>0.0303</v>
      </c>
      <c r="O67" t="n">
        <v>0.0775</v>
      </c>
    </row>
    <row r="68">
      <c r="A68" t="inlineStr">
        <is>
          <t>butterknife</t>
        </is>
      </c>
      <c r="B68" t="inlineStr">
        <is>
          <t>butterknife-annotations/src/main/java/butterknife/OnEditorAction.java</t>
        </is>
      </c>
      <c r="C68">
        <f>HYPERLINK("https://github.com/JakeWharton/butterknife/blob/master/butterknife-annotations/src/main/java/butterknife/OnEditorAction.java")</f>
        <v/>
      </c>
      <c r="D68" t="inlineStr">
        <is>
          <t>The provided code defines an annotation called `@OnEditorAction` that can be used to bind a method to an `OnEditorActionListener` on a view for each ID specified. The method must have a specific signature, with any number of parameters from the `onEditorAction` method of `OnEditorActionListener`. The return type of the method can be either `void` or `boolean</t>
        </is>
      </c>
      <c r="E68" t="n">
        <v>0</v>
      </c>
      <c r="F68" t="n">
        <v>0</v>
      </c>
      <c r="G68" t="n">
        <v>0.0391</v>
      </c>
      <c r="H68" t="inlineStr">
        <is>
          <t>This is a Java library called Butter Knife that provides a way to bind methods to Android views' event listeners using annotations. The library allows developers to write more efficient and readable code by reducing boilerplate and improving readability. It also helps in maintaining consistency across different parts of the application.</t>
        </is>
      </c>
      <c r="I68" t="n">
        <v>0.0043</v>
      </c>
      <c r="J68" t="n">
        <v>0.0678</v>
      </c>
      <c r="K68" t="n">
        <v>0.122</v>
      </c>
      <c r="L68" t="inlineStr">
        <is>
          <t>The provided code defines an annotation called `@OnEditorAction` that allows developers to bind a method to an `OnEditorActionListener` on a view for each ID specified. When the user presses a keyboard button, the bound method will be triggered. The annotation can take any number of parameters from the `onEditorAction` method.</t>
        </is>
      </c>
      <c r="M68" t="n">
        <v>0</v>
      </c>
      <c r="N68" t="n">
        <v>0</v>
      </c>
      <c r="O68" t="n">
        <v>0</v>
      </c>
    </row>
    <row r="69">
      <c r="A69" t="inlineStr">
        <is>
          <t>butterknife</t>
        </is>
      </c>
      <c r="B69" t="inlineStr">
        <is>
          <t>butterknife-annotations/src/main/java/butterknife/BindDimen.java</t>
        </is>
      </c>
      <c r="C69">
        <f>HYPERLINK("https://github.com/JakeWharton/butterknife/blob/master/butterknife-annotations/src/main/java/butterknife/BindDimen.java")</f>
        <v/>
      </c>
      <c r="D69" t="inlineStr">
        <is>
          <t>The `BindDimen` annotation is used in Android development to bind a field to a specific dimension resource ID. It allows developers to easily access the value of a dimension resource from their Java code without having to manually retrieve it from the resources file.
The annotation takes one argument, `value`, which specifies the dimension resource ID that should be bound to the annotated field. The</t>
        </is>
      </c>
      <c r="E69" t="n">
        <v>0</v>
      </c>
      <c r="F69" t="n">
        <v>0</v>
      </c>
      <c r="G69" t="n">
        <v>0.0365</v>
      </c>
      <c r="H69" t="inlineStr">
        <is>
          <t>This is a Java annotation processor that generates bindings between fields in a class and Android resources (such as dimensions). The `BindDimen` annotation is used to annotate fields that should be bound to a specific dimension resource ID. When the annotation is processed by the annotation processor, it generates code that retrieves the value of the dimension from the Android resources and assigns it to the annot</t>
        </is>
      </c>
      <c r="I69" t="n">
        <v>0.0032</v>
      </c>
      <c r="J69" t="n">
        <v>0.0533</v>
      </c>
      <c r="K69" t="n">
        <v>0.1079</v>
      </c>
      <c r="L69" t="inlineStr">
        <is>
          <t>The provided code defines an annotation called "BindDimen" that binds a field to a dimension resource ID. It is used to annotate fields of type "int" or "float" that represent the size of something in pixels or as an exact amount, respectively. The annotation takes one argument, "value", which specifies the dimension resource ID to which the field should be bound.</t>
        </is>
      </c>
      <c r="M69" t="n">
        <v>0</v>
      </c>
      <c r="N69" t="n">
        <v>0</v>
      </c>
      <c r="O69" t="n">
        <v>0.0376</v>
      </c>
    </row>
    <row r="70">
      <c r="A70" t="inlineStr">
        <is>
          <t>butterknife</t>
        </is>
      </c>
      <c r="B70" t="inlineStr">
        <is>
          <t>butterknife-annotations/src/main/java/butterknife/OnTextChanged.java</t>
        </is>
      </c>
      <c r="C70">
        <f>HYPERLINK("https://github.com/JakeWharton/butterknife/blob/master/butterknife-annotations/src/main/java/butterknife/OnTextChanged.java")</f>
        <v/>
      </c>
      <c r="D70" t="inlineStr">
        <is>
          <t>The provided code defines an annotation called `@OnTextChanged` that can be used to bind a method to a `TextWatcher` on a view in Android. The annotation takes two arguments:
* `value`: the ID of the view to which the `TextWatcher` should be bound.
* `callback`: the name of the method that will be called when the `</t>
        </is>
      </c>
      <c r="E70" t="n">
        <v>0</v>
      </c>
      <c r="F70" t="n">
        <v>0</v>
      </c>
      <c r="G70" t="n">
        <v>0.0388</v>
      </c>
      <c r="H70" t="inlineStr">
        <is>
          <t>This is a Java library that provides a way to automatically bind Android views' text change events to methods in your code. The library uses annotations to mark methods that should be called when certain events occur, such as when the text changes in a TextView. It also includes a set of pre-defined listeners for common events like button clicks or scroll state changes.</t>
        </is>
      </c>
      <c r="I70" t="n">
        <v>0.0028</v>
      </c>
      <c r="J70" t="n">
        <v>0.0274</v>
      </c>
      <c r="K70" t="n">
        <v>0.0735</v>
      </c>
      <c r="L70" t="inlineStr">
        <is>
          <t>The provided code is part of a library called ButterKnife that simplifies Android development by allowing developers to bind Java methods to UI widget events declaratively through annotations. The `OnTextChanged` annotation is used to bind a method to the `TextWatcher.onTextChanged()` event on one or more views. When the text changes on any of the specified views, the bound</t>
        </is>
      </c>
      <c r="M70" t="n">
        <v>0</v>
      </c>
      <c r="N70" t="n">
        <v>0</v>
      </c>
      <c r="O70" t="n">
        <v>0.0385</v>
      </c>
    </row>
    <row r="71">
      <c r="A71" t="inlineStr">
        <is>
          <t>butterknife</t>
        </is>
      </c>
      <c r="B71" t="inlineStr">
        <is>
          <t>butterknife-annotations/src/main/java/butterknife/OnCheckedChanged.java</t>
        </is>
      </c>
      <c r="C71">
        <f>HYPERLINK("https://github.com/JakeWharton/butterknife/blob/master/butterknife-annotations/src/main/java/butterknife/OnCheckedChanged.java")</f>
        <v/>
      </c>
      <c r="D71" t="inlineStr">
        <is>
          <t>The `butterknife` library provides a way to bind methods to listeners on Android views using annotations. Specifically, it allows you to annotate a method with `@OnCheckedChanged`, which will automatically register that method as a listener for changes in the state of a checkbox or toggle button. Whenever the user checks or unchecks the box, the method will be called with the</t>
        </is>
      </c>
      <c r="E71" t="n">
        <v>0</v>
      </c>
      <c r="F71" t="n">
        <v>0</v>
      </c>
      <c r="G71" t="n">
        <v>0.0376</v>
      </c>
      <c r="H71" t="inlineStr">
        <is>
          <t>This is a Java library called ButterKnife that provides a way to bind methods to Android views using annotations. The library allows developers to write code that can be executed when certain events occur on the views, such as when a button is clicked or a checkbox is checked.
The library consists of a single class named `ButterKnife` with several static methods that can</t>
        </is>
      </c>
      <c r="I71" t="n">
        <v>0.0028</v>
      </c>
      <c r="J71" t="n">
        <v>0.0278</v>
      </c>
      <c r="K71" t="n">
        <v>0.0735</v>
      </c>
      <c r="L71" t="inlineStr">
        <is>
          <t>The provided code is part of the ButterKnife library for Android development. It allows developers to bind methods to listeners on views, such as `OnCheckedChangeListener` for checkboxes, using annotations. The annotation specifies the IDs of the views that should trigger the listener, and the method to call when the event occurs. The library automatically generates the necessary boilerplate code</t>
        </is>
      </c>
      <c r="M71" t="n">
        <v>0.0031</v>
      </c>
      <c r="N71" t="n">
        <v>0.0299</v>
      </c>
      <c r="O71" t="n">
        <v>0.07630000000000001</v>
      </c>
    </row>
    <row r="72">
      <c r="A72" t="inlineStr">
        <is>
          <t>butterknife</t>
        </is>
      </c>
      <c r="B72" t="inlineStr">
        <is>
          <t>butterknife-annotations/src/main/java/butterknife/BindAnim.java</t>
        </is>
      </c>
      <c r="C72">
        <f>HYPERLINK("https://github.com/JakeWharton/butterknife/blob/master/butterknife-annotations/src/main/java/butterknife/BindAnim.java")</f>
        <v/>
      </c>
      <c r="D72" t="inlineStr">
        <is>
          <t>The `butterknife` package provides an annotation called `@BindAnim`, which is used to bind a field to an animation resource ID in Android. When this annotation is applied to a field, it specifies that the field should be set to the value of the specified animation resource ID when the activity or fragment is created. This allows for more efficient use of memory by avoiding unnecessary creation</t>
        </is>
      </c>
      <c r="E72" t="n">
        <v>0.0028</v>
      </c>
      <c r="F72" t="n">
        <v>0.027</v>
      </c>
      <c r="G72" t="n">
        <v>0.0725</v>
      </c>
      <c r="H72" t="inlineStr">
        <is>
          <t>The provided code defines an annotation called `BindAnim` that binds a field to an Android animation resource ID. The annotation is used to specify the animation resource ID for a field in a class. It can be applied to fields of type `Animation`. The `value()` method returns the animation resource ID associated with the field.</t>
        </is>
      </c>
      <c r="I72" t="n">
        <v>0</v>
      </c>
      <c r="J72" t="n">
        <v>0</v>
      </c>
      <c r="K72" t="n">
        <v>0.0394</v>
      </c>
      <c r="L72" t="inlineStr">
        <is>
          <t>The provided code defines an annotation called "BindAnim" that binds a field to an Android animation resource ID. It is used for binding animations to views in an Android application.</t>
        </is>
      </c>
      <c r="M72" t="n">
        <v>0</v>
      </c>
      <c r="N72" t="n">
        <v>0</v>
      </c>
      <c r="O72" t="n">
        <v>0.049</v>
      </c>
    </row>
    <row r="73">
      <c r="A73" t="inlineStr">
        <is>
          <t>butterknife</t>
        </is>
      </c>
      <c r="B73" t="inlineStr">
        <is>
          <t>butterknife-annotations/src/main/java/butterknife/OnClick.java</t>
        </is>
      </c>
      <c r="C73">
        <f>HYPERLINK("https://github.com/JakeWharton/butterknife/blob/master/butterknife-annotations/src/main/java/butterknife/OnClick.java")</f>
        <v/>
      </c>
      <c r="D73" t="inlineStr">
        <is>
          <t>The provided code is part of a library called Butter Knife, which allows developers to bind methods to Android views in their layouts using annotations. Specifically, it defines an annotation called `@OnClick` that can be applied to a method in a class, indicating that the method should be invoked when a view with the specified ID is clicked. When the annotation is processed at runtime, Butter</t>
        </is>
      </c>
      <c r="E73" t="n">
        <v>0</v>
      </c>
      <c r="F73" t="n">
        <v>0</v>
      </c>
      <c r="G73" t="n">
        <v>0.0362</v>
      </c>
      <c r="H73" t="inlineStr">
        <is>
          <t>This is a Java library that provides a way to bind methods to Android views' click listeners using annotations. The `ButterKnife` class has one main method called `bind`, which takes in a view as its parameter and returns a new instance of `ButterKnife`. This new instance can then be used to bind methods to the view's click listener by calling</t>
        </is>
      </c>
      <c r="I73" t="n">
        <v>0.0036</v>
      </c>
      <c r="J73" t="n">
        <v>0.058</v>
      </c>
      <c r="K73" t="n">
        <v>0.1136</v>
      </c>
      <c r="L73" t="inlineStr">
        <is>
          <t>The provided code is part of the ButterKnife library for Android development. It allows developers to bind methods to views by annotating them with the `@OnClick` annotation. When a button is clicked, the bound method will be called with the view as a parameter. The library also includes a debounce mechanism that prevents multiple clicks from being processed within a short period of time.</t>
        </is>
      </c>
      <c r="M73" t="n">
        <v>0</v>
      </c>
      <c r="N73" t="n">
        <v>0</v>
      </c>
      <c r="O73" t="n">
        <v>0.0368</v>
      </c>
    </row>
    <row r="74">
      <c r="A74" t="inlineStr">
        <is>
          <t>butterknife</t>
        </is>
      </c>
      <c r="B74" t="inlineStr">
        <is>
          <t>butterknife-annotations/src/main/java/butterknife/OnItemLongClick.java</t>
        </is>
      </c>
      <c r="C74">
        <f>HYPERLINK("https://github.com/JakeWharton/butterknife/blob/master/butterknife-annotations/src/main/java/butterknife/OnItemLongClick.java")</f>
        <v/>
      </c>
      <c r="D74" t="inlineStr">
        <is>
          <t>The provided code is a Java annotation processor that generates boilerplate code for binding methods to Android widgets' `OnItemLongClickListener` events. It allows developers to annotate their methods with `@OnItemLongClick`, specifying the IDs of the views they want to bind to, and the generated code will automatically create the necessary listeners and attach them to the corresponding views.
The</t>
        </is>
      </c>
      <c r="E74" t="n">
        <v>0.0031</v>
      </c>
      <c r="F74" t="n">
        <v>0.0303</v>
      </c>
      <c r="G74" t="n">
        <v>0.0385</v>
      </c>
      <c r="H74" t="inlineStr">
        <is>
          <t>The code is a Java library called ButterKnife that provides a way to bind methods to Android views' `OnItemLongClickListener` events. It allows developers to specify which method should be called when an item in a list view or grid view is long-clicked by annotating their methods with `@OnItemLongClick`. The annotation specifies the ID of the view that the</t>
        </is>
      </c>
      <c r="I74" t="n">
        <v>0</v>
      </c>
      <c r="J74" t="n">
        <v>0</v>
      </c>
      <c r="K74" t="n">
        <v>0</v>
      </c>
      <c r="L74" t="inlineStr">
        <is>
          <t>The code defines an annotation named `@OnItemLongClick` that can be applied to methods in Android applications. When applied, the annotation binds the annotated method to an `OnItemLongClickListener` event on the corresponding view element, as defined by the `R.id` value passed as a parameter. The method must have the same signature as the `OnItemLongClickListener` interface</t>
        </is>
      </c>
      <c r="M74" t="n">
        <v>0</v>
      </c>
      <c r="N74" t="n">
        <v>0</v>
      </c>
      <c r="O74" t="n">
        <v>0</v>
      </c>
    </row>
    <row r="75">
      <c r="A75" t="inlineStr">
        <is>
          <t>butterknife</t>
        </is>
      </c>
      <c r="B75" t="inlineStr">
        <is>
          <t>butterknife-annotations/src/main/java/butterknife/BindColor.java</t>
        </is>
      </c>
      <c r="C75">
        <f>HYPERLINK("https://github.com/JakeWharton/butterknife/blob/master/butterknife-annotations/src/main/java/butterknife/BindColor.java")</f>
        <v/>
      </c>
      <c r="D75" t="inlineStr">
        <is>
          <t>The `BindColor` annotation is used in Android development to bind a field to a specific color resource ID. It takes a single argument, `@ColorRes`, which specifies the color resource ID to which the field should be bound. The type of the field can be either `int` (for a simple color) or `ColorStateList` (for a color selector).</t>
        </is>
      </c>
      <c r="E75" t="n">
        <v>0</v>
      </c>
      <c r="F75" t="n">
        <v>0</v>
      </c>
      <c r="G75" t="n">
        <v>0.0391</v>
      </c>
      <c r="H75" t="inlineStr">
        <is>
          <t>The code defines an annotation called "BindColor" that binds a field in Java to a specific color resource ID defined in Android's XML resources. The annotation is used to simplify the process of accessing colors from resources in Android applications. It allows developers to use the `@BindColor` annotation on fields of type `int` or `android.content.res.ColorStateList`, and</t>
        </is>
      </c>
      <c r="I75" t="n">
        <v>0.0033</v>
      </c>
      <c r="J75" t="n">
        <v>0.0294</v>
      </c>
      <c r="K75" t="n">
        <v>0.0781</v>
      </c>
      <c r="L75" t="inlineStr">
        <is>
          <t>The provided code defines an annotation called "BindColor" that binds a field to a specific color resource ID. It is used for Android development and allows developers to easily access colors from their resources without having to manually retrieve them. The annotation takes one parameter, "value", which specifies the color resource ID to which the field should be bound.</t>
        </is>
      </c>
      <c r="M75" t="n">
        <v>0.0031</v>
      </c>
      <c r="N75" t="n">
        <v>0.0299</v>
      </c>
      <c r="O75" t="n">
        <v>0.07630000000000001</v>
      </c>
    </row>
    <row r="76">
      <c r="A76" t="inlineStr">
        <is>
          <t>butterknife</t>
        </is>
      </c>
      <c r="B76" t="inlineStr">
        <is>
          <t>butterknife-annotations/src/main/java/butterknife/Optional.java</t>
        </is>
      </c>
      <c r="C76">
        <f>HYPERLINK("https://github.com/JakeWharton/butterknife/blob/master/butterknife-annotations/src/main/java/butterknife/Optional.java")</f>
        <v/>
      </c>
      <c r="D76" t="inlineStr">
        <is>
          <t>This Java annotation class named "Optional" is used in the Butter Knife library for Android development. It allows developers to specify that a particular method should only be called if a certain view is present in the layout file. The annotation can be applied to methods that have a single parameter of type View or ViewGroup. When the method is annotated with this annotation, it will only be called</t>
        </is>
      </c>
      <c r="E76" t="n">
        <v>0.0026</v>
      </c>
      <c r="F76" t="n">
        <v>0.026</v>
      </c>
      <c r="G76" t="n">
        <v>0.0709</v>
      </c>
      <c r="H76" t="inlineStr">
        <is>
          <t>This Java annotation class named "Optional" is used in ButterKnife library for Android development. It allows developers to mark methods as optional or not required to be called when a particular view is not found. The annotation can be applied to any method that should only be executed if the corresponding view exists. The complexity of this code is O(N), where N is the number of views</t>
        </is>
      </c>
      <c r="I76" t="n">
        <v>0.0027</v>
      </c>
      <c r="J76" t="n">
        <v>0.0263</v>
      </c>
      <c r="K76" t="n">
        <v>0.07190000000000001</v>
      </c>
      <c r="L76" t="inlineStr">
        <is>
          <t>The code defines an annotation called "Optional" for use in ButterKnife library. It specifies that the annotated method can be invoked even if the corresponding view is not present in the layout.</t>
        </is>
      </c>
      <c r="M76" t="n">
        <v>0</v>
      </c>
      <c r="N76" t="n">
        <v>0</v>
      </c>
      <c r="O76" t="n">
        <v>0.0481</v>
      </c>
    </row>
    <row r="77">
      <c r="A77" t="inlineStr">
        <is>
          <t>butterknife</t>
        </is>
      </c>
      <c r="B77" t="inlineStr">
        <is>
          <t>butterknife-annotations/src/main/java/butterknife/OnItemClick.java</t>
        </is>
      </c>
      <c r="C77">
        <f>HYPERLINK("https://github.com/JakeWharton/butterknife/blob/master/butterknife-annotations/src/main/java/butterknife/OnItemClick.java")</f>
        <v/>
      </c>
      <c r="D77" t="inlineStr">
        <is>
          <t>The code is a Java annotation processor that allows developers to bind methods in their Android application to listeners defined by the `OnItemClickListener` interface. Specifically, it allows you to annotate a method with `@OnItemClick` and specify one or more IDs of views that should trigger the execution of the method when clicked. When the user clicks on any of the specified views, the bound method</t>
        </is>
      </c>
      <c r="E77" t="n">
        <v>0.0028</v>
      </c>
      <c r="F77" t="n">
        <v>0.0274</v>
      </c>
      <c r="G77" t="n">
        <v>0.0365</v>
      </c>
      <c r="H77" t="inlineStr">
        <is>
          <t>The provided code is part of a Java library called ButterKnife, which is used for binding methods to Android views in a more efficient way than traditional findViewById() calls. It allows developers to bind a method to an OnItemClickListener on the view for each ID specified using the `@OnItemClick` annotation. The method must have the same signature as the `onItemClick()` method</t>
        </is>
      </c>
      <c r="I77" t="n">
        <v>0</v>
      </c>
      <c r="J77" t="n">
        <v>0</v>
      </c>
      <c r="K77" t="n">
        <v>0.0376</v>
      </c>
      <c r="L77" t="inlineStr">
        <is>
          <t>The provided code is part of a library called ButterKnife, which allows developers to simplify their Android development workflow by binding methods to UI elements using annotations. Specifically, the code defines an annotation called `@OnItemClick` that can be applied to a method to bind it to an `OnItemClickListener` event on a list item. When the user clicks on an item in the list</t>
        </is>
      </c>
      <c r="M77" t="n">
        <v>0</v>
      </c>
      <c r="N77" t="n">
        <v>0</v>
      </c>
      <c r="O77" t="n">
        <v>0.037</v>
      </c>
    </row>
    <row r="78">
      <c r="A78" t="inlineStr">
        <is>
          <t>butterknife</t>
        </is>
      </c>
      <c r="B78" t="inlineStr">
        <is>
          <t>butterknife-annotations/src/main/java/butterknife/OnFocusChange.java</t>
        </is>
      </c>
      <c r="C78">
        <f>HYPERLINK("https://github.com/JakeWharton/butterknife/blob/master/butterknife-annotations/src/main/java/butterknife/OnFocusChange.java")</f>
        <v/>
      </c>
      <c r="D78" t="inlineStr">
        <is>
          <t>This is a Java annotation that allows you to bind a method to an `OnFocusChangeListener` on a view for each ID specified. The method annotated with `@OnFocusChange` will be called whenever the focus changes on the view associated with the given IDs. The method can take any number of parameters from the `onFocusChange` method of the `OnFocusChangeListener`.</t>
        </is>
      </c>
      <c r="E78" t="n">
        <v>0.0032</v>
      </c>
      <c r="F78" t="n">
        <v>0.0308</v>
      </c>
      <c r="G78" t="n">
        <v>0.0388</v>
      </c>
      <c r="H78" t="inlineStr">
        <is>
          <t>The provided code is a Java library called Butter Knife that allows developers to bind methods to Android views' `OnFocusChangeListener` events using annotations. It provides a simple way to handle focus changes in Android applications without having to manually attach listeners to every view.
The library consists of a single class, `ButterKnife`, which has several methods that can be</t>
        </is>
      </c>
      <c r="I78" t="n">
        <v>0</v>
      </c>
      <c r="J78" t="n">
        <v>0</v>
      </c>
      <c r="K78" t="n">
        <v>0.0382</v>
      </c>
      <c r="L78" t="inlineStr">
        <is>
          <t>The provided code is part of a Java library called ButterKnife that simplifies Android development by allowing developers to bind methods to UI elements such as buttons, text views, and more. The code defines an annotation called `@OnFocusChange` which can be applied to a method to bind it to an `OnFocusChangeListener` on a view. When the focus changes on the view</t>
        </is>
      </c>
      <c r="M78" t="n">
        <v>0.003</v>
      </c>
      <c r="N78" t="n">
        <v>0.029</v>
      </c>
      <c r="O78" t="n">
        <v>0.0752</v>
      </c>
    </row>
    <row r="79">
      <c r="A79" t="inlineStr">
        <is>
          <t>butterknife</t>
        </is>
      </c>
      <c r="B79" t="inlineStr">
        <is>
          <t>butterknife-annotations/src/main/java/butterknife/BindBool.java</t>
        </is>
      </c>
      <c r="C79">
        <f>HYPERLINK("https://github.com/JakeWharton/butterknife/blob/master/butterknife-annotations/src/main/java/butterknife/BindBool.java")</f>
        <v/>
      </c>
      <c r="D79" t="inlineStr">
        <is>
          <t>The provided code defines an annotation called `BindBool` that binds a field to a boolean resource ID in Android applications. It specifies the resource ID as an integer constant using the `@BoolRes` annotation from the Android Support Library. The annotation can be applied to any field of type `boolean`. When the application runs, the framework will automatically set the annotated field's value based</t>
        </is>
      </c>
      <c r="E79" t="n">
        <v>0</v>
      </c>
      <c r="F79" t="n">
        <v>0</v>
      </c>
      <c r="G79" t="n">
        <v>0.037</v>
      </c>
      <c r="H79" t="inlineStr">
        <is>
          <t>This Java annotation processor package called "butterknife" provides a way to bind fields in Android applications to resources such as booleans. The main class in this package is `BindBool`, which has one method `value()` that returns the integer ID of the boolean resource to which the annotated field should be bound. When used with the `@BindBool` annotation, this method allows</t>
        </is>
      </c>
      <c r="I79" t="n">
        <v>0.003</v>
      </c>
      <c r="J79" t="n">
        <v>0.0294</v>
      </c>
      <c r="K79" t="n">
        <v>0.07580000000000001</v>
      </c>
      <c r="L79" t="inlineStr">
        <is>
          <t>The code defines an annotation called "BindBool" that binds a field to a boolean resource ID. It specifies the resource ID using the "value()" method, which takes an integer argument. The annotation is used for Android development and is intended to simplify binding boolean values from resources to fields in Java classes.</t>
        </is>
      </c>
      <c r="M79" t="n">
        <v>0.0035</v>
      </c>
      <c r="N79" t="n">
        <v>0.0333</v>
      </c>
      <c r="O79" t="n">
        <v>0.0806</v>
      </c>
    </row>
    <row r="80">
      <c r="A80" t="inlineStr">
        <is>
          <t>butterknife</t>
        </is>
      </c>
      <c r="B80" t="inlineStr">
        <is>
          <t>butterknife-annotations/src/main/java/butterknife/BindView.java</t>
        </is>
      </c>
      <c r="C80">
        <f>HYPERLINK("https://github.com/JakeWharton/butterknife/blob/master/butterknife-annotations/src/main/java/butterknife/BindView.java")</f>
        <v/>
      </c>
      <c r="D80" t="inlineStr">
        <is>
          <t>This is a Java annotation that allows you to bind a field in your class to a specific view in your Android app's layout file. When you use this annotation on a field, ButterKnife will automatically generate code to find the corresponding view in the layout file and assign it to the field at runtime. This can simplify your code and make it easier to work with views in your</t>
        </is>
      </c>
      <c r="E80" t="n">
        <v>0.0031</v>
      </c>
      <c r="F80" t="n">
        <v>0.0506</v>
      </c>
      <c r="G80" t="n">
        <v>0.1056</v>
      </c>
      <c r="H80" t="inlineStr">
        <is>
          <t>This is a Java annotation called "BindView" that allows developers to bind a field in their Android application to a specific view element defined by its ID. The annotation can be applied to any field variable in a class, and it specifies the ID of the corresponding view element as the value of the annotation. When the app runs, ButterKnife will automatically cast the view element with</t>
        </is>
      </c>
      <c r="I80" t="n">
        <v>0.0032</v>
      </c>
      <c r="J80" t="n">
        <v>0.0533</v>
      </c>
      <c r="K80" t="n">
        <v>0.07190000000000001</v>
      </c>
      <c r="L80" t="inlineStr">
        <is>
          <t>The code defines an annotation called "BindView" that is used to bind a field to a specific view in Android applications. It specifies the ID of the view to which the field should be bound, and automatically casts the view to the field's type. The annotation can be applied to fields in classes that extend from Activity or Fragment, allowing developers to easily access views by their IDs</t>
        </is>
      </c>
      <c r="M80" t="n">
        <v>0.0027</v>
      </c>
      <c r="N80" t="n">
        <v>0.026</v>
      </c>
      <c r="O80" t="n">
        <v>0.07140000000000001</v>
      </c>
    </row>
    <row r="81">
      <c r="A81" t="inlineStr">
        <is>
          <t>butterknife</t>
        </is>
      </c>
      <c r="B81" t="inlineStr">
        <is>
          <t>butterknife-annotations/src/main/java/butterknife/BindViews.java</t>
        </is>
      </c>
      <c r="C81">
        <f>HYPERLINK("https://github.com/JakeWharton/butterknife/blob/master/butterknife-annotations/src/main/java/butterknife/BindViews.java")</f>
        <v/>
      </c>
      <c r="D81" t="inlineStr">
        <is>
          <t>This is a Java annotation that allows you to bind a list of views (represented by their IDs) to a field in your class. The `value()` method returns an array of integers representing the IDs of the views to bind. When used on a field, this annotation causes ButterKnife to automatically cast the corresponding views to the field's type when they are injected</t>
        </is>
      </c>
      <c r="E81" t="n">
        <v>0.0029</v>
      </c>
      <c r="F81" t="n">
        <v>0.0278</v>
      </c>
      <c r="G81" t="n">
        <v>0.0741</v>
      </c>
      <c r="H81" t="inlineStr">
        <is>
          <t>This is a Java annotation called "BindViews" that allows developers to bind fields in their Android application to specific views by specifying the view IDs as an array of integers. When this annotation is applied to a field, ButterKnife will automatically cast the corresponding view to the field's type and assign it to the field. This can simplify the process of working with views in Android applications</t>
        </is>
      </c>
      <c r="I81" t="n">
        <v>0.0032</v>
      </c>
      <c r="J81" t="n">
        <v>0.0526</v>
      </c>
      <c r="K81" t="n">
        <v>0.1079</v>
      </c>
      <c r="L81" t="inlineStr">
        <is>
          <t>This is a Java annotation that allows developers to bind fields in their Android application to specific views using the ButterKnife library. The annotation takes an array of integer resource IDs as input and generates a list of views that can be accessed from the annotated field. The generated list is automatically cast to the field's type, making it easier to work with views in the application.</t>
        </is>
      </c>
      <c r="M81" t="n">
        <v>0.0032</v>
      </c>
      <c r="N81" t="n">
        <v>0.0526</v>
      </c>
      <c r="O81" t="n">
        <v>0.1079</v>
      </c>
    </row>
    <row r="82">
      <c r="A82" t="inlineStr">
        <is>
          <t>butterknife</t>
        </is>
      </c>
      <c r="B82" t="inlineStr">
        <is>
          <t>butterknife-annotations/src/main/java/butterknife/OnTouch.java</t>
        </is>
      </c>
      <c r="C82">
        <f>HYPERLINK("https://github.com/JakeWharton/butterknife/blob/master/butterknife-annotations/src/main/java/butterknife/OnTouch.java")</f>
        <v/>
      </c>
      <c r="D82" t="inlineStr">
        <is>
          <t>The `butterknife` package provides a way to bind methods to Android views using annotations. Specifically, it allows you to annotate a method with `@OnTouch`, which specifies that the method should be called when the view is touched. The annotation takes an optional parameter, `value`, which specifies the ID of the view that the method should be bound to. When the view</t>
        </is>
      </c>
      <c r="E82" t="n">
        <v>0</v>
      </c>
      <c r="F82" t="n">
        <v>0</v>
      </c>
      <c r="G82" t="n">
        <v>0.0376</v>
      </c>
      <c r="H82" t="inlineStr">
        <is>
          <t>This code defines a Java annotation called `@OnTouch` that can be applied to methods in Android applications. The annotation binds a method to an `OnTouchListener` on the view for each ID specified. The method must have the signature `boolean onTouch(View v, MotionEvent event)`, where `v` is the view being touched and `event` is the motion event.</t>
        </is>
      </c>
      <c r="I82" t="n">
        <v>0.0039</v>
      </c>
      <c r="J82" t="n">
        <v>0.0615</v>
      </c>
      <c r="K82" t="n">
        <v>0.0781</v>
      </c>
      <c r="L82" t="inlineStr">
        <is>
          <t>The provided code defines a ButterKnife annotation that allows developers to bind methods to touch listeners on Android views. It takes in one or more IDs as input and generates a listener that calls the annotated method when the view is touched. The method can take any number of parameters from the onTouch method of the OnTouchListener interface, and if it returns void, true will be</t>
        </is>
      </c>
      <c r="M82" t="n">
        <v>0.0028</v>
      </c>
      <c r="N82" t="n">
        <v>0.027</v>
      </c>
      <c r="O82" t="n">
        <v>0.0362</v>
      </c>
    </row>
    <row r="83">
      <c r="A83" t="inlineStr">
        <is>
          <t>butterknife</t>
        </is>
      </c>
      <c r="B83" t="inlineStr">
        <is>
          <t>butterknife-annotations/src/main/java/butterknife/BindFont.java</t>
        </is>
      </c>
      <c r="C83">
        <f>HYPERLINK("https://github.com/JakeWharton/butterknife/blob/master/butterknife-annotations/src/main/java/butterknife/BindFont.java")</f>
        <v/>
      </c>
      <c r="D83" t="inlineStr">
        <is>
          <t>The `BindFont` annotation is used in Android development to bind a field to a specific font resource ID. It takes one parameter, `value`, which specifies the font resource ID to which the field should be bound. Additionally, it has an optional second parameter, `style`, which can take values from the `TypefaceStyle` enum and specifies the style of the font (e</t>
        </is>
      </c>
      <c r="E83" t="n">
        <v>0.003</v>
      </c>
      <c r="F83" t="n">
        <v>0.0294</v>
      </c>
      <c r="G83" t="n">
        <v>0.07580000000000001</v>
      </c>
      <c r="H83" t="inlineStr">
        <is>
          <t>This is a Java library for Android development that provides a way to bind a field to a specific font resource ID. The `BindFont` annotation is used to indicate that a field should be bound to a font resource, and it takes one argument, the font resource ID. The annotation also has an optional `style()` method that allows you to specify the style of the font (e.g</t>
        </is>
      </c>
      <c r="I83" t="n">
        <v>0.0032</v>
      </c>
      <c r="J83" t="n">
        <v>0.0526</v>
      </c>
      <c r="K83" t="n">
        <v>0.1079</v>
      </c>
      <c r="L83" t="inlineStr">
        <is>
          <t>The code defines an annotation called "BindFont" that binds a field to a specific font resource ID. It is used for Android development and allows developers to easily set the typeface of text views using annotations.</t>
        </is>
      </c>
      <c r="M83" t="n">
        <v>0.0052</v>
      </c>
      <c r="N83" t="n">
        <v>0.0455</v>
      </c>
      <c r="O83" t="n">
        <v>0.0926</v>
      </c>
    </row>
    <row r="84">
      <c r="A84" t="inlineStr">
        <is>
          <t>butterknife</t>
        </is>
      </c>
      <c r="B84" t="inlineStr">
        <is>
          <t>butterknife-annotations/src/main/java/butterknife/BindString.java</t>
        </is>
      </c>
      <c r="C84">
        <f>HYPERLINK("https://github.com/JakeWharton/butterknife/blob/master/butterknife-annotations/src/main/java/butterknife/BindString.java")</f>
        <v/>
      </c>
      <c r="D84" t="inlineStr">
        <is>
          <t>This is an annotation for binding a Java field to a string resource in Android development. The `@BindString` annotation has one required parameter, `value`, which specifies the string resource ID that should be used to bind the field. When this annotation is applied to a field, ButterKnife will automatically set the value of the field to the corresponding string from the resources file when the</t>
        </is>
      </c>
      <c r="E84" t="n">
        <v>0.0028</v>
      </c>
      <c r="F84" t="n">
        <v>0.0274</v>
      </c>
      <c r="G84" t="n">
        <v>0.073</v>
      </c>
      <c r="H84" t="inlineStr">
        <is>
          <t>This is an Android library called ButterKnife that simplifies the process of working with strings in Java by providing a way to bind them to fields directly from XML layout files using annotations. The library provides a `BindString` annotation that can be used on any field of type `String`, allowing developers to easily reference string resources without having to manually retrieve them from the resources file.</t>
        </is>
      </c>
      <c r="I84" t="n">
        <v>0.0028</v>
      </c>
      <c r="J84" t="n">
        <v>0.027</v>
      </c>
      <c r="K84" t="n">
        <v>0.0725</v>
      </c>
      <c r="L84" t="inlineStr">
        <is>
          <t>The code defines a custom annotation called "BindString" that is used to bind a field to a specific string resource ID. It imports necessary libraries such as AndroidX annotations and Java's ElementType and RetentionPolicy classes. The annotation has one method named "value()" that takes an integer parameter representing the string resource ID.</t>
        </is>
      </c>
      <c r="M84" t="n">
        <v>0.0035</v>
      </c>
      <c r="N84" t="n">
        <v>0.0328</v>
      </c>
      <c r="O84" t="n">
        <v>0.0806</v>
      </c>
    </row>
    <row r="85">
      <c r="A85" t="inlineStr">
        <is>
          <t>butterknife</t>
        </is>
      </c>
      <c r="B85" t="inlineStr">
        <is>
          <t>butterknife-annotations/src/main/java/butterknife/OnItemSelected.java</t>
        </is>
      </c>
      <c r="C85">
        <f>HYPERLINK("https://github.com/JakeWharton/butterknife/blob/master/butterknife-annotations/src/main/java/butterknife/OnItemSelected.java")</f>
        <v/>
      </c>
      <c r="D85" t="inlineStr">
        <is>
          <t>The code is a Java annotation processor that generates boilerplate code for binding Android views with listeners using ButterKnife library. It allows developers to write more concise code by annotating their listener methods with `@OnItemSelected` and specifying the IDs of the views they want to attach the listeners to. The generated code will automatically call the annotated method when the corresponding item</t>
        </is>
      </c>
      <c r="E85" t="n">
        <v>0.0029</v>
      </c>
      <c r="F85" t="n">
        <v>0.0286</v>
      </c>
      <c r="G85" t="n">
        <v>0.0746</v>
      </c>
      <c r="H85" t="inlineStr">
        <is>
          <t>The provided code is a Java library called ButterKnife that simplifies the process of binding Android views to listeners. It allows developers to annotate methods with the `@OnItemSelected` annotation, which will automatically generate the necessary listener implementation for the specified IDs. The library provides several annotations such as `@Bind`, `@BindArray`, `@BindBool`, etc., which can be used</t>
        </is>
      </c>
      <c r="I85" t="n">
        <v>0</v>
      </c>
      <c r="J85" t="n">
        <v>0.0312</v>
      </c>
      <c r="K85" t="n">
        <v>0.0781</v>
      </c>
      <c r="L85" t="inlineStr">
        <is>
          <t>The code defines a ButterKnife annotation that allows developers to easily bind a method to an Android widget's `OnItemSelectedListener` event. The annotation takes an array of IDs as input and automatically generates the necessary listener implementation. When the user selects an item in the list, the bound method is called with the selected item's position as an argument.</t>
        </is>
      </c>
      <c r="M85" t="n">
        <v>0.0031</v>
      </c>
      <c r="N85" t="n">
        <v>0.0294</v>
      </c>
      <c r="O85" t="n">
        <v>0.0385</v>
      </c>
    </row>
    <row r="86">
      <c r="A86" t="inlineStr">
        <is>
          <t>butterknife</t>
        </is>
      </c>
      <c r="B86" t="inlineStr">
        <is>
          <t>butterknife-annotations/src/main/java/butterknife/OnPageChange.java</t>
        </is>
      </c>
      <c r="C86">
        <f>HYPERLINK("https://github.com/JakeWharton/butterknife/blob/master/butterknife-annotations/src/main/java/butterknife/OnPageChange.java")</f>
        <v/>
      </c>
      <c r="D86" t="inlineStr">
        <is>
          <t>The provided code is a Java annotation processor that generates boilerplate code for binding Android ViewPager's page change events to listener methods in the annotated class. The annotation processor takes two arguments - `value` (the id of the ViewPager), and `callback` (the type of callback event to listen for, such as `PAGE_SELECTED`, `PAGE_SC</t>
        </is>
      </c>
      <c r="E86" t="n">
        <v>0.0035</v>
      </c>
      <c r="F86" t="n">
        <v>0.0317</v>
      </c>
      <c r="G86" t="n">
        <v>0.04</v>
      </c>
      <c r="H86" t="inlineStr">
        <is>
          <t>This is a Java library that provides a way to automatically inject Android ViewPager page change listeners into your app's views. The library uses annotations to mark methods in your code as being interested in receiving page change events, and then generates the necessary boilerplate code to set up the listeners at runtime. The library also includes a number of pre-defined listener types, such as {@</t>
        </is>
      </c>
      <c r="I86" t="n">
        <v>0.0033</v>
      </c>
      <c r="J86" t="n">
        <v>0.0533</v>
      </c>
      <c r="K86" t="n">
        <v>0.1087</v>
      </c>
      <c r="L86" t="inlineStr">
        <is>
          <t>The provided code is part of the ButterKnife library for Android development. It defines an annotation called `@OnPageChange` that allows developers to easily bind a method to an `OnPageChangeListener` on a view for each ID specified. The annotation takes two arguments: the first is the ID of the view to which the listener should be bound, and the second is the name</t>
        </is>
      </c>
      <c r="M86" t="n">
        <v>0.0029</v>
      </c>
      <c r="N86" t="n">
        <v>0.0286</v>
      </c>
      <c r="O86" t="n">
        <v>0.0746</v>
      </c>
    </row>
    <row r="87">
      <c r="A87" t="inlineStr">
        <is>
          <t>butterknife</t>
        </is>
      </c>
      <c r="B87" t="inlineStr">
        <is>
          <t>butterknife-annotations/src/main/java/butterknife/BindBitmap.java</t>
        </is>
      </c>
      <c r="C87">
        <f>HYPERLINK("https://github.com/JakeWharton/butterknife/blob/master/butterknife-annotations/src/main/java/butterknife/BindBitmap.java")</f>
        <v/>
      </c>
      <c r="D87" t="inlineStr">
        <is>
          <t>This is an annotation for binding a field in Java to a bitmap image from a specific drawable resource ID. The annotation is used by ButterKnife library to simplify the process of working with bitmaps in Android applications. When this annotation is applied to a field, it creates a new instance of the `Bitmap` class and assigns it to that field, using the specified drawable</t>
        </is>
      </c>
      <c r="E87" t="n">
        <v>0.0033</v>
      </c>
      <c r="F87" t="n">
        <v>0.0548</v>
      </c>
      <c r="G87" t="n">
        <v>0.1095</v>
      </c>
      <c r="H87" t="inlineStr">
        <is>
          <t>This is an Android library called Butter Knife that provides a way to bind fields in Java classes to Android resources such as bitmaps or strings. The library uses annotations to mark fields for binding and provides methods to retrieve the bound values at runtime. The library also includes a processor that generates code to perform the actual binding at compile time. Overall, this library simplifies the process of working</t>
        </is>
      </c>
      <c r="I87" t="n">
        <v>0.0031</v>
      </c>
      <c r="J87" t="n">
        <v>0.0513</v>
      </c>
      <c r="K87" t="n">
        <v>0.1056</v>
      </c>
      <c r="L87" t="inlineStr">
        <is>
          <t>The provided code defines an annotation for binding a field to a bitmap from a specific drawable resource ID using ButterKnife library. The annotation is used to simplify the process of creating bitmaps from resources and can help reduce boilerplate code. It takes one parameter, `value`, which specifies the drawable resource ID that should be used to create the bitmap.</t>
        </is>
      </c>
      <c r="M87" t="n">
        <v>0.003</v>
      </c>
      <c r="N87" t="n">
        <v>0.0294</v>
      </c>
      <c r="O87" t="n">
        <v>0.07580000000000001</v>
      </c>
    </row>
    <row r="88">
      <c r="A88" t="inlineStr">
        <is>
          <t>butterknife</t>
        </is>
      </c>
      <c r="B88" t="inlineStr">
        <is>
          <t>butterknife-annotations/src/main/java/butterknife/BindInt.java</t>
        </is>
      </c>
      <c r="C88">
        <f>HYPERLINK("https://github.com/JakeWharton/butterknife/blob/master/butterknife-annotations/src/main/java/butterknife/BindInt.java")</f>
        <v/>
      </c>
      <c r="D88" t="inlineStr">
        <is>
          <t>The `BindInt` annotation is used in Android development to bind a field to an integer resource ID. It can be applied to any Java field that has type `int`. When this annotation is present on a field, it indicates that the field should be set to the value of the integer resource with the given ID at runtime. This allows for easy management of resources such as string or integer values</t>
        </is>
      </c>
      <c r="E88" t="n">
        <v>0.0026</v>
      </c>
      <c r="F88" t="n">
        <v>0.0253</v>
      </c>
      <c r="G88" t="n">
        <v>0.0699</v>
      </c>
      <c r="H88" t="inlineStr">
        <is>
          <t>This is an Android library called ButterKnife that provides a way to bind fields in Java classes to integer resources defined in XML files. The library uses annotations to mark fields for binding, and it provides a `BindInt` annotation that can be used to bind an integer resource to a field. When the application runs, the library automatically sets the value of the annotated field to the</t>
        </is>
      </c>
      <c r="I88" t="n">
        <v>0.0032</v>
      </c>
      <c r="J88" t="n">
        <v>0.0533</v>
      </c>
      <c r="K88" t="n">
        <v>0.1079</v>
      </c>
      <c r="L88" t="inlineStr">
        <is>
          <t>The provided code defines an annotation called "BindInt" that binds a field to an integer resource ID defined in the Android application's resources. The annotation is used to inject values from the resource into the annotated field during runtime. It takes one argument, the integer resource ID, which must be of type "@IntegerRes". The annotation is intended for use in Android development and is part</t>
        </is>
      </c>
      <c r="M88" t="n">
        <v>0.0028</v>
      </c>
      <c r="N88" t="n">
        <v>0.027</v>
      </c>
      <c r="O88" t="n">
        <v>0.073</v>
      </c>
    </row>
    <row r="89">
      <c r="A89" t="inlineStr">
        <is>
          <t>butterknife</t>
        </is>
      </c>
      <c r="B89" t="inlineStr">
        <is>
          <t>butterknife-annotations/src/main/java/butterknife/BindArray.java</t>
        </is>
      </c>
      <c r="C89">
        <f>HYPERLINK("https://github.com/JakeWharton/butterknife/blob/master/butterknife-annotations/src/main/java/butterknife/BindArray.java")</f>
        <v/>
      </c>
      <c r="D89" t="inlineStr">
        <is>
          <t>This is an annotation for Android that allows you to bind a field in your Java class to a specific array resource ID defined in your app's resources file (e.g., `strings.xml`, `integers.xml`, etc.). The annotation specifies the array resource ID as its parameter, and the type of array can be inferred based on the annotated field. For example</t>
        </is>
      </c>
      <c r="E89" t="n">
        <v>0.0037</v>
      </c>
      <c r="F89" t="n">
        <v>0.0571</v>
      </c>
      <c r="G89" t="n">
        <v>0.0769</v>
      </c>
      <c r="H89" t="inlineStr">
        <is>
          <t>This is a Java annotation processor that generates code for binding arrays in Android applications. It takes an integer resource ID as input and returns a typed array or a string array depending on the type of the array resource. The annotation can be used to bind fields to array resources defined in XML files.</t>
        </is>
      </c>
      <c r="I89" t="n">
        <v>0.004</v>
      </c>
      <c r="J89" t="n">
        <v>0.0635</v>
      </c>
      <c r="K89" t="n">
        <v>0.1181</v>
      </c>
      <c r="L89" t="inlineStr">
        <is>
          <t>The provided code defines an annotation called "BindArray" for use in Android development. It allows developers to bind a field to a specific array resource ID, automatically inferring the appropriate data type based on the annotated element's type. The annotation can be used to bind string arrays, integer arrays, text arrays, or even typed arrays (such as those returned by {@link android.content</t>
        </is>
      </c>
      <c r="M89" t="n">
        <v>0</v>
      </c>
      <c r="N89" t="n">
        <v>0</v>
      </c>
      <c r="O89" t="n">
        <v>0.0373</v>
      </c>
    </row>
    <row r="90">
      <c r="A90" t="inlineStr">
        <is>
          <t>butterknife</t>
        </is>
      </c>
      <c r="B90" t="inlineStr">
        <is>
          <t>butterknife-annotations/src/main/java/butterknife/BindFloat.java</t>
        </is>
      </c>
      <c r="C90">
        <f>HYPERLINK("https://github.com/JakeWharton/butterknife/blob/master/butterknife-annotations/src/main/java/butterknife/BindFloat.java")</f>
        <v/>
      </c>
      <c r="D90" t="inlineStr">
        <is>
          <t>This code defines an annotation called `@BindFloat` that allows you to bind a field in your Android app's Java code to a specific dimension resource ID that has been defined as a float value in XML resources. The `value()` method returns the integer ID of the dimension resource that should be used for binding.</t>
        </is>
      </c>
      <c r="E90" t="n">
        <v>0.0034</v>
      </c>
      <c r="F90" t="n">
        <v>0.0317</v>
      </c>
      <c r="G90" t="n">
        <v>0.0794</v>
      </c>
      <c r="H90" t="inlineStr">
        <is>
          <t>This Java annotation processor library provides a way to bind fields in Android applications to specific dimension resources that have been defined with a "float" format. It allows developers to easily access these values without having to manually retrieve them from the resources file.</t>
        </is>
      </c>
      <c r="I90" t="n">
        <v>0.0042</v>
      </c>
      <c r="J90" t="n">
        <v>0.0385</v>
      </c>
      <c r="K90" t="n">
        <v>0.0431</v>
      </c>
      <c r="L90" t="inlineStr">
        <is>
          <t>The provided code defines an annotation called "BindFloat" that binds a field to a dimension resource ID whose type is explicitly defined as float. The annotation can be used to specify the resource ID for binding purposes, and the field's type is inferred from the resource definition.</t>
        </is>
      </c>
      <c r="M90" t="n">
        <v>0.0039</v>
      </c>
      <c r="N90" t="n">
        <v>0.0357</v>
      </c>
      <c r="O90" t="n">
        <v>0.08400000000000001</v>
      </c>
    </row>
    <row r="91">
      <c r="A91" t="inlineStr">
        <is>
          <t>butterknife</t>
        </is>
      </c>
      <c r="B91" t="inlineStr">
        <is>
          <t>butterknife-annotations/src/main/java/butterknife/OnLongClick.java</t>
        </is>
      </c>
      <c r="C91">
        <f>HYPERLINK("https://github.com/JakeWharton/butterknife/blob/master/butterknife-annotations/src/main/java/butterknife/OnLongClick.java")</f>
        <v/>
      </c>
      <c r="D91" t="inlineStr">
        <is>
          <t>The provided code defines an annotation called `@OnLongClick` that can be applied to methods in Android Java code. When this annotation is present on a method, it binds that method to an `OnLongClickListener` on the view with the specified IDs. The method must have zero or more parameters matching the signature of `OnLongClickListener#onLongClick`, and its return value determines</t>
        </is>
      </c>
      <c r="E91" t="n">
        <v>0.0031</v>
      </c>
      <c r="F91" t="n">
        <v>0.0597</v>
      </c>
      <c r="G91" t="n">
        <v>0.0769</v>
      </c>
      <c r="H91" t="inlineStr">
        <is>
          <t>This Java package called `butterknife` provides a way to bind methods to long click listeners on Android views using annotations. The `@OnLongClick` annotation can be applied to a method in a class that extends `Activity`, `Fragment`, or `Dialog`. When a long click event occurs on a view with the corresponding ID, the bound method will be invoked. The method must</t>
        </is>
      </c>
      <c r="I91" t="n">
        <v>0.003</v>
      </c>
      <c r="J91" t="n">
        <v>0.0294</v>
      </c>
      <c r="K91" t="n">
        <v>0.07580000000000001</v>
      </c>
      <c r="L91" t="inlineStr">
        <is>
          <t>The provided code defines a ButterKnife annotation called `@OnLongClick` that allows developers to bind a long click event to a specific view element in their Android app. The annotation takes an `int` parameter representing the ID of the view element and maps it to a method that returns a `boolean`. When the user long clicks on the view, the mapped method is executed and can</t>
        </is>
      </c>
      <c r="M91" t="n">
        <v>0.0028</v>
      </c>
      <c r="N91" t="n">
        <v>0.0274</v>
      </c>
      <c r="O91" t="n">
        <v>0.073</v>
      </c>
    </row>
    <row r="92">
      <c r="A92" t="inlineStr">
        <is>
          <t>butterknife</t>
        </is>
      </c>
      <c r="B92" t="inlineStr">
        <is>
          <t>butterknife-annotations/src/main/java/butterknife/internal/Constants.java</t>
        </is>
      </c>
      <c r="C92">
        <f>HYPERLINK("https://github.com/JakeWharton/butterknife/blob/master/butterknife-annotations/src/main/java/butterknife/internal/Constants.java")</f>
        <v/>
      </c>
      <c r="D92" t="inlineStr">
        <is>
          <t>The `Constants` class in the `butterknife.internal` package defines several constants used throughout the application. These constants include the integer value `-1`, which is used as a placeholder for missing resource IDs. The class also provides a private constructor to prevent instantiation. Overall, this class appears to be a utility class that serves as a container for constant values used by other parts</t>
        </is>
      </c>
      <c r="E92" t="n">
        <v>0</v>
      </c>
      <c r="F92" t="n">
        <v>0.0282</v>
      </c>
      <c r="G92" t="n">
        <v>0.0746</v>
      </c>
      <c r="H92" t="inlineStr">
        <is>
          <t>This Java package named "butterknife.internal" contains a single class called "Constants". The class has only one field, which is a constant integer value with the name "NO_RES_ID", set to the value "-1". The constructor for this class is private, meaning that it cannot be instantiated outside of this class. Overall, this code appears to define some</t>
        </is>
      </c>
      <c r="I92" t="n">
        <v>0.0033</v>
      </c>
      <c r="J92" t="n">
        <v>0.0299</v>
      </c>
      <c r="K92" t="n">
        <v>0.0391</v>
      </c>
      <c r="L92" t="inlineStr">
        <is>
          <t>The provided code defines a utility class called `Constants` that provides constant values for various purposes. It has one method, which is a private constructor, and several static fields representing constants such as `NO_RES_ID`.</t>
        </is>
      </c>
      <c r="M92" t="n">
        <v>0.0055</v>
      </c>
      <c r="N92" t="n">
        <v>0.0455</v>
      </c>
      <c r="O92" t="n">
        <v>0.0472</v>
      </c>
    </row>
    <row r="93">
      <c r="A93" t="inlineStr">
        <is>
          <t>butterknife</t>
        </is>
      </c>
      <c r="B93" t="inlineStr">
        <is>
          <t>butterknife-annotations/src/main/java/butterknife/internal/ListenerMethod.java</t>
        </is>
      </c>
      <c r="C93">
        <f>HYPERLINK("https://github.com/JakeWharton/butterknife/blob/master/butterknife-annotations/src/main/java/butterknife/internal/ListenerMethod.java")</f>
        <v/>
      </c>
      <c r="D93" t="inlineStr">
        <is>
          <t>This code defines an annotation called `ListenerMethod` that can be used to mark methods in Java classes as listeners for events. The annotation has four properties:
* `name`: the name of the listener method for which this annotation applies
* `parameters`: a list of method parameters (if any), with each parameter being either a primitive type or a fully-qualified class name</t>
        </is>
      </c>
      <c r="E93" t="n">
        <v>0.003</v>
      </c>
      <c r="F93" t="n">
        <v>0.0294</v>
      </c>
      <c r="G93" t="n">
        <v>0.0752</v>
      </c>
      <c r="H93" t="inlineStr">
        <is>
          <t>This Java code defines an annotation called `ListenerMethod` that can be used to mark methods in a class as listeners for events. The annotation has four properties:
* `name`: the name of the listener method for which this annotation applies.
* `parameters`: a list of method parameters. If the type is not a primitive, it must be fully qualified.
* `</t>
        </is>
      </c>
      <c r="I93" t="n">
        <v>0.003</v>
      </c>
      <c r="J93" t="n">
        <v>0.0308</v>
      </c>
      <c r="K93" t="n">
        <v>0.0752</v>
      </c>
      <c r="L93" t="inlineStr">
        <is>
          <t>The provided code defines an annotation called `ListenerMethod` that is used to mark methods as listeners for events. It specifies the name of the listener method, the parameters it takes, the return type, and a default return value if no binding exists.</t>
        </is>
      </c>
      <c r="M93" t="n">
        <v>0.0044</v>
      </c>
      <c r="N93" t="n">
        <v>0.04</v>
      </c>
      <c r="O93" t="n">
        <v>0.0877</v>
      </c>
    </row>
    <row r="94">
      <c r="A94" t="inlineStr">
        <is>
          <t>butterknife</t>
        </is>
      </c>
      <c r="B94" t="inlineStr">
        <is>
          <t>butterknife-annotations/src/main/java/butterknife/internal/ListenerClass.java</t>
        </is>
      </c>
      <c r="C94">
        <f>HYPERLINK("https://github.com/JakeWharton/butterknife/blob/master/butterknife-annotations/src/main/java/butterknife/internal/ListenerClass.java")</f>
        <v/>
      </c>
      <c r="D94" t="inlineStr">
        <is>
          <t>The provided code defines an annotation called `ListenerClass` that is used to specify information about a listener class in Butter Knife. It has several attributes:
* `targetType`: the fully-qualified class name of the target object that the listener should be attached to.
* `setter`: the name of the setter method on the target type that sets the listener</t>
        </is>
      </c>
      <c r="E94" t="n">
        <v>0</v>
      </c>
      <c r="F94" t="n">
        <v>0</v>
      </c>
      <c r="G94" t="n">
        <v>0.0385</v>
      </c>
      <c r="H94" t="inlineStr">
        <is>
          <t>This Java annotation is called "ListenerClass" and it has several attributes that define how listeners should be registered and unregistered in the system. The annotation can be applied to classes that implement certain interfaces or extend specific base classes, and it provides information about the types of events that the listener should handle, as well as the names of the methods that should be invoked when those events occur.</t>
        </is>
      </c>
      <c r="I94" t="n">
        <v>0.0031</v>
      </c>
      <c r="J94" t="n">
        <v>0.0779</v>
      </c>
      <c r="K94" t="n">
        <v>0.1064</v>
      </c>
      <c r="L94" t="inlineStr">
        <is>
          <t>The provided code defines an annotation called "ListenerClass" that is used to mark classes as listeners. The annotation has several properties, including "targetType", "setter", "remover", "type", "callbacks", and "method". These properties define how the listener should be bound to the target object and how the listener's methods should be invoked when events occur. The</t>
        </is>
      </c>
      <c r="M94" t="n">
        <v>0.0034</v>
      </c>
      <c r="N94" t="n">
        <v>0.0317</v>
      </c>
      <c r="O94" t="n">
        <v>0.0794</v>
      </c>
    </row>
    <row r="95">
      <c r="A95" t="inlineStr">
        <is>
          <t>butterknife</t>
        </is>
      </c>
      <c r="B95" t="inlineStr">
        <is>
          <t>butterknife-runtime/src/main/java/butterknife/Setter.java</t>
        </is>
      </c>
      <c r="C95">
        <f>HYPERLINK("https://github.com/JakeWharton/butterknife/blob/master/butterknife-runtime/src/main/java/butterknife/Setter.java")</f>
        <v/>
      </c>
      <c r="D95" t="inlineStr">
        <is>
          <t>This code defines an interface called `Setter` with one method named `set`. The method takes three parameters:
* `view`: An instance of type `T`, which must be a subclass of `android.view.View`.
* `value`: An object of type `V`.
* `index`: An integer representing the position of the `view` in a list of</t>
        </is>
      </c>
      <c r="E95" t="n">
        <v>0.0035</v>
      </c>
      <c r="F95" t="n">
        <v>0.0339</v>
      </c>
      <c r="G95" t="n">
        <v>0.0403</v>
      </c>
      <c r="H95" t="inlineStr">
        <is>
          <t>This code defines an interface called "Setter" with one method named "set". The method takes three parameters: a reference to a view object (of type "T"), a value of type "V", and an integer index. It sets the value on the view at the specified index. The method is annotated with "@UiThread", indicating that it should only be called from the UI</t>
        </is>
      </c>
      <c r="I95" t="n">
        <v>0.0035</v>
      </c>
      <c r="J95" t="n">
        <v>0.0571</v>
      </c>
      <c r="K95" t="n">
        <v>0.0746</v>
      </c>
      <c r="L95" t="inlineStr">
        <is>
          <t>The provided code defines an interface called "Setter" that has one method named "set". It takes three parameters: a reference to a class that inherits from "View", a generic type variable called "V", and an integer representing the index of the element in a list. The method sets the value of the given type "V" on the specified view at the given index in the list</t>
        </is>
      </c>
      <c r="M95" t="n">
        <v>0.0028</v>
      </c>
      <c r="N95" t="n">
        <v>0.027</v>
      </c>
      <c r="O95" t="n">
        <v>0.0362</v>
      </c>
    </row>
    <row r="96">
      <c r="A96" t="inlineStr">
        <is>
          <t>butterknife</t>
        </is>
      </c>
      <c r="B96" t="inlineStr">
        <is>
          <t>butterknife-runtime/src/main/java/butterknife/Unbinder.java</t>
        </is>
      </c>
      <c r="C96">
        <f>HYPERLINK("https://github.com/JakeWharton/butterknife/blob/master/butterknife-runtime/src/main/java/butterknife/Unbinder.java")</f>
        <v/>
      </c>
      <c r="D96" t="inlineStr">
        <is>
          <t>The provided code defines an interface named `Unbinder` with a single method named `unbind()`. The method is annotated with `@UiThread`, which indicates that it should be executed on the UI thread. The `EMPTY` constant is defined as a no-op implementation of the `Unbinder` interface.</t>
        </is>
      </c>
      <c r="E96" t="n">
        <v>0</v>
      </c>
      <c r="F96" t="n">
        <v>0.0377</v>
      </c>
      <c r="G96" t="n">
        <v>0.0431</v>
      </c>
      <c r="H96" t="inlineStr">
        <is>
          <t>This is a Java package named "butterknife" that provides an interface for unbinding Android views from their corresponding data models. The interface, "Unbinder", has one method, "unbind()", which is annotated with "@UiThread". When this method is called, it unbinds the views from the data models they were previously bound to. The interface also</t>
        </is>
      </c>
      <c r="I96" t="n">
        <v>0.0035</v>
      </c>
      <c r="J96" t="n">
        <v>0.0328</v>
      </c>
      <c r="K96" t="n">
        <v>0.04</v>
      </c>
      <c r="L96" t="inlineStr">
        <is>
          <t>The provided code defines an interface named "Unbinder" which has a single method "unbind()". The method is annotated with "@UiThread", indicating that it should be executed on the UI thread. The interface also includes a constant variable "EMPTY" which returns an empty implementation of the Unbinder interface.</t>
        </is>
      </c>
      <c r="M96" t="n">
        <v>0</v>
      </c>
      <c r="N96" t="n">
        <v>0.0364</v>
      </c>
      <c r="O96" t="n">
        <v>0.042</v>
      </c>
    </row>
    <row r="97">
      <c r="A97" t="inlineStr">
        <is>
          <t>butterknife</t>
        </is>
      </c>
      <c r="B97" t="inlineStr">
        <is>
          <t>butterknife-runtime/src/main/java/butterknife/Action.java</t>
        </is>
      </c>
      <c r="C97">
        <f>HYPERLINK("https://github.com/JakeWharton/butterknife/blob/master/butterknife-runtime/src/main/java/butterknife/Action.java")</f>
        <v/>
      </c>
      <c r="D97" t="inlineStr">
        <is>
          <t>This code defines an interface called `Action` with a single method named `apply`. The method takes two parameters: a `View` object and an integer representing the index of the view within a list of views. The method is marked as `@UiThread`, indicating that it should only be executed on the UI thread. The return type of the method is also specified as `void`.</t>
        </is>
      </c>
      <c r="E97" t="n">
        <v>0.0034</v>
      </c>
      <c r="F97" t="n">
        <v>0.0563</v>
      </c>
      <c r="G97" t="n">
        <v>0.0741</v>
      </c>
      <c r="H97" t="inlineStr">
        <is>
          <t>This Java package named "butterknife" provides an interface called "Action" with a single method called "apply". The method takes two parameters: a generic type "T" that must extend from Android's "View" class, and an integer value representing the index of the view in a list. The method applies some operation (not specified in this summary) on the given view</t>
        </is>
      </c>
      <c r="I97" t="n">
        <v>0.0037</v>
      </c>
      <c r="J97" t="n">
        <v>0.0588</v>
      </c>
      <c r="K97" t="n">
        <v>0.07630000000000001</v>
      </c>
      <c r="L97" t="inlineStr">
        <is>
          <t>The provided code defines an interface called "Action" that represents an action that can be applied to a list of Android views. The interface has one method called "apply" that takes two parameters: the view itself (of type "T") and the index of the view within the list. The method is annotated as "@UiThread", indicating that it should only be executed from the UI</t>
        </is>
      </c>
      <c r="M97" t="n">
        <v>0.0028</v>
      </c>
      <c r="N97" t="n">
        <v>0.0278</v>
      </c>
      <c r="O97" t="n">
        <v>0.0368</v>
      </c>
    </row>
    <row r="98">
      <c r="A98" t="inlineStr">
        <is>
          <t>butterknife</t>
        </is>
      </c>
      <c r="B98" t="inlineStr">
        <is>
          <t>butterknife-runtime/src/main/java/butterknife/ViewCollections.java</t>
        </is>
      </c>
      <c r="C98">
        <f>HYPERLINK("https://github.com/JakeWharton/butterknife/blob/master/butterknife-runtime/src/main/java/butterknife/ViewCollections.java")</f>
        <v/>
      </c>
      <c r="D98" t="inlineStr">
        <is>
          <t>The provided code is a Java library that provides convenience methods for working with view collections in Android applications. Specifically, it defines two methods called `run()` which take a list or array of views as input and apply a set of actions to each view in the collection. These actions can be defined using lambdas or anonymous classes.
The first method takes a list of views and applies the</t>
        </is>
      </c>
      <c r="E98" t="n">
        <v>0.0026</v>
      </c>
      <c r="F98" t="n">
        <v>0.026</v>
      </c>
      <c r="G98" t="n">
        <v>0.0709</v>
      </c>
      <c r="H98" t="inlineStr">
        <is>
          <t>This is a Java library that provides convenience methods for working with lists of Android views. The `run` method takes in a list of views and applies a set of actions to each view in the list. It also takes in an array of actions as input and applies them to each element in the array.</t>
        </is>
      </c>
      <c r="I98" t="n">
        <v>0.0039</v>
      </c>
      <c r="J98" t="n">
        <v>0.0625</v>
      </c>
      <c r="K98" t="n">
        <v>0.1172</v>
      </c>
      <c r="L98" t="inlineStr">
        <is>
          <t>The `ViewCollections` class provides convenience methods for working with lists of views. It offers two methods: `run()` and `run()`. These methods allow you to apply a set of actions to multiple views simultaneously. The `run()` method takes a list of views as input and applies a series of actions to each view in the list. The `run()` method also takes an array of views</t>
        </is>
      </c>
      <c r="M98" t="n">
        <v>0.0028</v>
      </c>
      <c r="N98" t="n">
        <v>0.0278</v>
      </c>
      <c r="O98" t="n">
        <v>0.0735</v>
      </c>
    </row>
    <row r="99">
      <c r="A99" t="inlineStr">
        <is>
          <t>butterknife</t>
        </is>
      </c>
      <c r="B99" t="inlineStr">
        <is>
          <t>butterknife-runtime/src/main/java/butterknife/internal/DebouncingOnClickListener.java</t>
        </is>
      </c>
      <c r="C99">
        <f>HYPERLINK("https://github.com/JakeWharton/butterknife/blob/master/butterknife-runtime/src/main/java/butterknife/internal/DebouncingOnClickListener.java")</f>
        <v/>
      </c>
      <c r="D99" t="inlineStr">
        <is>
          <t>This is a Java implementation of a debounced click listener for Android views. The `DebouncingOnClickListener` class extends the standard `View.OnClickListener` interface and adds a debounce mechanism to prevent multiple clicks from being fired in quick succession. When a click event is received, it sets a flag indicating that no further clicks should be processed until the next frame. If another click event is received</t>
        </is>
      </c>
      <c r="E99" t="n">
        <v>0.0034</v>
      </c>
      <c r="F99" t="n">
        <v>0.0822</v>
      </c>
      <c r="G99" t="n">
        <v>0.1103</v>
      </c>
      <c r="H99" t="inlineStr">
        <is>
          <t>This is a Java library containing a utility class called "DebouncingOnClickListener" which extends the Android framework's built-in OnClickListener interface. The purpose of this class is to prevent multiple rapid clicks from being registered as separate clicks by only allowing one click per frame. To achieve this, it uses a static flag variable "enabled" to keep track of whether a click has been registered in</t>
        </is>
      </c>
      <c r="I99" t="n">
        <v>0.0028</v>
      </c>
      <c r="J99" t="n">
        <v>0.027</v>
      </c>
      <c r="K99" t="n">
        <v>0.0735</v>
      </c>
      <c r="L99" t="inlineStr">
        <is>
          <t>The provided code defines a custom implementation of a click listener that prevents multiple rapid clicks from being registered within the same frame. It achieves this by using a static flag called "enabled" to track whether the listener is currently active. When a click event occurs, the listener sets "enabled" to false, posts a runnable task to reenable the listener after a short delay, and then</t>
        </is>
      </c>
      <c r="M99" t="n">
        <v>0.0028</v>
      </c>
      <c r="N99" t="n">
        <v>0.0541</v>
      </c>
      <c r="O99" t="n">
        <v>0.1449</v>
      </c>
    </row>
    <row r="100">
      <c r="A100" t="inlineStr">
        <is>
          <t>butterknife</t>
        </is>
      </c>
      <c r="B100" t="inlineStr">
        <is>
          <t>butterknife-runtime/src/main/java/butterknife/internal/ImmutableList.java</t>
        </is>
      </c>
      <c r="C100">
        <f>HYPERLINK("https://github.com/JakeWharton/butterknife/blob/master/butterknife-runtime/src/main/java/butterknife/internal/ImmutableList.java")</f>
        <v/>
      </c>
      <c r="D100" t="inlineStr">
        <is>
          <t>The provided code defines a custom implementation of an immutable list called `ImmutableList`. It takes in an array of objects as its constructor argument and provides methods to access elements by their indices, check whether it contains a given object, and retrieve its length. The list is implemented using an abstract base class (`AbstractList`) that provides basic implementations of common list operations. Additionally, the list is</t>
        </is>
      </c>
      <c r="E100" t="n">
        <v>0.0028</v>
      </c>
      <c r="F100" t="n">
        <v>0.0541</v>
      </c>
      <c r="G100" t="n">
        <v>0.1087</v>
      </c>
      <c r="H100" t="inlineStr">
        <is>
          <t>This Java file defines an immutable list of objects called "ImmutableList" that can be used as a replacement for unmodifiable lists in certain situations. The list is backed by an array of objects, and it provides methods to access elements at specific indices, check if it contains a given object, and retrieve its length. It also implements the RandomAccess interface, which allows for efficient</t>
        </is>
      </c>
      <c r="I100" t="n">
        <v>0.0037</v>
      </c>
      <c r="J100" t="n">
        <v>0.0556</v>
      </c>
      <c r="K100" t="n">
        <v>0.1471</v>
      </c>
      <c r="L100" t="inlineStr">
        <is>
          <t>The provided code defines an immutable list data structure called "ImmutableList" that is used to store a collection of objects of type "T". It inherits from the Java abstract classes "AbstractList" and "RandomAccess", and overrides several methods such as "get", "size", and "contains" to provide efficient access to the stored elements. The constructor takes an array of</t>
        </is>
      </c>
      <c r="M100" t="n">
        <v>0.0032</v>
      </c>
      <c r="N100" t="n">
        <v>0.0308</v>
      </c>
      <c r="O100" t="n">
        <v>0.0775</v>
      </c>
    </row>
    <row r="101">
      <c r="A101" t="inlineStr">
        <is>
          <t>butterknife</t>
        </is>
      </c>
      <c r="B101" t="inlineStr">
        <is>
          <t>butterknife-runtime/src/main/java/butterknife/internal/Utils.java</t>
        </is>
      </c>
      <c r="C101">
        <f>HYPERLINK("https://github.com/JakeWharton/butterknife/blob/master/butterknife-runtime/src/main/java/butterknife/internal/Utils.java")</f>
        <v/>
      </c>
      <c r="D101" t="inlineStr">
        <is>
          <t>The `Utils` class in this repository provides various utility methods for working with Android views and resources. Some of its key features include:
* Retrieving drawables from the app's resources using `@DrawableRes` annotations.
* Tinting drawables based on attributes defined in the app's theme using `@AttrRes` annotations.
* Converting between different units</t>
        </is>
      </c>
      <c r="E101" t="n">
        <v>0.0035</v>
      </c>
      <c r="F101" t="n">
        <v>0.0678</v>
      </c>
      <c r="G101" t="n">
        <v>0.121</v>
      </c>
      <c r="H101" t="inlineStr">
        <is>
          <t>This is a Java library containing various utility methods for working with Android views and resources. The `Utils` class provides several methods that can be used to retrieve drawables, dimensions, and other resources from the current theme or application context. These methods include:
* `getTintedDrawable`: Returns a copy of a drawable with a specific color tint applied.
* `</t>
        </is>
      </c>
      <c r="I101" t="n">
        <v>0.0037</v>
      </c>
      <c r="J101" t="n">
        <v>0.0625</v>
      </c>
      <c r="K101" t="n">
        <v>0.1145</v>
      </c>
      <c r="L101" t="inlineStr">
        <is>
          <t>The `Utils` class provides utility methods for working with Android views and resources. It includes several methods for retrieving drawables, dimensions, and colors from the current theme, as well as methods for applying tints to these resources. The class is annotated with `@UiThread`, indicating that it should only be used within the UI thread.</t>
        </is>
      </c>
      <c r="M101" t="n">
        <v>0.0034</v>
      </c>
      <c r="N101" t="n">
        <v>0.0323</v>
      </c>
      <c r="O101" t="n">
        <v>0.0794</v>
      </c>
    </row>
    <row r="102">
      <c r="A102" t="inlineStr">
        <is>
          <t>butterknife</t>
        </is>
      </c>
      <c r="B102" t="inlineStr">
        <is>
          <t>butterknife-runtime/src/test/java/butterknife/UtilsTest.java</t>
        </is>
      </c>
      <c r="C102">
        <f>HYPERLINK("https://github.com/JakeWharton/butterknife/blob/master/butterknife-runtime/src/test/java/butterknife/UtilsTest.java")</f>
        <v/>
      </c>
      <c r="D102" t="inlineStr">
        <is>
          <t>This is a JUnit test for the `Utils` class in the Butter Knife library. The test checks that the `listFilteringNull()` method correctly filters out any null elements from a given list. It does this by creating various lists with different combinations of null and non-null values and then asserting that the resulting filtered list only contains the non-null values.</t>
        </is>
      </c>
      <c r="E102" t="n">
        <v>0.0037</v>
      </c>
      <c r="F102" t="n">
        <v>0.058</v>
      </c>
      <c r="G102" t="n">
        <v>0.07630000000000001</v>
      </c>
      <c r="H102" t="inlineStr">
        <is>
          <t>This is a Java package named `butterknife` that contains utility functions for filtering out null values from lists or arrays. The package includes a single test file named `UtilsTest.java`, which tests the behavior of the `Utils` class. The `Utils` class has several methods for filtering null values, including `arrayFilteringNull()` and `listFilteringNull()`. These</t>
        </is>
      </c>
      <c r="I102" t="n">
        <v>0.0042</v>
      </c>
      <c r="J102" t="n">
        <v>0.0984</v>
      </c>
      <c r="K102" t="n">
        <v>0.121</v>
      </c>
      <c r="L102" t="inlineStr">
        <is>
          <t>The `Utils` class provides utility methods for filtering lists and arrays. The `listFilteringNull()` method takes three parameters and returns a new list containing all non-null elements from the original list. It is used in unit tests to test the correctness of the `Utils` class's functionality.</t>
        </is>
      </c>
      <c r="M102" t="n">
        <v>0.0041</v>
      </c>
      <c r="N102" t="n">
        <v>0.0364</v>
      </c>
      <c r="O102" t="n">
        <v>0.08550000000000001</v>
      </c>
    </row>
    <row r="103">
      <c r="A103" t="inlineStr">
        <is>
          <t>butterknife</t>
        </is>
      </c>
      <c r="B103" t="inlineStr">
        <is>
          <t>butterknife-runtime/src/test/java/butterknife/UnbinderTest.java</t>
        </is>
      </c>
      <c r="C103">
        <f>HYPERLINK("https://github.com/JakeWharton/butterknife/blob/master/butterknife-runtime/src/test/java/butterknife/UnbinderTest.java")</f>
        <v/>
      </c>
      <c r="D103" t="inlineStr">
        <is>
          <t>The provided code is a unit test for the Butter Knife library's `Unbinder` class. It tests that the `Unbinder` can correctly unbind multiple views with different IDs from their corresponding fields in a target object.
The test case defines two views with IDs 1 and 2, and uses the `@BindView` and `@OnClick` annotations</t>
        </is>
      </c>
      <c r="E103" t="n">
        <v>0.0035</v>
      </c>
      <c r="F103" t="n">
        <v>0.0323</v>
      </c>
      <c r="G103" t="n">
        <v>0.08</v>
      </c>
      <c r="H103" t="inlineStr">
        <is>
          <t>The provided code is a unit test for the Butter Knife library's `Unbinder` class, which is used to unbind views from their corresponding fields in an Android application. The test case checks that the `Unbinder` correctly handles multiple bindings (i.e., multiple `@BindView` annotations on different fields). It does this by creating a fake Android project</t>
        </is>
      </c>
      <c r="I103" t="n">
        <v>0</v>
      </c>
      <c r="J103" t="n">
        <v>0.0308</v>
      </c>
      <c r="K103" t="n">
        <v>0.07870000000000001</v>
      </c>
      <c r="L103" t="inlineStr">
        <is>
          <t>The provided code is part of a unit test for a library called Butter Knife, which allows developers to bind Android views to fields in their classes using annotations. The test case verifies that the library's processor correctly generates code for multiple bindings (i.e., binding multiple views to different fields).</t>
        </is>
      </c>
      <c r="M103" t="n">
        <v>0</v>
      </c>
      <c r="N103" t="n">
        <v>0</v>
      </c>
      <c r="O103" t="n">
        <v>0.041</v>
      </c>
    </row>
    <row r="104">
      <c r="A104" t="inlineStr">
        <is>
          <t>butterknife</t>
        </is>
      </c>
      <c r="B104" t="inlineStr">
        <is>
          <t>butterknife-runtime/src/test/java/butterknife/BindFontTest.java</t>
        </is>
      </c>
      <c r="C104">
        <f>HYPERLINK("https://github.com/JakeWharton/butterknife/blob/master/butterknife-runtime/src/test/java/butterknife/BindFontTest.java")</f>
        <v/>
      </c>
      <c r="D104" t="inlineStr">
        <is>
          <t>The `BindFont` annotation is used to bind a font resource to a field in a view. It takes a single argument, which is the ID of the font resource. When applied to a field of type `Typeface`, this annotation will automatically load the font resource with the specified ID and assign it to the field when the view is inflated or bound. This allows for more efficient use</t>
        </is>
      </c>
      <c r="E104" t="n">
        <v>0.0032</v>
      </c>
      <c r="F104" t="n">
        <v>0.0526</v>
      </c>
      <c r="G104" t="n">
        <v>0.1071</v>
      </c>
      <c r="H104" t="inlineStr">
        <is>
          <t>This is a JUnit test for the `butterknife` library, which is used to bind Android views with data in a more efficient way than traditional findViewById methods. The test case defines a sample Android project that uses the `BindFont` annotation to bind a font resource to a variable named `one`. The test checks if the generated view binding class has the correct method implementations for setting</t>
        </is>
      </c>
      <c r="I104" t="n">
        <v>0.0028</v>
      </c>
      <c r="J104" t="n">
        <v>0.0541</v>
      </c>
      <c r="K104" t="n">
        <v>0.1087</v>
      </c>
      <c r="L104" t="inlineStr">
        <is>
          <t>The provided code is part of a Java project that uses the Butter Knife library for Android development. It appears to be testing the `BindFont` annotation, which allows developers to bind font resources to views at runtime.
The test case defines a sample view class named `Test`, which has a field annotated with `@BindFont`. The test then generates a mocked version of</t>
        </is>
      </c>
      <c r="M104" t="n">
        <v>0</v>
      </c>
      <c r="N104" t="n">
        <v>0</v>
      </c>
      <c r="O104" t="n">
        <v>0.0373</v>
      </c>
    </row>
    <row r="105">
      <c r="A105" t="inlineStr">
        <is>
          <t>butterknife</t>
        </is>
      </c>
      <c r="B105" t="inlineStr">
        <is>
          <t>butterknife-runtime/src/test/java/butterknife/BindDrawableTest.java</t>
        </is>
      </c>
      <c r="C105">
        <f>HYPERLINK("https://github.com/JakeWharton/butterknife/blob/master/butterknife-runtime/src/test/java/butterknife/BindDrawableTest.java")</f>
        <v/>
      </c>
      <c r="D105" t="inlineStr">
        <is>
          <t>The provided code is a unit test for the `butterknife` library's `@BindDrawable` annotation processor. It tests whether the processor correctly generates bindings for a view that has a drawable resource ID annotated with `@BindDrawable`. The test case creates a fake Android project with a single activity containing a layout file that includes a view with a drawable resource ID set to</t>
        </is>
      </c>
      <c r="E105" t="n">
        <v>0</v>
      </c>
      <c r="F105" t="n">
        <v>0</v>
      </c>
      <c r="G105" t="n">
        <v>0</v>
      </c>
      <c r="H105" t="inlineStr">
        <is>
          <t>This is a Java project that uses the Butter Knife library to generate bindings for Android views in the `test` package. The `BindDrawable` annotation is used to specify which drawables should be bound to which views. The generated code will contain a `_ViewBinding` class for each view that has been annotated with `@BindDrawable`. These classes will have methods that can be</t>
        </is>
      </c>
      <c r="I105" t="n">
        <v>0.003</v>
      </c>
      <c r="J105" t="n">
        <v>0.029</v>
      </c>
      <c r="K105" t="n">
        <v>0.0752</v>
      </c>
      <c r="L105" t="inlineStr">
        <is>
          <t>The provided code is part of a Java library for Android development called Butter Knife. It appears to be a unit test that verifies the correctness of the library's implementation of the `@BindDrawable` annotation, which allows developers to bind drawables to views using Butter Knife.
The test case defines a sample view class `Test` with a single field annotated</t>
        </is>
      </c>
      <c r="M105" t="n">
        <v>0</v>
      </c>
      <c r="N105" t="n">
        <v>0.0294</v>
      </c>
      <c r="O105" t="n">
        <v>0.07630000000000001</v>
      </c>
    </row>
    <row r="106">
      <c r="A106" t="inlineStr">
        <is>
          <t>butterknife</t>
        </is>
      </c>
      <c r="B106" t="inlineStr">
        <is>
          <t>butterknife-runtime/src/test/java/butterknife/BindFloatTest.java</t>
        </is>
      </c>
      <c r="C106">
        <f>HYPERLINK("https://github.com/JakeWharton/butterknife/blob/master/butterknife-runtime/src/test/java/butterknife/BindFloatTest.java")</f>
        <v/>
      </c>
      <c r="D106" t="inlineStr">
        <is>
          <t>This is a unit test for the `butterknife` library that checks whether or not the `@BindFloat` annotation can only be used on fields with the type `float`. The test creates a fake Java file object containing a class with a field annotated with `@BindFloat`, but with a different type than `float`. The test then compiles this code using the `Butter</t>
        </is>
      </c>
      <c r="E106" t="n">
        <v>0.003</v>
      </c>
      <c r="F106" t="n">
        <v>0.0294</v>
      </c>
      <c r="G106" t="n">
        <v>0.07580000000000001</v>
      </c>
      <c r="H106" t="inlineStr">
        <is>
          <t>This is a JUnit test for the Butter Knife annotation processor. The test checks that when using the `@BindFloat` annotation on a field with a non-float data type, the compiler will raise an error. The test uses the `com.google.testing.compile` library to compile the code and check for errors. The complexity of this code is O(N), where</t>
        </is>
      </c>
      <c r="I106" t="n">
        <v>0.0039</v>
      </c>
      <c r="J106" t="n">
        <v>0.058</v>
      </c>
      <c r="K106" t="n">
        <v>0.1172</v>
      </c>
      <c r="L106" t="inlineStr">
        <is>
          <t>The code is part of a unit test for the Butter Knife library's annotation processor. It checks that when using the `@BindFloat` annotation, the annotated field has the correct type (`float`). If the field is not `float`, the test fails compilation with an error message indicating the problematic field and location.</t>
        </is>
      </c>
      <c r="M106" t="n">
        <v>0.0036</v>
      </c>
      <c r="N106" t="n">
        <v>0.0333</v>
      </c>
      <c r="O106" t="n">
        <v>0.0813</v>
      </c>
    </row>
    <row r="107">
      <c r="A107" t="inlineStr">
        <is>
          <t>butterknife</t>
        </is>
      </c>
      <c r="B107" t="inlineStr">
        <is>
          <t>butterknife-runtime/src/test/java/butterknife/TestGeneratingProcessor.java</t>
        </is>
      </c>
      <c r="C107">
        <f>HYPERLINK("https://github.com/JakeWharton/butterknife/blob/master/butterknife-runtime/src/test/java/butterknife/TestGeneratingProcessor.java")</f>
        <v/>
      </c>
      <c r="D107" t="inlineStr">
        <is>
          <t>The `TestGeneratingProcessor` is a custom annotation processor for generating Java files based on user-defined annotations. It takes in a single input parameter, which is a string containing the contents of a Java file. The processor then generates a new Java file with the same package name as the original file, but with a different name (e.g., "GeneratedClass"). The generated file will</t>
        </is>
      </c>
      <c r="E107" t="n">
        <v>0</v>
      </c>
      <c r="F107" t="n">
        <v>0</v>
      </c>
      <c r="G107" t="n">
        <v>0</v>
      </c>
      <c r="H107" t="inlineStr">
        <is>
          <t>This is a Java annotation processing tool called Butter Knife. It allows developers to generate boilerplate code for Android applications by annotating their views with specific annotations. The generated code includes methods such as `setOnClickListener()` and `findViewById()`, which can be used to simplify the development process.</t>
        </is>
      </c>
      <c r="I107" t="n">
        <v>0.0048</v>
      </c>
      <c r="J107" t="n">
        <v>0.0741</v>
      </c>
      <c r="K107" t="n">
        <v>0.1271</v>
      </c>
      <c r="L107" t="inlineStr">
        <is>
          <t>The provided code is a Java annotation processing tool called TestGeneratingProcessor. It is used to generate files based on annotations found in the source code. The tool uses the Guava library for string manipulation and the Java Compiler API for generating code at compile time.
The main purpose of the tool is to allow developers to easily generate files from their existing codebase by simply annotating</t>
        </is>
      </c>
      <c r="M107" t="n">
        <v>0.0028</v>
      </c>
      <c r="N107" t="n">
        <v>0.027</v>
      </c>
      <c r="O107" t="n">
        <v>0.0725</v>
      </c>
    </row>
    <row r="108">
      <c r="A108" t="inlineStr">
        <is>
          <t>butterknife</t>
        </is>
      </c>
      <c r="B108" t="inlineStr">
        <is>
          <t>butterknife-runtime/src/test/java/butterknife/OnFocusChangeTest.java</t>
        </is>
      </c>
      <c r="C108">
        <f>HYPERLINK("https://github.com/JakeWharton/butterknife/blob/master/butterknife-runtime/src/test/java/butterknife/OnFocusChangeTest.java")</f>
        <v/>
      </c>
      <c r="D108" t="inlineStr">
        <is>
          <t>The code is a unit test for the `butterknife` library's `@OnFocusChange` annotation processor. It checks that the generated view binder classes correctly handle focus change events on views with the specified ID.
The test creates a fake Android project with a single activity containing a layout file with a text field. The layout file includes the `@OnFocusChange` annotation</t>
        </is>
      </c>
      <c r="E108" t="n">
        <v>0</v>
      </c>
      <c r="F108" t="n">
        <v>0</v>
      </c>
      <c r="G108" t="n">
        <v>0</v>
      </c>
      <c r="H108" t="inlineStr">
        <is>
          <t>This is a JUnit test for the Butter Knife library's `OnFocusChange` annotation processor. The test checks that the generated view binder correctly handles the `@OnFocusChange` method in a given Android project. Specifically, it verifies that the generated code correctly sets up the necessary listeners to call the annotated method when the focused state of a view changes.</t>
        </is>
      </c>
      <c r="I108" t="n">
        <v>0.0032</v>
      </c>
      <c r="J108" t="n">
        <v>0.0303</v>
      </c>
      <c r="K108" t="n">
        <v>0.0388</v>
      </c>
      <c r="L108" t="inlineStr">
        <is>
          <t>The provided code is part of a unit test for the Butter Knife library, which generates view bindings for Android applications. The test case defines a simple Java class named `Test` that has one method annotated with `@OnFocusChange`, which is used to simulate a change in focus for a view. The test then checks if the generated binding class correctly implements the `doStuff</t>
        </is>
      </c>
      <c r="M108" t="n">
        <v>0.0029</v>
      </c>
      <c r="N108" t="n">
        <v>0.0282</v>
      </c>
      <c r="O108" t="n">
        <v>0.0741</v>
      </c>
    </row>
    <row r="109">
      <c r="A109" t="inlineStr">
        <is>
          <t>butterknife</t>
        </is>
      </c>
      <c r="B109" t="inlineStr">
        <is>
          <t>butterknife-runtime/src/test/java/butterknife/BindBitmapTest.java</t>
        </is>
      </c>
      <c r="C109">
        <f>HYPERLINK("https://github.com/JakeWharton/butterknife/blob/master/butterknife-runtime/src/test/java/butterknife/BindBitmapTest.java")</f>
        <v/>
      </c>
      <c r="D109" t="inlineStr">
        <is>
          <t>This is a unit test for the `butterknife` library that checks whether the `@BindBitmap` annotation can only be used with fields of type `Bitmap`. The test creates a fake Java file object containing a class with a field annotated with `@BindBitmap`, but with a different type than `Bitmap`. It then compiles this file using the `ButterKnifeProcessor</t>
        </is>
      </c>
      <c r="E109" t="n">
        <v>0.0033</v>
      </c>
      <c r="F109" t="n">
        <v>0.0312</v>
      </c>
      <c r="G109" t="n">
        <v>0.0781</v>
      </c>
      <c r="H109" t="inlineStr">
        <is>
          <t>This is a unit testing suite for the Butter Knife library, which is used to bind Android views to fields in classes using annotations. The `BindBitmap` annotation is used to bind a bitmap image view to a field in a class. The tests in this suite ensure that the `BindBitmap` annotation can only be applied to fields with the correct data type (`Bitmap`). If the field</t>
        </is>
      </c>
      <c r="I109" t="n">
        <v>0.0028</v>
      </c>
      <c r="J109" t="n">
        <v>0.027</v>
      </c>
      <c r="K109" t="n">
        <v>0.0725</v>
      </c>
      <c r="L109" t="inlineStr">
        <is>
          <t>The provided code is a unit test for the Butter Knife library's annotation processor. It checks that the `BindBitmap` annotation can only be used on fields of type `Bitmap`.</t>
        </is>
      </c>
      <c r="M109" t="n">
        <v>0</v>
      </c>
      <c r="N109" t="n">
        <v>0</v>
      </c>
      <c r="O109" t="n">
        <v>0.0495</v>
      </c>
    </row>
    <row r="110">
      <c r="A110" t="inlineStr">
        <is>
          <t>butterknife</t>
        </is>
      </c>
      <c r="B110" t="inlineStr">
        <is>
          <t>butterknife-runtime/src/test/java/butterknife/BindViewsTest.java</t>
        </is>
      </c>
      <c r="C110">
        <f>HYPERLINK("https://github.com/JakeWharton/butterknife/blob/master/butterknife-runtime/src/test/java/butterknife/BindViewsTest.java")</f>
        <v/>
      </c>
      <c r="D110" t="inlineStr">
        <is>
          <t>The code in this repository appears to be a Java library for Android development that provides a mechanism for automatically generating bindings between views in layouts and their corresponding view classes. It uses the Butter Knife annotation processor to generate the necessary code at compile time.
The `BindViews` annotation is used to annotate fields in a view class that should be bound to multiple views in a</t>
        </is>
      </c>
      <c r="E110" t="n">
        <v>0.0027</v>
      </c>
      <c r="F110" t="n">
        <v>0.0533</v>
      </c>
      <c r="G110" t="n">
        <v>0.1079</v>
      </c>
      <c r="H110" t="inlineStr">
        <is>
          <t>The provided code is part of a Java library called Butter Knife, which is used for view injection in Android applications. It appears to be a unit test that verifies the correctness of the `BindViews` annotation processor, which is responsible for generating bindings for arrays of views.
The test case defines a sample input file named `Test.java`, which contains a class</t>
        </is>
      </c>
      <c r="I110" t="n">
        <v>0</v>
      </c>
      <c r="J110" t="n">
        <v>0</v>
      </c>
      <c r="K110" t="n">
        <v>0.0376</v>
      </c>
      <c r="L110" t="inlineStr">
        <is>
          <t>The provided code is part of a unit test for Butter Knife, a popular Android annotation processor library that simplifies the process of working with views by generating boilerplate code at compile time. The test case defines a generic class `Test` with a field annotated with `@BindViews`, which binds a list of view IDs to the object's fields. The test verifies</t>
        </is>
      </c>
      <c r="M110" t="n">
        <v>0</v>
      </c>
      <c r="N110" t="n">
        <v>0</v>
      </c>
      <c r="O110" t="n">
        <v>0.0376</v>
      </c>
    </row>
    <row r="111">
      <c r="A111" t="inlineStr">
        <is>
          <t>butterknife</t>
        </is>
      </c>
      <c r="B111" t="inlineStr">
        <is>
          <t>butterknife-runtime/src/test/java/butterknife/OnItemLongClickTest.java</t>
        </is>
      </c>
      <c r="C111">
        <f>HYPERLINK("https://github.com/JakeWharton/butterknife/blob/master/butterknife-runtime/src/test/java/butterknife/OnItemLongClickTest.java")</f>
        <v/>
      </c>
      <c r="D111" t="inlineStr">
        <is>
          <t>This is a JUnit test for Butter Knife's `@OnItemLongClick` annotation processor. The test checks that the generated `doStuff()` method in the `Test` class correctly handles long click events on an AdapterView (e.g., ListView or GridView).
The test creates a fake Android project with a single Activity containing a ListView. It then</t>
        </is>
      </c>
      <c r="E111" t="n">
        <v>0.0036</v>
      </c>
      <c r="F111" t="n">
        <v>0.0328</v>
      </c>
      <c r="G111" t="n">
        <v>0.0407</v>
      </c>
      <c r="H111" t="inlineStr">
        <is>
          <t>This is a test case for the Butter Knife library's `OnItemLongClick` annotation processor. The test case checks that the generated view binder correctly handles long click events on items in a list or grid view.
The test case defines a sample class called `Test` with a method annotated with `@OnItemLongClick`. The method returns a boolean value indicating</t>
        </is>
      </c>
      <c r="I111" t="n">
        <v>0.0032</v>
      </c>
      <c r="J111" t="n">
        <v>0.0303</v>
      </c>
      <c r="K111" t="n">
        <v>0.0388</v>
      </c>
      <c r="L111" t="inlineStr">
        <is>
          <t>The provided code is part of a unit test for a library called Butter Knife. It tests the `@OnItemLongClick` annotation processor that generates view bindings for Android views. The test creates a fake Android project with a single activity and a list view. When the user long clicks on an item in the list, the `doStuff()` method should be invoked. The test</t>
        </is>
      </c>
      <c r="M111" t="n">
        <v>0.0029</v>
      </c>
      <c r="N111" t="n">
        <v>0.0286</v>
      </c>
      <c r="O111" t="n">
        <v>0.0746</v>
      </c>
    </row>
    <row r="112">
      <c r="A112" t="inlineStr">
        <is>
          <t>butterknife</t>
        </is>
      </c>
      <c r="B112" t="inlineStr">
        <is>
          <t>butterknife-runtime/src/test/java/butterknife/BindDimenTest.java</t>
        </is>
      </c>
      <c r="C112">
        <f>HYPERLINK("https://github.com/JakeWharton/butterknife/blob/master/butterknife-runtime/src/test/java/butterknife/BindDimenTest.java")</f>
        <v/>
      </c>
      <c r="D112" t="inlineStr">
        <is>
          <t>The code in this repository is a unit test for the `butterknife` library, which is used to generate boilerplate code for Android development. The test checks that the `@BindDimen` annotation on a field with a non-integer or non-float type will result in a compilation error. The test uses the `javax.tools.JavaFileObject` API to create</t>
        </is>
      </c>
      <c r="E112" t="n">
        <v>0</v>
      </c>
      <c r="F112" t="n">
        <v>0.0308</v>
      </c>
      <c r="G112" t="n">
        <v>0.08</v>
      </c>
      <c r="H112" t="inlineStr">
        <is>
          <t>This is a unit testing project for the Butter Knife library, which is used to generate boilerplate code for Android development. The project consists of a single file named `BindDimenTest.java`, which defines a JUnit test case that checks if the `@BindDimen` annotation can only be applied to fields with types `int` or `float`. The test case uses</t>
        </is>
      </c>
      <c r="I112" t="n">
        <v>0.0032</v>
      </c>
      <c r="J112" t="n">
        <v>0.0303</v>
      </c>
      <c r="K112" t="n">
        <v>0.0775</v>
      </c>
      <c r="L112" t="inlineStr">
        <is>
          <t>The provided code is part of a unit testing suite for a library called Butter Knife. It tests the correctness of the library's annotation processor by analyzing the generated Java code for certain properties. Specifically, the code checks that any fields annotated with `@BindDimen` have the correct data type - either `int` or `float`. If such a field has a different</t>
        </is>
      </c>
      <c r="M112" t="n">
        <v>0</v>
      </c>
      <c r="N112" t="n">
        <v>0</v>
      </c>
      <c r="O112" t="n">
        <v>0.0376</v>
      </c>
    </row>
    <row r="113">
      <c r="A113" t="inlineStr">
        <is>
          <t>butterknife</t>
        </is>
      </c>
      <c r="B113" t="inlineStr">
        <is>
          <t>butterknife-runtime/src/test/java/butterknife/BindArrayTest.java</t>
        </is>
      </c>
      <c r="C113">
        <f>HYPERLINK("https://github.com/JakeWharton/butterknife/blob/master/butterknife-runtime/src/test/java/butterknife/BindArrayTest.java")</f>
        <v/>
      </c>
      <c r="D113" t="inlineStr">
        <is>
          <t>The provided code is a unit test for the `butterknife` library, specifically for the `@BindArray` annotation. It tests that when a field annotated with `@BindArray` is present in a view class, the generated binding class will correctly initialize the array using the specified resource ID.
The test case creates a fake Android project with a single activity containing a layout file</t>
        </is>
      </c>
      <c r="E113" t="n">
        <v>0</v>
      </c>
      <c r="F113" t="n">
        <v>0</v>
      </c>
      <c r="G113" t="n">
        <v>0.0376</v>
      </c>
      <c r="H113" t="inlineStr">
        <is>
          <t>This is a JUnit test for the `butterknife` library that checks whether the `@BindArray` annotation works correctly when used with a typed array field in Android. The test creates a fake `TypedArray` object using the `JavaFileObjects` utility class from the `com.google.testing.compile` package, and then uses the `assertAbout()` method to</t>
        </is>
      </c>
      <c r="I113" t="n">
        <v>0.0045</v>
      </c>
      <c r="J113" t="n">
        <v>0.0667</v>
      </c>
      <c r="K113" t="n">
        <v>0.124</v>
      </c>
      <c r="L113" t="inlineStr">
        <is>
          <t>The code is part of a system for automatically generating bindings between Android views and their corresponding view models using the Butter Knife library. It defines a unit test that checks whether the generated bindings for a specific view model work correctly when passed a `TypedArray` object as an argument. The test case imports several relevant classes, including `ButterKnifeProcessor`, which is</t>
        </is>
      </c>
      <c r="M113" t="n">
        <v>0.003</v>
      </c>
      <c r="N113" t="n">
        <v>0.029</v>
      </c>
      <c r="O113" t="n">
        <v>0.0752</v>
      </c>
    </row>
    <row r="114">
      <c r="A114" t="inlineStr">
        <is>
          <t>butterknife</t>
        </is>
      </c>
      <c r="B114" t="inlineStr">
        <is>
          <t>butterknife-runtime/src/test/java/butterknife/ExtendViewTest.java</t>
        </is>
      </c>
      <c r="C114">
        <f>HYPERLINK("https://github.com/JakeWharton/butterknife/blob/master/butterknife-runtime/src/test/java/butterknife/ExtendViewTest.java")</f>
        <v/>
      </c>
      <c r="D114" t="inlineStr">
        <is>
          <t>The provided code is a JUnit test for the `butterknife` library, which is used to generate boilerplate code for Android views. The test case defines a new subclass of `View`, called `Test`, and uses the `@BindBool` annotation to bind a boolean field named `one` to resource ID 1. The test also includes a generated file, `Test</t>
        </is>
      </c>
      <c r="E114" t="n">
        <v>0.0033</v>
      </c>
      <c r="F114" t="n">
        <v>0.0312</v>
      </c>
      <c r="G114" t="n">
        <v>0.0781</v>
      </c>
      <c r="H114" t="inlineStr">
        <is>
          <t>This is a Java project that uses the Butter Knife library to generate bindings for Android views in a separate file called `Test_ViewBinding`. The project consists of a single class named `ExtendViewTest` with a single method named `onlyResources`, which tests the generated bindings by checking if they have been correctly implemented. The method takes no arguments and returns nothing.</t>
        </is>
      </c>
      <c r="I114" t="n">
        <v>0.0037</v>
      </c>
      <c r="J114" t="n">
        <v>0.0882</v>
      </c>
      <c r="K114" t="n">
        <v>0.1145</v>
      </c>
      <c r="L114" t="inlineStr">
        <is>
          <t>The provided code is part of a system for generating boilerplate code for Android development using the Butter Knife library. It appears to be a unit test that verifies the correctness of the generated code by comparing it against expected output. Specifically, the test checks whether the generated code correctly binds resources (in this case, a boolean field called `one`) to their corresponding views in</t>
        </is>
      </c>
      <c r="M114" t="n">
        <v>0</v>
      </c>
      <c r="N114" t="n">
        <v>0.0274</v>
      </c>
      <c r="O114" t="n">
        <v>0.073</v>
      </c>
    </row>
    <row r="115">
      <c r="A115" t="inlineStr">
        <is>
          <t>butterknife</t>
        </is>
      </c>
      <c r="B115" t="inlineStr">
        <is>
          <t>butterknife-runtime/src/test/java/butterknife/BindColorTest.java</t>
        </is>
      </c>
      <c r="C115">
        <f>HYPERLINK("https://github.com/JakeWharton/butterknife/blob/master/butterknife-runtime/src/test/java/butterknife/BindColorTest.java")</f>
        <v/>
      </c>
      <c r="D115" t="inlineStr">
        <is>
          <t>The provided code is part of a unit test for a library called Butter Knife. It appears to be testing the behavior of a method called `bindColor()` which is used to bind a color value to a view in Android.
The test case defines two classes: `Test` and `Test_ViewBinding`. The `Test` class has a field annotated with `@Bind</t>
        </is>
      </c>
      <c r="E115" t="n">
        <v>0.0031</v>
      </c>
      <c r="F115" t="n">
        <v>0.0299</v>
      </c>
      <c r="G115" t="n">
        <v>0.0769</v>
      </c>
      <c r="H115" t="inlineStr">
        <is>
          <t>The provided code is a unit test for the `butterknife` library, specifically for the `BindColor` annotation processor. It tests whether the generated view bindings for a given Android View subclass correctly set the color values of the annotated fields to their corresponding colors in the XML layout file.
The test case creates a fake Android View subclass with a single field that is annot</t>
        </is>
      </c>
      <c r="I115" t="n">
        <v>0</v>
      </c>
      <c r="J115" t="n">
        <v>0</v>
      </c>
      <c r="K115" t="n">
        <v>0</v>
      </c>
      <c r="L115" t="inlineStr">
        <is>
          <t>The provided code is part of a Java project that uses the Butter Knife library for field injection. It appears to be a unit test that verifies the correctness of the `BindColor` annotation processor used by Butter Knife.
The test case defines a sample input (a Java source file containing a class with a single field annotated with `@BindColor`), which is</t>
        </is>
      </c>
      <c r="M115" t="n">
        <v>0</v>
      </c>
      <c r="N115" t="n">
        <v>0</v>
      </c>
      <c r="O115" t="n">
        <v>0.0376</v>
      </c>
    </row>
    <row r="116">
      <c r="A116" t="inlineStr">
        <is>
          <t>butterknife</t>
        </is>
      </c>
      <c r="B116" t="inlineStr">
        <is>
          <t>butterknife-runtime/src/test/java/butterknife/OnItemSelectedTest.java</t>
        </is>
      </c>
      <c r="C116">
        <f>HYPERLINK("https://github.com/JakeWharton/butterknife/blob/master/butterknife-runtime/src/test/java/butterknife/OnItemSelectedTest.java")</f>
        <v/>
      </c>
      <c r="D116" t="inlineStr">
        <is>
          <t>The provided code is part of a unit testing suite for the Butter Knife library, which is used to simplify Android view injection in Java applications. It defines a JUnit test case named `OnItemSelectedTest` that verifies the correctness of the `@OnItemSelected` annotation processor by generating a mocked AdapterView object and checking if the annotated method is called when the</t>
        </is>
      </c>
      <c r="E116" t="n">
        <v>0.0031</v>
      </c>
      <c r="F116" t="n">
        <v>0.0299</v>
      </c>
      <c r="G116" t="n">
        <v>0.07630000000000001</v>
      </c>
      <c r="H116" t="inlineStr">
        <is>
          <t>The provided code is part of a Java library called Butter Knife, which is used for Android development. It appears to be a unit testing framework for Butter Knife's annotation processor, specifically for the `@OnItemSelected` annotation.
The `OnItemSelectedTest` class contains a single test method named `defaultMethod`, which generates a mock view hierarchy and uses But</t>
        </is>
      </c>
      <c r="I116" t="n">
        <v>0.0033</v>
      </c>
      <c r="J116" t="n">
        <v>0.0312</v>
      </c>
      <c r="K116" t="n">
        <v>0.07870000000000001</v>
      </c>
      <c r="L116" t="inlineStr">
        <is>
          <t>The provided code is part of a unit test for a library called Butter Knife. It defines a JUnit test case named `OnItemSelectedTest` that exercises a specific feature of the library called `@OnItemSelected`. The test case uses a mocked Android view object to simulate the selection of an item from a list, and then verifies that the correct method was called</t>
        </is>
      </c>
      <c r="M116" t="n">
        <v>0.003</v>
      </c>
      <c r="N116" t="n">
        <v>0.029</v>
      </c>
      <c r="O116" t="n">
        <v>0.0752</v>
      </c>
    </row>
    <row r="117">
      <c r="A117" t="inlineStr">
        <is>
          <t>butterknife</t>
        </is>
      </c>
      <c r="B117" t="inlineStr">
        <is>
          <t>butterknife-runtime/src/test/java/butterknife/BindStringTest.java</t>
        </is>
      </c>
      <c r="C117">
        <f>HYPERLINK("https://github.com/JakeWharton/butterknife/blob/master/butterknife-runtime/src/test/java/butterknife/BindStringTest.java")</f>
        <v/>
      </c>
      <c r="D117" t="inlineStr">
        <is>
          <t>The provided code is a unit test for the `butterknife` library's annotation processor. It tests that when using the `@BindString` annotation on a field in a class, the field's type must be `String`. If it is not, then the test will fail with an error message indicating that the field type must be `String`. The test uses the `com</t>
        </is>
      </c>
      <c r="E117" t="n">
        <v>0</v>
      </c>
      <c r="F117" t="n">
        <v>0</v>
      </c>
      <c r="G117" t="n">
        <v>0.0382</v>
      </c>
      <c r="H117" t="inlineStr">
        <is>
          <t>The provided code is a unit test for the Butter Knife library's annotation processor. It tests that when a user annotates a field with `@BindString`, the field's type must be `String`. If the field is not of type `String`, the test fails to compile with an error message indicating the problematic field.</t>
        </is>
      </c>
      <c r="I117" t="n">
        <v>0</v>
      </c>
      <c r="J117" t="n">
        <v>0</v>
      </c>
      <c r="K117" t="n">
        <v>0</v>
      </c>
      <c r="L117" t="inlineStr">
        <is>
          <t>The provided code is a unit test for the `butterknife` library's annotation processor. It checks that when using the `@BindString` annotation, the annotated field's type must be `String`. If the field has any other type, the compiler will raise an error during compilation.</t>
        </is>
      </c>
      <c r="M117" t="n">
        <v>0</v>
      </c>
      <c r="N117" t="n">
        <v>0</v>
      </c>
      <c r="O117" t="n">
        <v>0.0435</v>
      </c>
    </row>
    <row r="118">
      <c r="A118" t="inlineStr">
        <is>
          <t>butterknife</t>
        </is>
      </c>
      <c r="B118" t="inlineStr">
        <is>
          <t>butterknife-runtime/src/test/java/butterknife/BindViewTest.java</t>
        </is>
      </c>
      <c r="C118">
        <f>HYPERLINK("https://github.com/JakeWharton/butterknife/blob/master/butterknife-runtime/src/test/java/butterknife/BindViewTest.java")</f>
        <v/>
      </c>
      <c r="D118" t="inlineStr">
        <is>
          <t>The provided code is a unit test for Butter Knife, a library that generates view bindings for Android views. It tests the behavior of the `BindView` annotation processor when used in non-debuggable mode.
The test creates a Java file object representing a simple Android view with a single field annotated with `@BindView`. It then compiles this file using the But</t>
        </is>
      </c>
      <c r="E118" t="n">
        <v>0</v>
      </c>
      <c r="F118" t="n">
        <v>0.029</v>
      </c>
      <c r="G118" t="n">
        <v>0.07580000000000001</v>
      </c>
      <c r="H118" t="inlineStr">
        <is>
          <t>This is a JUnit test for the Butter Knife library's view binding feature. The test checks that the library can correctly generate bindings for views in Android layout files.
The test defines a `source` variable as a `JavaFileObject` representing the contents of a file containing an Android layout XML file with a single view element (e.g., `&lt;Button /&gt;</t>
        </is>
      </c>
      <c r="I118" t="n">
        <v>0.0031</v>
      </c>
      <c r="J118" t="n">
        <v>0.0299</v>
      </c>
      <c r="K118" t="n">
        <v>0.0385</v>
      </c>
      <c r="L118" t="inlineStr">
        <is>
          <t>The provided code is part of a unit test for Butter Knife, a library used for view injection in Android applications. The test case verifies that the `@BindView` annotation can be used to inject a `View` object into a class field.
The test case creates a dummy class called `Test` with a single field annotated with `@BindView`. It then comp</t>
        </is>
      </c>
      <c r="M118" t="n">
        <v>0</v>
      </c>
      <c r="N118" t="n">
        <v>0</v>
      </c>
      <c r="O118" t="n">
        <v>0.0379</v>
      </c>
    </row>
    <row r="119">
      <c r="A119" t="inlineStr">
        <is>
          <t>butterknife</t>
        </is>
      </c>
      <c r="B119" t="inlineStr">
        <is>
          <t>butterknife-runtime/src/test/java/butterknife/OnTouchTest.java</t>
        </is>
      </c>
      <c r="C119">
        <f>HYPERLINK("https://github.com/JakeWharton/butterknife/blob/master/butterknife-runtime/src/test/java/butterknife/OnTouchTest.java")</f>
        <v/>
      </c>
      <c r="D119" t="inlineStr">
        <is>
          <t>The provided code is a unit test for the Butter Knife library's `OnTouch` annotation processor. It tests that when a method annotated with `@OnTouch` is called with a valid view and motion event, it returns true if the event was handled by the view, or false otherwise.
The test creates a fake Android project with a single activity containing a button.</t>
        </is>
      </c>
      <c r="E119" t="n">
        <v>0.003</v>
      </c>
      <c r="F119" t="n">
        <v>0.0286</v>
      </c>
      <c r="G119" t="n">
        <v>0.0376</v>
      </c>
      <c r="H119" t="inlineStr">
        <is>
          <t>This is a JUnit test for the Butter Knife library's `OnTouch` annotation processor. The test case defines a Java file object representing a test class with a method annotated with `@OnTouch`. The test checks that the generated view binding class correctly implements the `onTouch()` method from the Android API.
The test uses Google Truth to assert that the generated</t>
        </is>
      </c>
      <c r="I119" t="n">
        <v>0.0037</v>
      </c>
      <c r="J119" t="n">
        <v>0.0588</v>
      </c>
      <c r="K119" t="n">
        <v>0.1145</v>
      </c>
      <c r="L119" t="inlineStr">
        <is>
          <t>The code is part of a Butter Knife library for Android development. It appears to be a unit test that verifies the correctness of the `OnTouch` annotation processor. The test case defines a simple class called `Test` with a method annotated with `@OnTouch`. The test then uses the `butterknife.compiler.ButterKnifeProcessor` to</t>
        </is>
      </c>
      <c r="M119" t="n">
        <v>0</v>
      </c>
      <c r="N119" t="n">
        <v>0</v>
      </c>
      <c r="O119" t="n">
        <v>0.041</v>
      </c>
    </row>
    <row r="120">
      <c r="A120" t="inlineStr">
        <is>
          <t>butterknife</t>
        </is>
      </c>
      <c r="B120" t="inlineStr">
        <is>
          <t>butterknife-runtime/src/test/java/butterknife/BindAnimTest.java</t>
        </is>
      </c>
      <c r="C120">
        <f>HYPERLINK("https://github.com/JakeWharton/butterknife/blob/master/butterknife-runtime/src/test/java/butterknife/BindAnimTest.java")</f>
        <v/>
      </c>
      <c r="D120" t="inlineStr">
        <is>
          <t>The code in this repository appears to be a unit test for the `butterknife` library. It uses the `JUnit` framework to write tests that verify the behavior of the `BindAnim` annotation processor.
The test defines a simple Java class with a single field annotated with `@BindAnim`. The test then compiles the class using the `ButterKn</t>
        </is>
      </c>
      <c r="E120" t="n">
        <v>0</v>
      </c>
      <c r="F120" t="n">
        <v>0.0317</v>
      </c>
      <c r="G120" t="n">
        <v>0.07870000000000001</v>
      </c>
      <c r="H120" t="inlineStr">
        <is>
          <t>This is a unit testing suite for the Butter Knife annotation processor library. The `BindAnim` annotation is used to bind Android's Animation class to views in layout files. The code checks that the type of the annotated field matches the expected type, which is `Animation`, and fails if it does not match.</t>
        </is>
      </c>
      <c r="I120" t="n">
        <v>0.0042</v>
      </c>
      <c r="J120" t="n">
        <v>0.06560000000000001</v>
      </c>
      <c r="K120" t="n">
        <v>0.121</v>
      </c>
      <c r="L120" t="inlineStr">
        <is>
          <t>The code is part of a unit test for a library called Butter Knife that generates view bindings based on annotations. It tests whether a field annotated with `@BindAnim` has the correct type, which should be `Animation`. If the field's type is not `Animation`, the test fails with an error message indicating the problematic field name and line number.</t>
        </is>
      </c>
      <c r="M120" t="n">
        <v>0.0031</v>
      </c>
      <c r="N120" t="n">
        <v>0.0294</v>
      </c>
      <c r="O120" t="n">
        <v>0.07630000000000001</v>
      </c>
    </row>
    <row r="121">
      <c r="A121" t="inlineStr">
        <is>
          <t>butterknife</t>
        </is>
      </c>
      <c r="B121" t="inlineStr">
        <is>
          <t>butterknife-runtime/src/test/java/butterknife/OnItemClickTest.java</t>
        </is>
      </c>
      <c r="C121">
        <f>HYPERLINK("https://github.com/JakeWharton/butterknife/blob/master/butterknife-runtime/src/test/java/butterknife/OnItemClickTest.java")</f>
        <v/>
      </c>
      <c r="D121" t="inlineStr">
        <is>
          <t>The provided code is a JUnit test for the Butter Knife library's `OnItemClick` annotation processor. It defines a test method called `onItemClickBinding()` which checks whether the generated view binder class correctly binds a method annotated with `@OnItemClick`.
The test creates a fake Android project with a single activity containing a list view. It then</t>
        </is>
      </c>
      <c r="E121" t="n">
        <v>0</v>
      </c>
      <c r="F121" t="n">
        <v>0</v>
      </c>
      <c r="G121" t="n">
        <v>0</v>
      </c>
      <c r="H121" t="inlineStr">
        <is>
          <t>The provided code is a unit test for Butter Knife, a library used to bind Android views in Java code. It defines a test case named `onItemClickBinding` which verifies that the `@OnItemClick` annotation works correctly when applied to a method that takes no arguments.
The test creates a Java file object representing the source code of a test class called `Test</t>
        </is>
      </c>
      <c r="I121" t="n">
        <v>0</v>
      </c>
      <c r="J121" t="n">
        <v>0</v>
      </c>
      <c r="K121" t="n">
        <v>0.0376</v>
      </c>
      <c r="L121" t="inlineStr">
        <is>
          <t>The provided code is part of a Java project that uses Butter Knife library for Android development. It appears to be a unit test for a specific feature related to handling item clicks in a list view. The test case defines a mock adapter view and verifies that the `doStuff()` method is called when an item is clicked. The test also checks that the correct view was passed as</t>
        </is>
      </c>
      <c r="M121" t="n">
        <v>0.0026</v>
      </c>
      <c r="N121" t="n">
        <v>0.026</v>
      </c>
      <c r="O121" t="n">
        <v>0.0709</v>
      </c>
    </row>
    <row r="122">
      <c r="A122" t="inlineStr">
        <is>
          <t>butterknife</t>
        </is>
      </c>
      <c r="B122" t="inlineStr">
        <is>
          <t>butterknife-runtime/src/test/java/butterknife/ClasspathParentBindTest.java</t>
        </is>
      </c>
      <c r="C122">
        <f>HYPERLINK("https://github.com/JakeWharton/butterknife/blob/master/butterknife-runtime/src/test/java/butterknife/ClasspathParentBindTest.java")</f>
        <v/>
      </c>
      <c r="D122" t="inlineStr">
        <is>
          <t>This is a JUnit test for the Butter Knife library that generates bindings for fields in subclasses of classes on the classpath. The test creates a temporary folder with a Java source file containing a subclass of a class on the classpath, compiles it using the Butter Knife processor, and then checks if the generated bindings match the expected values. The test uses the</t>
        </is>
      </c>
      <c r="E122" t="n">
        <v>0.0034</v>
      </c>
      <c r="F122" t="n">
        <v>0.0556</v>
      </c>
      <c r="G122" t="n">
        <v>0.1103</v>
      </c>
      <c r="H122" t="inlineStr">
        <is>
          <t>This is a Java test file that uses Butter Knife to generate bindings for Android views in a project's source code. The file imports several classes from the Butter Knife library and defines a `ClasspathParentBindTest` class with a single method called `parentBindingInClasspath`. The method takes no arguments and returns nothing. It creates a temporary folder using the `</t>
        </is>
      </c>
      <c r="I122" t="n">
        <v>0.0037</v>
      </c>
      <c r="J122" t="n">
        <v>0.0606</v>
      </c>
      <c r="K122" t="n">
        <v>0.1154</v>
      </c>
      <c r="L122" t="inlineStr">
        <is>
          <t>The provided Java code is part of a unit test for Butter Knife, a library used for field injection in Android apps. It tests that bindings are generated correctly when the target class extends a class from the classpath.
The test creates a temporary folder, generates a Java file object representing a sample class extending a class from the classpath, compiles the file using the But</t>
        </is>
      </c>
      <c r="M122" t="n">
        <v>0</v>
      </c>
      <c r="N122" t="n">
        <v>0</v>
      </c>
      <c r="O122" t="n">
        <v>0.0362</v>
      </c>
    </row>
    <row r="123">
      <c r="A123" t="inlineStr">
        <is>
          <t>butterknife</t>
        </is>
      </c>
      <c r="B123" t="inlineStr">
        <is>
          <t>butterknife-runtime/src/test/java/butterknife/OnEditorActionTest.java</t>
        </is>
      </c>
      <c r="C123">
        <f>HYPERLINK("https://github.com/JakeWharton/butterknife/blob/master/butterknife-runtime/src/test/java/butterknife/OnEditorActionTest.java")</f>
        <v/>
      </c>
      <c r="D123" t="inlineStr">
        <is>
          <t>This is a unit test for the `butterknife` library's `@OnEditorAction` annotation processor. The test checks that when the user presses a key on a text view with this annotation, the corresponding method in the annotated class is called.
The test creates a fake Android project with a single activity containing a text view with the `@OnEditorAction` annotation</t>
        </is>
      </c>
      <c r="E123" t="n">
        <v>0.0032</v>
      </c>
      <c r="F123" t="n">
        <v>0.0303</v>
      </c>
      <c r="G123" t="n">
        <v>0.0388</v>
      </c>
      <c r="H123" t="inlineStr">
        <is>
          <t>This is a JUnit test for the Butter Knife library's `OnEditorAction` annotation processor. The test checks that the generated binding class correctly handles the `onEditorAction()` method of a `TextView`. Specifically, it asserts that the generated binding class calls the annotated method with the correct parameters when the `onEditorAction()` event occurs on the associated view.</t>
        </is>
      </c>
      <c r="I123" t="n">
        <v>0.0034</v>
      </c>
      <c r="J123" t="n">
        <v>0.0317</v>
      </c>
      <c r="K123" t="n">
        <v>0.0397</v>
      </c>
      <c r="L123" t="inlineStr">
        <is>
          <t>The provided code is part of a Java project that uses Butter Knife library for Android app development. It defines a test case named `editorAction()` which tests the `@OnEditorAction` annotation used in the `doStuff()` method of the `Test` class.
The `Test` class has a single method annotated with `@OnEditorAction`, which takes an integer</t>
        </is>
      </c>
      <c r="M123" t="n">
        <v>0</v>
      </c>
      <c r="N123" t="n">
        <v>0</v>
      </c>
      <c r="O123" t="n">
        <v>0.04</v>
      </c>
    </row>
    <row r="124">
      <c r="A124" t="inlineStr">
        <is>
          <t>butterknife</t>
        </is>
      </c>
      <c r="B124" t="inlineStr">
        <is>
          <t>butterknife-runtime/src/test/java/butterknife/RClassTest.java</t>
        </is>
      </c>
      <c r="C124">
        <f>HYPERLINK("https://github.com/JakeWharton/butterknife/blob/master/butterknife-runtime/src/test/java/butterknife/RClassTest.java")</f>
        <v/>
      </c>
      <c r="D124" t="inlineStr">
        <is>
          <t>The code is a unit test for the Butter Knife annotation processor. It imports several classes from the Butter Knife library and uses them to generate Java source files that can be compiled into bytecode. The test creates a `JavaFileObject` instance with a sample R class definition and passes it to the `ButterKnifeProcessor`, which generates the necessary Java source files based</t>
        </is>
      </c>
      <c r="E124" t="n">
        <v>0.003</v>
      </c>
      <c r="F124" t="n">
        <v>0.029</v>
      </c>
      <c r="G124" t="n">
        <v>0.0752</v>
      </c>
      <c r="H124" t="inlineStr">
        <is>
          <t>This is a Java project that uses Butter Knife to generate binding classes for Android resources (such as strings, dimensions, colors, etc.). The `R` class in this project is generated by the Butter Knife processor and contains references to all the resources defined in the app's `res/` directory. The `R` class is used to access these resources at runtime, allowing</t>
        </is>
      </c>
      <c r="I124" t="n">
        <v>0.0036</v>
      </c>
      <c r="J124" t="n">
        <v>0.058</v>
      </c>
      <c r="K124" t="n">
        <v>0.1136</v>
      </c>
      <c r="L124" t="inlineStr">
        <is>
          <t>The provided code is part of a Java project that uses Butter Knife library for field injection. It defines a `R` class that holds resource IDs for various types of resources (array, boolean, color, and integer). The code also includes unit tests using the JUnit framework to verify the correctness of the `R` class.</t>
        </is>
      </c>
      <c r="M124" t="n">
        <v>0.0034</v>
      </c>
      <c r="N124" t="n">
        <v>0.0323</v>
      </c>
      <c r="O124" t="n">
        <v>0.0794</v>
      </c>
    </row>
    <row r="125">
      <c r="A125" t="inlineStr">
        <is>
          <t>butterknife</t>
        </is>
      </c>
      <c r="B125" t="inlineStr">
        <is>
          <t>butterknife-runtime/src/test/java/butterknife/OnPageChangeTest.java</t>
        </is>
      </c>
      <c r="C125">
        <f>HYPERLINK("https://github.com/JakeWharton/butterknife/blob/master/butterknife-runtime/src/test/java/butterknife/OnPageChangeTest.java")</f>
        <v/>
      </c>
      <c r="D125" t="inlineStr">
        <is>
          <t>The provided code is a unit test for the Butter Knife library's `OnPageChange` annotation processor. It defines a test case that checks whether the processor correctly generates code to bind a method annotated with `@OnPageChange` to a view pager's page change event.
The test case creates a fake Android project with a single activity containing a view pager</t>
        </is>
      </c>
      <c r="E125" t="n">
        <v>0</v>
      </c>
      <c r="F125" t="n">
        <v>0</v>
      </c>
      <c r="G125" t="n">
        <v>0</v>
      </c>
      <c r="H125" t="inlineStr">
        <is>
          <t>The provided code is a unit test for a library called Butter Knife, which is used to simplify Android view injection in Java. The test case defines a method `pageChange()` that tests the behavior of the `@OnPageChange` annotation on a method named `doStuff()`. This annotation is used to mark methods that should be executed when a user changes pages in a ViewPager widget</t>
        </is>
      </c>
      <c r="I125" t="n">
        <v>0.0029</v>
      </c>
      <c r="J125" t="n">
        <v>0.0282</v>
      </c>
      <c r="K125" t="n">
        <v>0.0741</v>
      </c>
      <c r="L125" t="inlineStr">
        <is>
          <t>The provided code is part of a unit test for Butter Knife, a library used for view binding in Android applications. It tests the `@OnPageChange` annotation, which is used to bind a method to be called when a ViewPager's page changes. The test creates a fake `ViewPager` object and sets up a mock method that will be called when the page changes.</t>
        </is>
      </c>
      <c r="M125" t="n">
        <v>0.0029</v>
      </c>
      <c r="N125" t="n">
        <v>0.0282</v>
      </c>
      <c r="O125" t="n">
        <v>0.0746</v>
      </c>
    </row>
    <row r="126">
      <c r="A126" t="inlineStr">
        <is>
          <t>butterknife</t>
        </is>
      </c>
      <c r="B126" t="inlineStr">
        <is>
          <t>butterknife-runtime/src/test/java/butterknife/BindBoolTest.java</t>
        </is>
      </c>
      <c r="C126">
        <f>HYPERLINK("https://github.com/JakeWharton/butterknife/blob/master/butterknife-runtime/src/test/java/butterknife/BindBoolTest.java")</f>
        <v/>
      </c>
      <c r="D126" t="inlineStr">
        <is>
          <t>The code is a unit test for the `butterknife` library's annotation processor. It tests that when using the `@BindBool` annotation on a non-boolean field, the processor will fail to compile with an error message indicating that the type must be boolean.</t>
        </is>
      </c>
      <c r="E126" t="n">
        <v>0</v>
      </c>
      <c r="F126" t="n">
        <v>0</v>
      </c>
      <c r="G126" t="n">
        <v>0.0442</v>
      </c>
      <c r="H126" t="inlineStr">
        <is>
          <t>This is a unit testing framework for the Butter Knife annotation processor in Android development. The code defines a `BindBool` test that checks whether the type of a `@BindBool` annotated field is indeed boolean. If it's not, then the test fails with an error message indicating the incorrect type.</t>
        </is>
      </c>
      <c r="I126" t="n">
        <v>0.0037</v>
      </c>
      <c r="J126" t="n">
        <v>0.0345</v>
      </c>
      <c r="K126" t="n">
        <v>0.0413</v>
      </c>
      <c r="L126" t="inlineStr">
        <is>
          <t>The code is part of a unit testing suite for the Butter Knife library, which generates boilerplate code for Android views. It tests that the `@BindBool` annotation can only be applied to fields with boolean types.</t>
        </is>
      </c>
      <c r="M126" t="n">
        <v>0</v>
      </c>
      <c r="N126" t="n">
        <v>0</v>
      </c>
      <c r="O126" t="n">
        <v>0.0463</v>
      </c>
    </row>
    <row r="127">
      <c r="A127" t="inlineStr">
        <is>
          <t>butterknife</t>
        </is>
      </c>
      <c r="B127" t="inlineStr">
        <is>
          <t>butterknife-runtime/src/test/java/butterknife/OnClickTest.java</t>
        </is>
      </c>
      <c r="C127">
        <f>HYPERLINK("https://github.com/JakeWharton/butterknife/blob/master/butterknife-runtime/src/test/java/butterknife/OnClickTest.java")</f>
        <v/>
      </c>
      <c r="D127" t="inlineStr">
        <is>
          <t>The provided code is a unit test for the Butter Knife library's `@OnClick` annotation processor. It checks that the `doStuff()` method in the `Test` class is only called once when the button with ID `1` is clicked.
The test creates a mock Android project with a single activity containing a button with ID `1`. When the button is</t>
        </is>
      </c>
      <c r="E127" t="n">
        <v>0</v>
      </c>
      <c r="F127" t="n">
        <v>0</v>
      </c>
      <c r="G127" t="n">
        <v>0</v>
      </c>
      <c r="H127" t="inlineStr">
        <is>
          <t>This is a Java project that uses Butter Knife to bind Android views to methods in a class. The `onClick` method is used to handle button clicks on the UI. The `findOnlyCalledOnce` test checks if the `doStuff()` method is called only once when the button is clicked.</t>
        </is>
      </c>
      <c r="I127" t="n">
        <v>0.0039</v>
      </c>
      <c r="J127" t="n">
        <v>0.0364</v>
      </c>
      <c r="K127" t="n">
        <v>0.08400000000000001</v>
      </c>
      <c r="L127" t="inlineStr">
        <is>
          <t>The provided code is part of a unit test for Butter Knife, a library that simplifies Android views injection using annotation processing. The `OnClickTest` class contains a single test method named `findOnlyCalledOnce()` which tests whether the `@OnClick` annotation processor correctly identifies and processes only the methods annotated with `@OnClick`.
The test creates a mock</t>
        </is>
      </c>
      <c r="M127" t="n">
        <v>0.0034</v>
      </c>
      <c r="N127" t="n">
        <v>0.0323</v>
      </c>
      <c r="O127" t="n">
        <v>0.0794</v>
      </c>
    </row>
    <row r="128">
      <c r="A128" t="inlineStr">
        <is>
          <t>butterknife</t>
        </is>
      </c>
      <c r="B128" t="inlineStr">
        <is>
          <t>butterknife-runtime/src/test/java/butterknife/OnTextChangedTest.java</t>
        </is>
      </c>
      <c r="C128">
        <f>HYPERLINK("https://github.com/JakeWharton/butterknife/blob/master/butterknife-runtime/src/test/java/butterknife/OnTextChangedTest.java")</f>
        <v/>
      </c>
      <c r="D128" t="inlineStr">
        <is>
          <t>The provided code is a unit test for the Butter Knife library's `OnTextChanged` annotation processor. It verifies that the annotation processor correctly generates code to handle the `android:onTextChanged` attribute in layout files.
The test case defines a simple Android application with a single activity and a single edit text field. The `OnTextChanged` annotation is applied</t>
        </is>
      </c>
      <c r="E128" t="n">
        <v>0.0033</v>
      </c>
      <c r="F128" t="n">
        <v>0.0308</v>
      </c>
      <c r="G128" t="n">
        <v>0.0394</v>
      </c>
      <c r="H128" t="inlineStr">
        <is>
          <t>This is a JUnit test for the Butter Knife library's `OnTextChanged` annotation processor. The test checks that the generated binding class correctly implements the `TextWatcher` interface and calls the annotated method when the text changes in a `TextView`.
The test creates a fake Android project with a single activity containing a `TextView` field. It then uses the</t>
        </is>
      </c>
      <c r="I128" t="n">
        <v>0.0042</v>
      </c>
      <c r="J128" t="n">
        <v>0.09089999999999999</v>
      </c>
      <c r="K128" t="n">
        <v>0.155</v>
      </c>
      <c r="L128" t="inlineStr">
        <is>
          <t>The provided code is part of a Java project that utilizes Butter Knife library for Android development. It appears to be a unit test case for the `OnTextChanged` annotation processor, which generates code for handling text changes in views. The test case creates a mock view object and verifies that the generated code correctly implements the `TextWatcher` interface and calls the annotated method</t>
        </is>
      </c>
      <c r="M128" t="n">
        <v>0.0034</v>
      </c>
      <c r="N128" t="n">
        <v>0.0563</v>
      </c>
      <c r="O128" t="n">
        <v>0.1111</v>
      </c>
    </row>
    <row r="129">
      <c r="A129" t="inlineStr">
        <is>
          <t>butterknife</t>
        </is>
      </c>
      <c r="B129" t="inlineStr">
        <is>
          <t>butterknife-runtime/src/test/java/butterknife/BindIntTest.java</t>
        </is>
      </c>
      <c r="C129">
        <f>HYPERLINK("https://github.com/JakeWharton/butterknife/blob/master/butterknife-runtime/src/test/java/butterknife/BindIntTest.java")</f>
        <v/>
      </c>
      <c r="D129" t="inlineStr">
        <is>
          <t>This is a unit test for the `butterknife` library that checks whether the `@BindInt` annotation can only be used on fields with the `int` type. The test creates a fake Java file object containing a class with a field annotated with `@BindInt`, but with a different type than `int`. The test then compiles this file using the `ButterK</t>
        </is>
      </c>
      <c r="E129" t="n">
        <v>0.0031</v>
      </c>
      <c r="F129" t="n">
        <v>0.0303</v>
      </c>
      <c r="G129" t="n">
        <v>0.0769</v>
      </c>
      <c r="H129" t="inlineStr">
        <is>
          <t>This is a unit testing suite for a library called Butter Knife that helps developers bind Android views to their corresponding data sources in a more efficient way. The `BindIntTest` class tests whether the `@BindInt` annotation can only be applied to fields of type `int`. If it's used on a field with a different type, the test will fail compilation.</t>
        </is>
      </c>
      <c r="I129" t="n">
        <v>0.003</v>
      </c>
      <c r="J129" t="n">
        <v>0.029</v>
      </c>
      <c r="K129" t="n">
        <v>0.07580000000000001</v>
      </c>
      <c r="L129" t="inlineStr">
        <is>
          <t>The code defines a unit test for the Butter Knife annotation processor. It uses the JUnit testing framework to verify that the `BindInt` annotation is only applied to fields of type `int`. If the annotation is applied to a field of any other type, the test will fail compilation with an error message indicating the problematic field.</t>
        </is>
      </c>
      <c r="M129" t="n">
        <v>0</v>
      </c>
      <c r="N129" t="n">
        <v>0</v>
      </c>
      <c r="O129" t="n">
        <v>0.0388</v>
      </c>
    </row>
    <row r="130">
      <c r="A130" t="inlineStr">
        <is>
          <t>butterknife</t>
        </is>
      </c>
      <c r="B130" t="inlineStr">
        <is>
          <t>butterknife-runtime/src/test/java/butterknife/ExtendDialogTest.java</t>
        </is>
      </c>
      <c r="C130">
        <f>HYPERLINK("https://github.com/JakeWharton/butterknife/blob/master/butterknife-runtime/src/test/java/butterknife/ExtendDialogTest.java")</f>
        <v/>
      </c>
      <c r="D130" t="inlineStr">
        <is>
          <t>The provided code is a unit test for a library called "butterknife". It tests the ability of the library to generate bindings for Android views in a dialog. The test creates a mock dialog with some resources (such as a button or text view) and checks that the library can correctly identify these resources and generate bindings for them. The test also checks that the generated bindings</t>
        </is>
      </c>
      <c r="E130" t="n">
        <v>0.0027</v>
      </c>
      <c r="F130" t="n">
        <v>0.0267</v>
      </c>
      <c r="G130" t="n">
        <v>0.036</v>
      </c>
      <c r="H130" t="inlineStr">
        <is>
          <t>This is a Java project that uses the Butter Knife library to generate view bindings for Android dialogs. The `ExtendDialogTest` class in this project contains a unit test method called `onlyResources()` that tests whether the generated view bindings match the expected behavior. The test creates a mock Android dialog with some bound resources (e.g., a button or text field),</t>
        </is>
      </c>
      <c r="I130" t="n">
        <v>0.0031</v>
      </c>
      <c r="J130" t="n">
        <v>0.0294</v>
      </c>
      <c r="K130" t="n">
        <v>0.07630000000000001</v>
      </c>
      <c r="L130" t="inlineStr">
        <is>
          <t>The provided code is a JUnit test for the `ExtendDialog` class, which is used to verify that the `@BindBool` annotation works correctly when applied to a subclass of `Dialog`. The test creates a mock `Dialog` object and checks that the `@BindBool` annotation correctly binds a boolean field to a resource ID.</t>
        </is>
      </c>
      <c r="M130" t="n">
        <v>0.0036</v>
      </c>
      <c r="N130" t="n">
        <v>0.0339</v>
      </c>
      <c r="O130" t="n">
        <v>0.0813</v>
      </c>
    </row>
    <row r="131">
      <c r="A131" t="inlineStr">
        <is>
          <t>butterknife</t>
        </is>
      </c>
      <c r="B131" t="inlineStr">
        <is>
          <t>butterknife-runtime/src/test/java/butterknife/ExtendActivityTest.java</t>
        </is>
      </c>
      <c r="C131">
        <f>HYPERLINK("https://github.com/JakeWharton/butterknife/blob/master/butterknife-runtime/src/test/java/butterknife/ExtendActivityTest.java")</f>
        <v/>
      </c>
      <c r="D131" t="inlineStr">
        <is>
          <t>The provided code is a JUnit test for the Butter Knife library's `ExtendActivity` class. It tests whether the library correctly generates view bindings for activities that extend Android's `Activity` class.
The test creates a dummy activity called `Test` with a single field annotated with `@BindBool`, which is used to verify that the generated binding code</t>
        </is>
      </c>
      <c r="E131" t="n">
        <v>0</v>
      </c>
      <c r="F131" t="n">
        <v>0</v>
      </c>
      <c r="G131" t="n">
        <v>0.0394</v>
      </c>
      <c r="H131" t="inlineStr">
        <is>
          <t>This is a JUnit test for a library called "butterknife". The test checks that the library's generated code correctly binds resources to views in an Android app. The test uses the "com.google.testing.compile" library to analyze the generated code and ensure it meets certain criteria. Specifically, the test ensures that the generated code includes the correct imports and annotations</t>
        </is>
      </c>
      <c r="I131" t="n">
        <v>0.0037</v>
      </c>
      <c r="J131" t="n">
        <v>0.0571</v>
      </c>
      <c r="K131" t="n">
        <v>0.1154</v>
      </c>
      <c r="L131" t="inlineStr">
        <is>
          <t>The code defines a JUnit test for the `ExtendActivity` class, which is used to verify that the `@BindBool` annotation works correctly when applied to a subclass of `Activity`. The test checks whether the generated view binder class can be compiled successfully and if it properly binds the boolean field `one` to the corresponding resource ID.</t>
        </is>
      </c>
      <c r="M131" t="n">
        <v>0.0033</v>
      </c>
      <c r="N131" t="n">
        <v>0.0317</v>
      </c>
      <c r="O131" t="n">
        <v>0.07870000000000001</v>
      </c>
    </row>
    <row r="132">
      <c r="A132" t="inlineStr">
        <is>
          <t>butterknife</t>
        </is>
      </c>
      <c r="B132" t="inlineStr">
        <is>
          <t>butterknife-runtime/src/test/java/butterknife/TestStubs.java</t>
        </is>
      </c>
      <c r="C132">
        <f>HYPERLINK("https://github.com/JakeWharton/butterknife/blob/master/butterknife-runtime/src/test/java/butterknife/TestStubs.java")</f>
        <v/>
      </c>
      <c r="D132" t="inlineStr">
        <is>
          <t>The code is a collection of stubs for Android libraries that are used in Butter Knife, a library for binding views to annotated fields and methods in Android applications. The stubs are generated using the `com.google.testing.compile` package from the Google Compile Testing Framework, which allows us to create fake implementations of classes at compile-time.
The stub</t>
        </is>
      </c>
      <c r="E132" t="n">
        <v>0.0033</v>
      </c>
      <c r="F132" t="n">
        <v>0.0294</v>
      </c>
      <c r="G132" t="n">
        <v>0.1172</v>
      </c>
      <c r="H132" t="inlineStr">
        <is>
          <t>This is a Java package named `butterknife` that provides test stubs for Android development. The package consists of several classes and interfaces that provide mock implementations of various Android APIs, such as `ContextCompat` and `ViewPager`. These stubs can be used to write unit tests for Android applications without actually running them on a device or emulator. The `TestStubs` class</t>
        </is>
      </c>
      <c r="I132" t="n">
        <v>0.0037</v>
      </c>
      <c r="J132" t="n">
        <v>0.0896</v>
      </c>
      <c r="K132" t="n">
        <v>0.1527</v>
      </c>
      <c r="L132" t="inlineStr">
        <is>
          <t>The provided code is part of a software project that involves the use of AndroidX libraries for building applications. Specifically, it appears to be related to the implementation of a custom `ViewPager` widget.
The code defines two Java files: `TestStubs.java` and `androidx.core.content.ContextCompat.java`. The former contains test stubs used during compilation</t>
        </is>
      </c>
      <c r="M132" t="n">
        <v>0.0044</v>
      </c>
      <c r="N132" t="n">
        <v>0.09520000000000001</v>
      </c>
      <c r="O132" t="n">
        <v>0.1639</v>
      </c>
    </row>
    <row r="133">
      <c r="A133" t="inlineStr">
        <is>
          <t>butterknife</t>
        </is>
      </c>
      <c r="B133" t="inlineStr">
        <is>
          <t>butterknife-runtime/src/androidTest/java/butterknife/ViewCollectionsTest.java</t>
        </is>
      </c>
      <c r="C133">
        <f>HYPERLINK("https://github.com/JakeWharton/butterknife/blob/master/butterknife-runtime/src/androidTest/java/butterknife/ViewCollectionsTest.java")</f>
        <v/>
      </c>
      <c r="D133" t="inlineStr">
        <is>
          <t>This is a Java project that appears to be related to Android development. It includes several classes and interfaces for working with views in Android applications. The main focus seems to be on creating and managing collections of views, including setting properties such as `enabled` or applying actions like disabling or changing the alpha channel of a view. The project also includes some test cases using JUnit and Truth</t>
        </is>
      </c>
      <c r="E133" t="n">
        <v>0.0031</v>
      </c>
      <c r="F133" t="n">
        <v>0.0519</v>
      </c>
      <c r="G133" t="n">
        <v>0.1064</v>
      </c>
      <c r="H133" t="inlineStr">
        <is>
          <t>This is a Java project that contains various classes and methods for implementing backend software components. The main class in this repository is `ViewCollectionsTest`, which contains several test cases for testing different aspects of Android views. The tests cover various scenarios such as enabling or disabling views, setting their alpha values to zero, and more.
The project also includes some utility classes and interfaces, such</t>
        </is>
      </c>
      <c r="I133" t="n">
        <v>0.0037</v>
      </c>
      <c r="J133" t="n">
        <v>0.0822</v>
      </c>
      <c r="K133" t="n">
        <v>0.146</v>
      </c>
      <c r="L133" t="inlineStr">
        <is>
          <t>The provided code is part of a Java package called `butterknife` and defines a test suite for a collection of views. It uses JUnit testing framework to assert various properties of these views, such as their enabled state, alpha value, and more. The test cases are defined using lambda expressions that take a view object and perform actions on it, such as setting its enabled property or</t>
        </is>
      </c>
      <c r="M133" t="n">
        <v>0.0027</v>
      </c>
      <c r="N133" t="n">
        <v>0.0267</v>
      </c>
      <c r="O133" t="n">
        <v>0.07190000000000001</v>
      </c>
    </row>
    <row r="134">
      <c r="A134" t="inlineStr">
        <is>
          <t>butterknife</t>
        </is>
      </c>
      <c r="B134" t="inlineStr">
        <is>
          <t>butterknife-runtime/src/androidTest/java/butterknife/internal/UtilsTest.java</t>
        </is>
      </c>
      <c r="C134">
        <f>HYPERLINK("https://github.com/JakeWharton/butterknife/blob/master/butterknife-runtime/src/androidTest/java/butterknife/internal/UtilsTest.java")</f>
        <v/>
      </c>
      <c r="D134" t="inlineStr">
        <is>
          <t>The `Utils` class provides utility methods for working with Android views. The `findRequiredView()` method takes in a `View`, an integer resource id, and a string message as input, and returns a `View`. It throws an `IllegalStateException` if the required view cannot be found. In edit mode, it throws a less descriptive error message.</t>
        </is>
      </c>
      <c r="E134" t="n">
        <v>0.0035</v>
      </c>
      <c r="F134" t="n">
        <v>0.0328</v>
      </c>
      <c r="G134" t="n">
        <v>0.08</v>
      </c>
      <c r="H134" t="inlineStr">
        <is>
          <t>This Java file contains unit tests for the `Utils` class in the ButterKnife library. The test cases cover various scenarios related to finding required views in Android layouts.
The first test case checks that if a required view is not found, the method throws an IllegalStateException with a helpful error message. The error message includes the name of the missing view, its</t>
        </is>
      </c>
      <c r="I134" t="n">
        <v>0.0029</v>
      </c>
      <c r="J134" t="n">
        <v>0.0286</v>
      </c>
      <c r="K134" t="n">
        <v>0.0373</v>
      </c>
      <c r="L134" t="inlineStr">
        <is>
          <t>The provided code defines a test suite for the `Utils` class, which provides utility methods for working with Android views. The tests check that the `findRequiredView()` method throws an exception when a required view cannot be found, and that the error message includes the name of the missing view and the ID of the parent layout.</t>
        </is>
      </c>
      <c r="M134" t="n">
        <v>0.0033</v>
      </c>
      <c r="N134" t="n">
        <v>0.0312</v>
      </c>
      <c r="O134" t="n">
        <v>0.0781</v>
      </c>
    </row>
    <row r="135">
      <c r="A135" t="inlineStr">
        <is>
          <t>butterknife</t>
        </is>
      </c>
      <c r="B135" t="inlineStr">
        <is>
          <t>butterknife-lint/src/main/java/butterknife/lint/InvalidR2UsageDetector.java</t>
        </is>
      </c>
      <c r="C135">
        <f>HYPERLINK("https://github.com/JakeWharton/butterknife/blob/master/butterknife-lint/src/main/java/butterknife/lint/InvalidR2UsageDetector.java")</f>
        <v/>
      </c>
      <c r="D135" t="inlineStr">
        <is>
          <t>This is a Java class that defines a custom linter for Android projects using ButterKnife library. The class implements the `Detector` interface from the Lint framework, which allows it to be executed as part of the project's build process.
The class has several methods that define its behavior, including:
* `getApplicableAnnotations`:</t>
        </is>
      </c>
      <c r="E135" t="n">
        <v>0.0043</v>
      </c>
      <c r="F135" t="n">
        <v>0.0678</v>
      </c>
      <c r="G135" t="n">
        <v>0.122</v>
      </c>
      <c r="H135" t="inlineStr">
        <is>
          <t>This is a Java package for implementing custom linter rules using the Butter Knife library. The package contains a single class called `ButterKnifeLint` that extends the `Detector` class from the Android Lint framework. It defines several methods to implement the logic for analyzing and reporting issues in Android projects.
The main method of interest is `getApp</t>
        </is>
      </c>
      <c r="I135" t="n">
        <v>0.0039</v>
      </c>
      <c r="J135" t="n">
        <v>0.09379999999999999</v>
      </c>
      <c r="K135" t="n">
        <v>0.1563</v>
      </c>
      <c r="L135" t="inlineStr">
        <is>
          <t>The provided code is part of a linter for Android apps that uses ButterKnife library for field injection. It analyzes Java files and checks if they use the correct annotations for ButterKnife fields. Specifically, it looks for instances of the `@BindView` annotation and ensures that they are used correctly, such as binding views to their corresponding IDs. Additionally, it</t>
        </is>
      </c>
      <c r="M135" t="n">
        <v>0.0031</v>
      </c>
      <c r="N135" t="n">
        <v>0.0299</v>
      </c>
      <c r="O135" t="n">
        <v>0.07630000000000001</v>
      </c>
    </row>
    <row r="136">
      <c r="A136" t="inlineStr">
        <is>
          <t>butterknife</t>
        </is>
      </c>
      <c r="B136" t="inlineStr">
        <is>
          <t>butterknife-lint/src/main/java/butterknife/lint/LintRegistry.java</t>
        </is>
      </c>
      <c r="C136">
        <f>HYPERLINK("https://github.com/JakeWharton/butterknife/blob/master/butterknife-lint/src/main/java/butterknife/lint/LintRegistry.java")</f>
        <v/>
      </c>
      <c r="D136" t="inlineStr">
        <is>
          <t>The `LintRegistry` class is a part of the Butter Knife library's code analysis tool, which helps developers identify potential issues with their Android app's code. It implements the `IssueRegistry` interface from the Android Lint framework, which provides a way to register custom lint checks for the Butter Knife library.
The `getIss</t>
        </is>
      </c>
      <c r="E136" t="n">
        <v>0.0036</v>
      </c>
      <c r="F136" t="n">
        <v>0.0328</v>
      </c>
      <c r="G136" t="n">
        <v>0.0813</v>
      </c>
      <c r="H136" t="inlineStr">
        <is>
          <t>This is a Java file that defines a class called `LintRegistry` which implements the `IssueRegistry` interface from the Android platform's lint tooling library. The class provides a list of issues (i.e., errors or warnings) that can be detected by the linter, as well as the API level required to run those checks.
The `get</t>
        </is>
      </c>
      <c r="I136" t="n">
        <v>0.004</v>
      </c>
      <c r="J136" t="n">
        <v>0.0625</v>
      </c>
      <c r="K136" t="n">
        <v>0.119</v>
      </c>
      <c r="L136" t="inlineStr">
        <is>
          <t>The provided code defines a Java class called `LintRegistry` that is used by Android Studio's linter tool to detect potential issues in Butter Knife usage within Android applications. The class implements the `IssueRegistry` interface from the `com.android.tools.lint.client.api` package and provides a list of custom lint checks for Butter Knife</t>
        </is>
      </c>
      <c r="M136" t="n">
        <v>0.0045</v>
      </c>
      <c r="N136" t="n">
        <v>0.0635</v>
      </c>
      <c r="O136" t="n">
        <v>0.124</v>
      </c>
    </row>
    <row r="137">
      <c r="A137" t="inlineStr">
        <is>
          <t>butterknife</t>
        </is>
      </c>
      <c r="B137" t="inlineStr">
        <is>
          <t>butterknife-lint/src/test/java/butterknife/lint/LintRegistryTest.java</t>
        </is>
      </c>
      <c r="C137">
        <f>HYPERLINK("https://github.com/JakeWharton/butterknife/blob/master/butterknife-lint/src/test/java/butterknife/lint/LintRegistryTest.java")</f>
        <v/>
      </c>
      <c r="D137" t="inlineStr">
        <is>
          <t>The code in this repository appears to be part of a Java project that implements a tool for analyzing Android applications for potential security vulnerabilities. It uses ButterKnife library for code generation and analysis.
The `LintRegistry` class is responsible for registering all the lint checks (i.e., rules) that will be used by the tool. In this case</t>
        </is>
      </c>
      <c r="E137" t="n">
        <v>0.0038</v>
      </c>
      <c r="F137" t="n">
        <v>0.09089999999999999</v>
      </c>
      <c r="G137" t="n">
        <v>0.155</v>
      </c>
      <c r="H137" t="inlineStr">
        <is>
          <t>This is a JUnit test for a class called "LintRegistry" that checks if the registry has any issues. The test uses the Google Truth library to make assertions about the contents of the registry's issue list. The test is marked as `@Test` and is named `issues`. It creates a new instance of the `LintRegistry` class and calls its `get</t>
        </is>
      </c>
      <c r="I137" t="n">
        <v>0.0037</v>
      </c>
      <c r="J137" t="n">
        <v>0.0588</v>
      </c>
      <c r="K137" t="n">
        <v>0.1145</v>
      </c>
      <c r="L137" t="inlineStr">
        <is>
          <t>The provided code defines a JUnit test case for the `LintRegistry` class, which is responsible for registering lint issues with Butter Knife. The test verifies that the registry contains the expected issue, specifically `InvalidR2UsageDetector.ISSUE`. The code uses Google Truth's `assertThat()` method to perform the assertion.</t>
        </is>
      </c>
      <c r="M137" t="n">
        <v>0</v>
      </c>
      <c r="N137" t="n">
        <v>0</v>
      </c>
      <c r="O137" t="n">
        <v>0.0427</v>
      </c>
    </row>
    <row r="138">
      <c r="A138" t="inlineStr">
        <is>
          <t>butterknife</t>
        </is>
      </c>
      <c r="B138" t="inlineStr">
        <is>
          <t>butterknife-lint/src/test/java/butterknife/lint/InvalidR2UsageDetectorTest.java</t>
        </is>
      </c>
      <c r="C138">
        <f>HYPERLINK("https://github.com/JakeWharton/butterknife/blob/master/butterknife-lint/src/test/java/butterknife/lint/InvalidR2UsageDetectorTest.java")</f>
        <v/>
      </c>
      <c r="D138" t="inlineStr">
        <is>
          <t>The provided code is a unit test for a linter that checks if annotations used in Android projects follow certain naming conventions. Specifically, it ensures that any annotation with the name `Bind` has a corresponding field or method named `value`.
The test file `BIND_TEST` defines an annotation called `BindTest`, which is annotated with `@Retention(Retention</t>
        </is>
      </c>
      <c r="E138" t="n">
        <v>0</v>
      </c>
      <c r="F138" t="n">
        <v>0</v>
      </c>
      <c r="G138" t="n">
        <v>0.0397</v>
      </c>
      <c r="H138" t="inlineStr">
        <is>
          <t>The code is a Java project that contains a set of classes and interfaces related to a backend system. It includes a file named `InvalidR2UsageDetectorTest` which appears to be a unit test for a linter tool called Butter Knife Lint. The test file defines a number of constants representing different types of annotations used in the system, including `@BindTest`, which is</t>
        </is>
      </c>
      <c r="I138" t="n">
        <v>0.003</v>
      </c>
      <c r="J138" t="n">
        <v>0.029</v>
      </c>
      <c r="K138" t="n">
        <v>0.0752</v>
      </c>
      <c r="L138" t="inlineStr">
        <is>
          <t>The code defines a test for the `InvalidR2UsageDetector` lint check in Android development. It includes two files: `BindTest` and `R2`. The `BindTest` annotation is used to indicate that a field or method should be bound using ButterKnife, while the `R2` class provides a set of constants for use in the application.</t>
        </is>
      </c>
      <c r="M138" t="n">
        <v>0.0036</v>
      </c>
      <c r="N138" t="n">
        <v>0.0339</v>
      </c>
      <c r="O138" t="n">
        <v>0.0813</v>
      </c>
    </row>
    <row r="139">
      <c r="A139" t="inlineStr">
        <is>
          <t>butterknife</t>
        </is>
      </c>
      <c r="B139" t="inlineStr">
        <is>
          <t>butterknife/src/main/java/butterknife/ButterKnife.java</t>
        </is>
      </c>
      <c r="C139">
        <f>HYPERLINK("https://github.com/JakeWharton/butterknife/blob/master/butterknife/src/main/java/butterknife/ButterKnife.java")</f>
        <v/>
      </c>
      <c r="D139" t="inlineStr">
        <is>
          <t>The provided code defines a Java library called "Butter Knife" that simplifies the process of working with Android views in an app. It provides a way to bind fields and methods to specific views in the layout XML file using annotations. This allows developers to access and manipulate views more easily without having to use findViewById() or other similar methods.
The library includes several classes and interfaces,</t>
        </is>
      </c>
      <c r="E139" t="n">
        <v>0.0032</v>
      </c>
      <c r="F139" t="n">
        <v>0.0533</v>
      </c>
      <c r="G139" t="n">
        <v>0.1079</v>
      </c>
      <c r="H139" t="inlineStr">
        <is>
          <t>This Java library provides a way to bind fields and methods in Android activities with their corresponding views using annotations. The `ButterKnife` class provides several static methods that can be used to find and bind views, such as `@BindView`, `@OnClick`, and `@OnLongClick`. These methods allow developers to simplify the process of finding and interacting with views in their Activities</t>
        </is>
      </c>
      <c r="I139" t="n">
        <v>0.0037</v>
      </c>
      <c r="J139" t="n">
        <v>0.0597</v>
      </c>
      <c r="K139" t="n">
        <v>0.1145</v>
      </c>
      <c r="L139" t="inlineStr">
        <is>
          <t>The code defines a Java package named "butterknife" that provides field and method binding for Android views using annotations. It allows developers to simplify view finding and listener attachment by binding views with specific identifiers. The package includes several classes and interfaces, including `ButterKnife`, which is the primary class responsible for binding views, and `OnClick`, which is used to bind</t>
        </is>
      </c>
      <c r="M139" t="n">
        <v>0.003</v>
      </c>
      <c r="N139" t="n">
        <v>0.0294</v>
      </c>
      <c r="O139" t="n">
        <v>0.07580000000000001</v>
      </c>
    </row>
    <row r="140">
      <c r="A140" t="inlineStr">
        <is>
          <t>butterknife</t>
        </is>
      </c>
      <c r="B140" t="inlineStr">
        <is>
          <t>butterknife/src/main/java/butterknife/package-info.java</t>
        </is>
      </c>
      <c r="C140">
        <f>HYPERLINK("https://github.com/JakeWharton/butterknife/blob/master/butterknife/src/main/java/butterknife/package-info.java")</f>
        <v/>
      </c>
      <c r="D140" t="inlineStr">
        <is>
          <t>This is a Java library called Butter Knife that provides a simple way to bind data from the Android framework to your application's UI components. It does this through the use of annotations, allowing developers to eliminate boilerplate code and make their applications more efficient and easier to maintain. The library includes features such as field and method binding, listener generation, and resource lookup, among others.</t>
        </is>
      </c>
      <c r="E140" t="n">
        <v>0.0033</v>
      </c>
      <c r="F140" t="n">
        <v>0.0533</v>
      </c>
      <c r="G140" t="n">
        <v>0.1087</v>
      </c>
      <c r="H140" t="inlineStr">
        <is>
          <t>This is a Java library called Butter Knife that provides a way to bind Android view objects to their corresponding field variables in a more efficient manner than traditional approaches. It does this through the use of annotation processing, allowing developers to eliminate unnecessary findViewById() calls and other boilerplate code while still maintaining readability and simplicity in their code. The library also supports grouping multiple views into lists or</t>
        </is>
      </c>
      <c r="I140" t="n">
        <v>0.0031</v>
      </c>
      <c r="J140" t="n">
        <v>0.0519</v>
      </c>
      <c r="K140" t="n">
        <v>0.1064</v>
      </c>
      <c r="L140" t="inlineStr">
        <is>
          <t>The code is related to field and method binding for Android views, specifically eliminating findViewById calls and reducing boilerplate code through annotation processing. It provides support for grouping multiple views into lists or arrays, as well as eliminating anonymous inner classes for listeners and resource lookups.</t>
        </is>
      </c>
      <c r="M140" t="n">
        <v>0.004</v>
      </c>
      <c r="N140" t="n">
        <v>0.037</v>
      </c>
      <c r="O140" t="n">
        <v>0.0424</v>
      </c>
    </row>
    <row r="141">
      <c r="A141" t="inlineStr">
        <is>
          <t>butterknife</t>
        </is>
      </c>
      <c r="B141" t="inlineStr">
        <is>
          <t>butterknife/src/androidTest/java/butterknife/ButterKnifeTest.java</t>
        </is>
      </c>
      <c r="C141">
        <f>HYPERLINK("https://github.com/JakeWharton/butterknife/blob/master/butterknife/src/androidTest/java/butterknife/ButterKnifeTest.java")</f>
        <v/>
      </c>
      <c r="D141" t="inlineStr">
        <is>
          <t>This is a Java project that uses Butter Knife to perform data binding for Android views. The main class `ButterKnife` provides methods for binding data to views and unbinding them when they are no longer needed. The `resetViewsCache()` method clears the cache of bound views before and after each test. The `zeroBindingsBindDoesNotThrowExceptionAndC</t>
        </is>
      </c>
      <c r="E141" t="n">
        <v>0.0042</v>
      </c>
      <c r="F141" t="n">
        <v>0.0667</v>
      </c>
      <c r="G141" t="n">
        <v>0.121</v>
      </c>
      <c r="H141" t="inlineStr">
        <is>
          <t>This is a Java package named "butterknife" that provides a way to automatically inject fields and methods into Android views. The package includes a set of annotations for declaring which fields should be injected, as well as a method called `bind` that takes a view and its corresponding activity or fragment as arguments, and performs the injection. Additionally, there is a `resetViewsCache`</t>
        </is>
      </c>
      <c r="I141" t="n">
        <v>0.0035</v>
      </c>
      <c r="J141" t="n">
        <v>0.0571</v>
      </c>
      <c r="K141" t="n">
        <v>0.0746</v>
      </c>
      <c r="L141" t="inlineStr">
        <is>
          <t>The provided Java code is part of a library called "butterknife" that simplifies the process of binding Android views to their corresponding fields. It provides a simple API for automatically injecting values from layout XML files into objects at runtime. The library also includes a mechanism for caching previously bound views to avoid unnecessary re-binding. The code is well-documented, with comments explaining the</t>
        </is>
      </c>
      <c r="M141" t="n">
        <v>0</v>
      </c>
      <c r="N141" t="n">
        <v>0</v>
      </c>
      <c r="O141" t="n">
        <v>0.037</v>
      </c>
    </row>
    <row r="142">
      <c r="A142" t="inlineStr">
        <is>
          <t>butterknife</t>
        </is>
      </c>
      <c r="B142" t="inlineStr">
        <is>
          <t>butterknife-compiler/src/main/java/butterknife/compiler/Parameter.java</t>
        </is>
      </c>
      <c r="C142">
        <f>HYPERLINK("https://github.com/JakeWharton/butterknife/blob/master/butterknife-compiler/src/main/java/butterknife/compiler/Parameter.java")</f>
        <v/>
      </c>
      <c r="D142" t="inlineStr">
        <is>
          <t>The provided code defines a `Parameter` class that represents a parameter type and its position in a listener method. It has three fields:
* `listenerPosition`: an integer representing the position of the parameter in the listener method's signature.
* `type`: a `TypeName` object representing the type of the parameter.
* `requiresCast`: a function that</t>
        </is>
      </c>
      <c r="E142" t="n">
        <v>0.0034</v>
      </c>
      <c r="F142" t="n">
        <v>0.0333</v>
      </c>
      <c r="G142" t="n">
        <v>0.0794</v>
      </c>
      <c r="H142" t="inlineStr">
        <is>
          <t>This is a Java library for generating code that binds UI widgets to listeners using the Butter Knife annotation processor. The library provides a `Parameter` class that represents a parameter type and its position in the listener method. It has a constructor that takes the listener position and the type name as arguments, and it also has methods for getting the listener position and the type name. Additionally</t>
        </is>
      </c>
      <c r="I142" t="n">
        <v>0.0032</v>
      </c>
      <c r="J142" t="n">
        <v>0.0526</v>
      </c>
      <c r="K142" t="n">
        <v>0.1071</v>
      </c>
      <c r="L142" t="inlineStr">
        <is>
          <t>The provided code defines a `Parameter` class that represents a parameter type and its position in a listener method. It has two fields: `listenerPosition`, which is the position of the parameter in the listener method, and `type`, which is the type of the parameter. The class also has one constructor and three methods: `getListenerPosition()`, `getType()`, and `requires</t>
        </is>
      </c>
      <c r="M142" t="n">
        <v>0.0032</v>
      </c>
      <c r="N142" t="n">
        <v>0.0308</v>
      </c>
      <c r="O142" t="n">
        <v>0.0388</v>
      </c>
    </row>
    <row r="143">
      <c r="A143" t="inlineStr">
        <is>
          <t>butterknife</t>
        </is>
      </c>
      <c r="B143" t="inlineStr">
        <is>
          <t>butterknife-compiler/src/main/java/butterknife/compiler/FieldResourceBinding.java</t>
        </is>
      </c>
      <c r="C143">
        <f>HYPERLINK("https://github.com/JakeWharton/butterknife/blob/master/butterknife-compiler/src/main/java/butterknife/compiler/FieldResourceBinding.java")</f>
        <v/>
      </c>
      <c r="D143" t="inlineStr">
        <is>
          <t>The `FieldResourceBinding` class is used to bind resources to fields in Android applications. It provides methods for retrieving different types of resources from the application's context, such as bitmaps, booleans, colors, dimensions, floats, integers, and color state lists.
The `Type` enum defines the different types of resource that can be bound, along with the</t>
        </is>
      </c>
      <c r="E143" t="n">
        <v>0.0034</v>
      </c>
      <c r="F143" t="n">
        <v>0.0317</v>
      </c>
      <c r="G143" t="n">
        <v>0.0794</v>
      </c>
      <c r="H143" t="inlineStr">
        <is>
          <t>This is a Java package called `butterknife.compiler` that provides a set of classes for generating Android application code using Butter Knife annotations. The package includes several classes, including `FieldResourceBinding`, which represents a binding between a field in a generated class and a resource value from the Android resources directory.
The `FieldResourceBinding` class has a number of methods</t>
        </is>
      </c>
      <c r="I143" t="n">
        <v>0.0038</v>
      </c>
      <c r="J143" t="n">
        <v>0.0606</v>
      </c>
      <c r="K143" t="n">
        <v>0.1163</v>
      </c>
      <c r="L143" t="inlineStr">
        <is>
          <t>The provided code is part of a Java library for Android development, specifically the ButterKnife annotation processor. It defines a `FieldResourceBinding` class that represents a binding between a field in a generated view holder class and a resource (e.g., a drawable, color, etc.) defined in XML layout files.
The class has several static fields representing different types of</t>
        </is>
      </c>
      <c r="M143" t="n">
        <v>0.0031</v>
      </c>
      <c r="N143" t="n">
        <v>0.0299</v>
      </c>
      <c r="O143" t="n">
        <v>0.0769</v>
      </c>
    </row>
    <row r="144">
      <c r="A144" t="inlineStr">
        <is>
          <t>butterknife</t>
        </is>
      </c>
      <c r="B144" t="inlineStr">
        <is>
          <t>butterknife-compiler/src/main/java/butterknife/compiler/ViewBinding.java</t>
        </is>
      </c>
      <c r="C144">
        <f>HYPERLINK("https://github.com/JakeWharton/butterknife/blob/master/butterknife-compiler/src/main/java/butterknife/compiler/ViewBinding.java")</f>
        <v/>
      </c>
      <c r="D144" t="inlineStr">
        <is>
          <t>The `ViewBinding` class represents a binding between a view (represented by its ID) and one or more methods that should be called when certain events occur on the view. It also optionally includes a field binding for a specific field in the view's layout file.
The `ViewBinding` constructor takes three parameters:
* An `Id` object representing the</t>
        </is>
      </c>
      <c r="E144" t="n">
        <v>0.0032</v>
      </c>
      <c r="F144" t="n">
        <v>0.0308</v>
      </c>
      <c r="G144" t="n">
        <v>0.0388</v>
      </c>
      <c r="H144" t="inlineStr">
        <is>
          <t>This Java file defines a `ViewBinding` class that represents a binding between a view (either a widget or a layout) and its associated listeners. The class has several fields and methods to manage these bindings, including an ID for the view, a map of listener classes to maps of listener methods to sets of method-view bindings, and a field binding object. The constructor</t>
        </is>
      </c>
      <c r="I144" t="n">
        <v>0.0034</v>
      </c>
      <c r="J144" t="n">
        <v>0.0556</v>
      </c>
      <c r="K144" t="n">
        <v>0.1111</v>
      </c>
      <c r="L144" t="inlineStr">
        <is>
          <t>The provided code is part of a Java library for binding Android views to ButterKnife annotations. It defines a `ViewBinding` class that represents a binding between a view and one or more ButterKnife listeners. The class has several fields and methods, including:
* `id`: A unique identifier for the view being bound.
* `methodBindings</t>
        </is>
      </c>
      <c r="M144" t="n">
        <v>0.0034</v>
      </c>
      <c r="N144" t="n">
        <v>0.0333</v>
      </c>
      <c r="O144" t="n">
        <v>0.0794</v>
      </c>
    </row>
    <row r="145">
      <c r="A145" t="inlineStr">
        <is>
          <t>butterknife</t>
        </is>
      </c>
      <c r="B145" t="inlineStr">
        <is>
          <t>butterknife-compiler/src/main/java/butterknife/compiler/ButterKnifeProcessor.java</t>
        </is>
      </c>
      <c r="C145">
        <f>HYPERLINK("https://github.com/JakeWharton/butterknife/blob/master/butterknife-compiler/src/main/java/butterknife/compiler/ButterKnifeProcessor.java")</f>
        <v/>
      </c>
      <c r="D145" t="inlineStr">
        <is>
          <t>The provided code is part of a Java library for Butter Knife, which is a popular Android annotation processor that simplifies the process of binding UI elements to fields in an activity or fragment. The library provides a set of annotations that can be used to bind various types of data, such as strings, integers, colors, dimensions, drawables, and fonts, as well as listeners for</t>
        </is>
      </c>
      <c r="E145" t="n">
        <v>0.0028</v>
      </c>
      <c r="F145" t="n">
        <v>0.0274</v>
      </c>
      <c r="G145" t="n">
        <v>0.073</v>
      </c>
      <c r="H145" t="inlineStr">
        <is>
          <t>This is a Java library for Android development that provides a set of annotations for binding UI elements to fields in a class. The library includes several types of bindings, such as `@BindView`, `@BindString`, and `@BindColor`, which can be used to automatically inject values from XML layout files into classes at runtime. It also includes support for event listeners, such as `@OnClick</t>
        </is>
      </c>
      <c r="I145" t="n">
        <v>0.0035</v>
      </c>
      <c r="J145" t="n">
        <v>0.0571</v>
      </c>
      <c r="K145" t="n">
        <v>0.1119</v>
      </c>
      <c r="L145" t="inlineStr">
        <is>
          <t>The provided code is part of a Java library for Android development called Butter Knife. It appears to be responsible for generating code that binds UI elements (such as buttons, text views, etc.) to their corresponding fields in an activity's class. The generated code uses annotations such as `@BindView` and `@OnClick` to specify which element should be bound to which field,</t>
        </is>
      </c>
      <c r="M145" t="n">
        <v>0.003</v>
      </c>
      <c r="N145" t="n">
        <v>0.0286</v>
      </c>
      <c r="O145" t="n">
        <v>0.0752</v>
      </c>
    </row>
    <row r="146">
      <c r="A146" t="inlineStr">
        <is>
          <t>butterknife</t>
        </is>
      </c>
      <c r="B146" t="inlineStr">
        <is>
          <t>butterknife-compiler/src/main/java/butterknife/compiler/Id.java</t>
        </is>
      </c>
      <c r="C146">
        <f>HYPERLINK("https://github.com/JakeWharton/butterknife/blob/master/butterknife-compiler/src/main/java/butterknife/compiler/Id.java")</f>
        <v/>
      </c>
      <c r="D146" t="inlineStr">
        <is>
          <t>The `Id` class represents an identifier for an Android resource. It has three fields:
* `value`: the integer value of the resource ID
* `code`: a `CodeBlock` object that contains the code to access the resource in Java code
* `qualified`: a boolean flag indicating whether the resource is fully qualified or not
The constructor takes two arguments:</t>
        </is>
      </c>
      <c r="E146" t="n">
        <v>0</v>
      </c>
      <c r="F146" t="n">
        <v>0</v>
      </c>
      <c r="G146" t="n">
        <v>0</v>
      </c>
      <c r="H146" t="inlineStr">
        <is>
          <t>This is a Java library for working with Android resources. The `Id` class represents an ID of an Android resource, which can be used to reference a specific resource in the Android framework or in a custom app. It has three fields:
* `value`: the integer value of the ID
* `code`: a string representation of the ID that can be used in Java code</t>
        </is>
      </c>
      <c r="I146" t="n">
        <v>0.0028</v>
      </c>
      <c r="J146" t="n">
        <v>0.0282</v>
      </c>
      <c r="K146" t="n">
        <v>0.073</v>
      </c>
      <c r="L146" t="inlineStr">
        <is>
          <t>The provided code defines a Java class called `Id` that represents an Android resource ID. It has three fields: `value`, which is an integer representing the resource ID, `code`, which is a `CodeBlock` object containing the fully qualified name of the resource, and `qualified`, which is a boolean indicating whether the resource is fully qualified or not.
The constructor takes</t>
        </is>
      </c>
      <c r="M146" t="n">
        <v>0.003</v>
      </c>
      <c r="N146" t="n">
        <v>0.0294</v>
      </c>
      <c r="O146" t="n">
        <v>0.0379</v>
      </c>
    </row>
    <row r="147">
      <c r="A147" t="inlineStr">
        <is>
          <t>butterknife</t>
        </is>
      </c>
      <c r="B147" t="inlineStr">
        <is>
          <t>butterknife-compiler/src/main/java/butterknife/compiler/FieldCollectionViewBinding.java</t>
        </is>
      </c>
      <c r="C147">
        <f>HYPERLINK("https://github.com/JakeWharton/butterknife/blob/master/butterknife-compiler/src/main/java/butterknife/compiler/FieldCollectionViewBinding.java")</f>
        <v/>
      </c>
      <c r="D147" t="inlineStr">
        <is>
          <t>The `FieldCollectionViewBinding` class is used to generate code for binding fields in Android views. It has several instance variables, including `name`, `type`, `kind`, `required`, and `ids`. The `render` method takes a single argument, `debuggable`, and returns a `CodeBlock` object that represents the generated code.
The `Kind` enum defines two</t>
        </is>
      </c>
      <c r="E147" t="n">
        <v>0.0037</v>
      </c>
      <c r="F147" t="n">
        <v>0.0351</v>
      </c>
      <c r="G147" t="n">
        <v>0.08260000000000001</v>
      </c>
      <c r="H147" t="inlineStr">
        <is>
          <t>This is a Java package named "butterknife.compiler" that contains a single file named "FieldCollectionViewBinding". The file defines a class with several fields and methods, including a constructor, a method called "render", and an enumeration called "Kind".
The class appears to be used for generating code related to data binding in Android applications. It takes in several parameters when</t>
        </is>
      </c>
      <c r="I147" t="n">
        <v>0.0037</v>
      </c>
      <c r="J147" t="n">
        <v>0.0597</v>
      </c>
      <c r="K147" t="n">
        <v>0.1154</v>
      </c>
      <c r="L147" t="inlineStr">
        <is>
          <t>The provided code is part of a Java library for Android development called Butter Knife. It defines a `FieldCollectionViewBinding` class that represents a collection view field binding, which is used by the library's annotation processor to generate code for injecting views into activities and fragments.
The class has several instance variables, including `name`, `type`, `kind`, `ids`,</t>
        </is>
      </c>
      <c r="M147" t="n">
        <v>0.0033</v>
      </c>
      <c r="N147" t="n">
        <v>0.0308</v>
      </c>
      <c r="O147" t="n">
        <v>0.0781</v>
      </c>
    </row>
    <row r="148">
      <c r="A148" t="inlineStr">
        <is>
          <t>butterknife</t>
        </is>
      </c>
      <c r="B148" t="inlineStr">
        <is>
          <t>butterknife-compiler/src/main/java/butterknife/compiler/BindingSet.java</t>
        </is>
      </c>
      <c r="C148">
        <f>HYPERLINK("https://github.com/JakeWharton/butterknife/blob/master/butterknife-compiler/src/main/java/butterknife/compiler/BindingSet.java")</f>
        <v/>
      </c>
      <c r="D148" t="inlineStr">
        <is>
          <t>The provided code is part of a Java library for ButterKnife, which is a popular annotation processor for Android development. It appears to be responsible for generating code that implements the `butterknife` annotations used in Android applications.
The code defines several classes and methods related to the generation of code for the `butterknife` annotations. These include:</t>
        </is>
      </c>
      <c r="E148" t="n">
        <v>0.0039</v>
      </c>
      <c r="F148" t="n">
        <v>0.0625</v>
      </c>
      <c r="G148" t="n">
        <v>0.1172</v>
      </c>
      <c r="H148" t="inlineStr">
        <is>
          <t>This is a Java library for generating boilerplate code for Android applications using ButterKnife annotation processing. The library provides a set of methods that can be used to generate code for binding views in Activities and Fragments, as well as other common use cases such as injecting dependencies into classes. The generated code is based on annotations added to the source code, which specify the</t>
        </is>
      </c>
      <c r="I148" t="n">
        <v>0.0033</v>
      </c>
      <c r="J148" t="n">
        <v>0.0548</v>
      </c>
      <c r="K148" t="n">
        <v>0.1095</v>
      </c>
      <c r="L148" t="inlineStr">
        <is>
          <t>The provided code is part of a Java library for generating ButterKnife annotations. It appears to be responsible for generating the necessary boilerplate code for binding views to fields using the ButterKnife annotation processor. The code imports various classes from other libraries, including ButterKnife itself, as well as common Java collections and reflection APIs.
The main method of</t>
        </is>
      </c>
      <c r="M148" t="n">
        <v>0.0031</v>
      </c>
      <c r="N148" t="n">
        <v>0.0303</v>
      </c>
      <c r="O148" t="n">
        <v>0.0769</v>
      </c>
    </row>
    <row r="149">
      <c r="A149" t="inlineStr">
        <is>
          <t>butterknife</t>
        </is>
      </c>
      <c r="B149" t="inlineStr">
        <is>
          <t>butterknife-compiler/src/main/java/butterknife/compiler/FieldAnimationBinding.java</t>
        </is>
      </c>
      <c r="C149">
        <f>HYPERLINK("https://github.com/JakeWharton/butterknife/blob/master/butterknife-compiler/src/main/java/butterknife/compiler/FieldAnimationBinding.java")</f>
        <v/>
      </c>
      <c r="D149" t="inlineStr">
        <is>
          <t>The `FieldAnimationBinding` class is part of the ButterKnife library for Android development. It represents a binding between a field in a Java object and an animation resource defined in XML. When the field is accessed or modified, the corresponding animation will be loaded from the resources using the `loadAnimation()` method.
The constructor takes two parameters: an `Id` object representing</t>
        </is>
      </c>
      <c r="E149" t="n">
        <v>0.0031</v>
      </c>
      <c r="F149" t="n">
        <v>0.0299</v>
      </c>
      <c r="G149" t="n">
        <v>0.07630000000000001</v>
      </c>
      <c r="H149" t="inlineStr">
        <is>
          <t>This is a Java package called "butterknife.compiler" that provides a resource binding for animations in Android applications. The package consists of a single class named "FieldAnimationBinding" which implements the "ResourceBinding" interface.
The "FieldAnimationBinding" class has three fields: "id", "name", and "requiresResources". The "id" field</t>
        </is>
      </c>
      <c r="I149" t="n">
        <v>0.0055</v>
      </c>
      <c r="J149" t="n">
        <v>0.1132</v>
      </c>
      <c r="K149" t="n">
        <v>0.1293</v>
      </c>
      <c r="L149" t="inlineStr">
        <is>
          <t>The provided code defines a `FieldAnimationBinding` class that is used by Butter Knife's annotation processor to bind animations to fields in Android views. The class takes two parameters in its constructor - an ID object representing the animation resource and a string representing the field name. It also has three methods: `id()`, which returns the ID object, `requiresResources()`, which</t>
        </is>
      </c>
      <c r="M149" t="n">
        <v>0.0031</v>
      </c>
      <c r="N149" t="n">
        <v>0.0299</v>
      </c>
      <c r="O149" t="n">
        <v>0.07630000000000001</v>
      </c>
    </row>
    <row r="150">
      <c r="A150" t="inlineStr">
        <is>
          <t>butterknife</t>
        </is>
      </c>
      <c r="B150" t="inlineStr">
        <is>
          <t>butterknife-compiler/src/main/java/butterknife/compiler/MethodViewBinding.java</t>
        </is>
      </c>
      <c r="C150">
        <f>HYPERLINK("https://github.com/JakeWharton/butterknife/blob/master/butterknife-compiler/src/main/java/butterknife/compiler/MethodViewBinding.java")</f>
        <v/>
      </c>
      <c r="D150" t="inlineStr">
        <is>
          <t>This code defines a `MethodViewBinding` class that represents a method in a view binding system. It has several fields, including:
* `name`: The name of the method.
* `parameters`: A list of parameter objects for the method.
* `required`: Whether or not the method is required to be called before the view can be bound.
* `has</t>
        </is>
      </c>
      <c r="E150" t="n">
        <v>0.0032</v>
      </c>
      <c r="F150" t="n">
        <v>0.0328</v>
      </c>
      <c r="G150" t="n">
        <v>0.0388</v>
      </c>
      <c r="H150" t="inlineStr">
        <is>
          <t>The provided code defines a Java class called `MethodViewBinding` that represents a method view binding in a web application. It has several fields and methods to store information about the method, such as its name, parameters, whether it is required or optional, and whether it returns a value. The class also provides accessor methods for these properties. Overall, the purpose of this class seems to</t>
        </is>
      </c>
      <c r="I150" t="n">
        <v>0.0028</v>
      </c>
      <c r="J150" t="n">
        <v>0.0274</v>
      </c>
      <c r="K150" t="n">
        <v>0.073</v>
      </c>
      <c r="L150" t="inlineStr">
        <is>
          <t>The provided code defines a `MethodViewBinding` class that represents a method view binding for Butter Knife library. It takes four arguments at instantiation - the method's name, list of parameters, whether the method is required, and whether it returns a value. The class provides methods for accessing the method's name, parameters, description (which is set to "method '${</t>
        </is>
      </c>
      <c r="M150" t="n">
        <v>0.0031</v>
      </c>
      <c r="N150" t="n">
        <v>0.0303</v>
      </c>
      <c r="O150" t="n">
        <v>0.0385</v>
      </c>
    </row>
    <row r="151">
      <c r="A151" t="inlineStr">
        <is>
          <t>butterknife</t>
        </is>
      </c>
      <c r="B151" t="inlineStr">
        <is>
          <t>butterknife-compiler/src/main/java/butterknife/compiler/FieldViewBinding.java</t>
        </is>
      </c>
      <c r="C151">
        <f>HYPERLINK("https://github.com/JakeWharton/butterknife/blob/master/butterknife-compiler/src/main/java/butterknife/compiler/FieldViewBinding.java")</f>
        <v/>
      </c>
      <c r="D151" t="inlineStr">
        <is>
          <t>The provided code defines a `FieldViewBinding` class that represents a binding between a field in a Java class and a view in an Android layout file. It has three main properties:
* `name`: the name of the field
* `type`: the type of the field
* `required`: whether the field is required or optional
The constructor takes these parameters as input</t>
        </is>
      </c>
      <c r="E151" t="n">
        <v>0.003</v>
      </c>
      <c r="F151" t="n">
        <v>0.0303</v>
      </c>
      <c r="G151" t="n">
        <v>0.0376</v>
      </c>
      <c r="H151" t="inlineStr">
        <is>
          <t>This code defines a Java class called `FieldViewBinding` that represents a binding between a field in a view and its corresponding view element. The class has several instance variables, including `name`, `type`, and `required`, which represent the name of the field, its type, and whether it is required or optional, respectively. It also has several methods for accessing these properties, such as</t>
        </is>
      </c>
      <c r="I151" t="n">
        <v>0.0035</v>
      </c>
      <c r="J151" t="n">
        <v>0.0571</v>
      </c>
      <c r="K151" t="n">
        <v>0.0746</v>
      </c>
      <c r="L151" t="inlineStr">
        <is>
          <t>The provided code defines a `FieldViewBinding` class that represents a field binding for Butter Knife annotation processing. It has three instance fields: `name`, `type`, and `required`. The constructor takes these values as arguments, and the `getName()`, `getType()`, `getRawType()`, and `isRequired()` methods provide access to them. Additionally, the class implements the</t>
        </is>
      </c>
      <c r="M151" t="n">
        <v>0.0044</v>
      </c>
      <c r="N151" t="n">
        <v>0.0345</v>
      </c>
      <c r="O151" t="n">
        <v>0.082</v>
      </c>
    </row>
    <row r="152">
      <c r="A152" t="inlineStr">
        <is>
          <t>butterknife</t>
        </is>
      </c>
      <c r="B152" t="inlineStr">
        <is>
          <t>butterknife-compiler/src/main/java/butterknife/compiler/FieldTypefaceBinding.java</t>
        </is>
      </c>
      <c r="C152">
        <f>HYPERLINK("https://github.com/JakeWharton/butterknife/blob/master/butterknife-compiler/src/main/java/butterknife/compiler/FieldTypefaceBinding.java")</f>
        <v/>
      </c>
      <c r="D152" t="inlineStr">
        <is>
          <t>The code is part of a library called ButterKnife, which provides a way to bind Android views to fields in a Java object. It defines a `FieldTypefaceBinding` class that represents a binding between a field in a Java object and a typeface resource defined in XML. The class has three properties: `id`, `name`, and `style`. The `id`</t>
        </is>
      </c>
      <c r="E152" t="n">
        <v>0.0032</v>
      </c>
      <c r="F152" t="n">
        <v>0.0308</v>
      </c>
      <c r="G152" t="n">
        <v>0.0775</v>
      </c>
      <c r="H152" t="inlineStr">
        <is>
          <t>This is a Java library that provides a way to bind typefaces to views using ButterKnife annotations. The library uses Android's ResourcesCompat class to load typefaces from XML resources, and it supports both normal and bold styles. It also includes a custom annotation called `BindFont` which can be used to specify the font family and style for a view. The library also includes</t>
        </is>
      </c>
      <c r="I152" t="n">
        <v>0.0034</v>
      </c>
      <c r="J152" t="n">
        <v>0.0556</v>
      </c>
      <c r="K152" t="n">
        <v>0.1111</v>
      </c>
      <c r="L152" t="inlineStr">
        <is>
          <t>The `FieldTypefaceBinding` class is part of the ButterKnife library for Android development. It provides a way to bind typefaces to views using annotations. The class has three fields: `id`, `name`, and `style`. The `id` field represents the ID of the view that will be bound to the typeface, while the `name` field represents the</t>
        </is>
      </c>
      <c r="M152" t="n">
        <v>0.0034</v>
      </c>
      <c r="N152" t="n">
        <v>0.0323</v>
      </c>
      <c r="O152" t="n">
        <v>0.0794</v>
      </c>
    </row>
    <row r="153">
      <c r="A153" t="inlineStr">
        <is>
          <t>butterknife</t>
        </is>
      </c>
      <c r="B153" t="inlineStr">
        <is>
          <t>butterknife-compiler/src/main/java/butterknife/compiler/FieldDrawableBinding.java</t>
        </is>
      </c>
      <c r="C153">
        <f>HYPERLINK("https://github.com/JakeWharton/butterknife/blob/master/butterknife-compiler/src/main/java/butterknife/compiler/FieldDrawableBinding.java")</f>
        <v/>
      </c>
      <c r="D153" t="inlineStr">
        <is>
          <t>The `FieldDrawableBinding` class is used to bind drawables in ButterKnife library. It has three fields: `id`, `name`, and `tintAttributeId`. The constructor takes three parameters: `id`, `name`, and `tintAttributeId`. The `requiresResources()` method returns true if the resource ID is not equal to -1,</t>
        </is>
      </c>
      <c r="E153" t="n">
        <v>0.0044</v>
      </c>
      <c r="F153" t="n">
        <v>0.04</v>
      </c>
      <c r="G153" t="n">
        <v>0.0877</v>
      </c>
      <c r="H153" t="inlineStr">
        <is>
          <t>This is a Java code snippet that defines a `FieldDrawableBinding` class for ButterKnife library. The class has four fields: `id`, `name`, `tintAttributeId`, and `requiresResources`. It also has a constructor that takes three parameters and an `id()` method that returns the value of the `id` field. Additionally, it has an</t>
        </is>
      </c>
      <c r="I153" t="n">
        <v>0.0045</v>
      </c>
      <c r="J153" t="n">
        <v>0.0702</v>
      </c>
      <c r="K153" t="n">
        <v>0.08260000000000001</v>
      </c>
      <c r="L153" t="inlineStr">
        <is>
          <t>The `FieldDrawableBinding` class is part of the ButterKnife library for Android development. It represents a binding between a field in a target object and a drawable resource. When the bindings are applied to a view, they set the drawable resource as the background of the view. The class has three fields: `id`, which stores the ID of the drawable resource</t>
        </is>
      </c>
      <c r="M153" t="n">
        <v>0.003</v>
      </c>
      <c r="N153" t="n">
        <v>0.0294</v>
      </c>
      <c r="O153" t="n">
        <v>0.07580000000000001</v>
      </c>
    </row>
    <row r="154">
      <c r="A154" t="inlineStr">
        <is>
          <t>butterknife</t>
        </is>
      </c>
      <c r="B154" t="inlineStr">
        <is>
          <t>butterknife-compiler/src/main/java/butterknife/compiler/MemberViewBinding.java</t>
        </is>
      </c>
      <c r="C154">
        <f>HYPERLINK("https://github.com/JakeWharton/butterknife/blob/master/butterknife-compiler/src/main/java/butterknife/compiler/MemberViewBinding.java")</f>
        <v/>
      </c>
      <c r="D154" t="inlineStr">
        <is>
          <t>The provided code defines an interface called `MemberViewBinding` that represents a field or method view binding. It has one abstract method called `getDescription()` which returns a string describing the binding in human-readable form, such as "field 'foo'" for a field binding. This interface is used by the Butter Knife compiler to generate code that binds views to their corresponding fields</t>
        </is>
      </c>
      <c r="E154" t="n">
        <v>0.003</v>
      </c>
      <c r="F154" t="n">
        <v>0.029</v>
      </c>
      <c r="G154" t="n">
        <v>0.07580000000000001</v>
      </c>
      <c r="H154" t="inlineStr">
        <is>
          <t>This is a Java package called `butterknife.compiler` that provides an interface for defining member view bindings. The interface has one method, `getDescription()`, which returns a string describing the binding in human-readable form. The package also includes some documentation and comments about its purpose and complexity.</t>
        </is>
      </c>
      <c r="I154" t="n">
        <v>0.0049</v>
      </c>
      <c r="J154" t="n">
        <v>0.0727</v>
      </c>
      <c r="K154" t="n">
        <v>0.08550000000000001</v>
      </c>
      <c r="L154" t="inlineStr">
        <is>
          <t>The provided code defines a Java interface called `MemberViewBinding` that represents a field or method view binding. It provides a single method, `getDescription()`, which returns a string describing the binding in human-readable form.</t>
        </is>
      </c>
      <c r="M154" t="n">
        <v>0</v>
      </c>
      <c r="N154" t="n">
        <v>0</v>
      </c>
      <c r="O154" t="n">
        <v>0</v>
      </c>
    </row>
    <row r="155">
      <c r="A155" t="inlineStr">
        <is>
          <t>butterknife</t>
        </is>
      </c>
      <c r="B155" t="inlineStr">
        <is>
          <t>butterknife-compiler/src/main/java/butterknife/compiler/ResourceBinding.java</t>
        </is>
      </c>
      <c r="C155">
        <f>HYPERLINK("https://github.com/JakeWharton/butterknife/blob/master/butterknife-compiler/src/main/java/butterknife/compiler/ResourceBinding.java")</f>
        <v/>
      </c>
      <c r="D155" t="inlineStr">
        <is>
          <t>The `ResourceBinding` interface in the `butterknife.compiler` package defines a contract for generating Java code that binds resources to views at runtime. It provides methods for accessing resource IDs, determining whether the generated code requires a "res" variable for accessing resources, and rendering the actual code for binding resources to views.</t>
        </is>
      </c>
      <c r="E155" t="n">
        <v>0.0037</v>
      </c>
      <c r="F155" t="n">
        <v>0.0339</v>
      </c>
      <c r="G155" t="n">
        <v>0.041</v>
      </c>
      <c r="H155" t="inlineStr">
        <is>
          <t>The `butterknife.compiler` package is a Java library that provides a way to bind resources (such as layout IDs or drawable IDs) to their corresponding resource objects in Android applications. The `ResourceBinding` interface defines a method called `render()` which takes an integer parameter representing the SDK version and returns a `CodeBlock` object containing the necessary code to perform the binding.</t>
        </is>
      </c>
      <c r="I155" t="n">
        <v>0.0031</v>
      </c>
      <c r="J155" t="n">
        <v>0.0294</v>
      </c>
      <c r="K155" t="n">
        <v>0.0382</v>
      </c>
      <c r="L155" t="inlineStr">
        <is>
          <t>The provided code defines a class called "ResourceBinding" that represents a resource binding between a Java object and a layout XML file. It has three methods: "id()", which returns the ID of the resource being bound, "requiresResources()", which checks whether the code for this binding requires a "res" variable for accessing resources at runtime, and "render()", which generates</t>
        </is>
      </c>
      <c r="M155" t="n">
        <v>0.0031</v>
      </c>
      <c r="N155" t="n">
        <v>0.0606</v>
      </c>
      <c r="O155" t="n">
        <v>0.0769</v>
      </c>
    </row>
    <row r="156">
      <c r="A156" t="inlineStr">
        <is>
          <t>butterknife</t>
        </is>
      </c>
      <c r="B156" t="inlineStr">
        <is>
          <t>butterknife-compiler/src/test/java/butterknife/compiler/BindingSetTest.java</t>
        </is>
      </c>
      <c r="C156">
        <f>HYPERLINK("https://github.com/JakeWharton/butterknife/blob/master/butterknife-compiler/src/test/java/butterknife/compiler/BindingSetTest.java")</f>
        <v/>
      </c>
      <c r="D156" t="inlineStr">
        <is>
          <t>The `BindingSet` class is used to represent a set of view bindings in Butter Knife. It provides methods for creating and manipulating sets of view bindings, such as `add`, `remove`, and `contains`. The `humanDescription` method returns a human-readable string representation of the set of view bindings, which can be useful for debugging or logging purposes</t>
        </is>
      </c>
      <c r="E156" t="n">
        <v>0.0033</v>
      </c>
      <c r="F156" t="n">
        <v>0.0312</v>
      </c>
      <c r="G156" t="n">
        <v>0.07870000000000001</v>
      </c>
      <c r="H156" t="inlineStr">
        <is>
          <t>This is a Java test file for the Butter Knife compiler library. The `BindingSet` class is being tested in this file. The `humanDescriptionJoinWorks()` method tests that the `asHumanDescription()` method correctly joins a list of member view bindings into a human-readable string. The method creates several instances of the `TestViewBinding` class with different</t>
        </is>
      </c>
      <c r="I156" t="n">
        <v>0.0035</v>
      </c>
      <c r="J156" t="n">
        <v>0.0328</v>
      </c>
      <c r="K156" t="n">
        <v>0.0403</v>
      </c>
      <c r="L156" t="inlineStr">
        <is>
          <t>The code in question is part of a Java library for Android development called Butter Knife Compiler. It appears to be a unit test that verifies the correctness of a method named "asHumanDescription" which takes a list of objects representing view bindings and returns a string describing them in a human-readable format. The test creates several instances of a custom "MemberView</t>
        </is>
      </c>
      <c r="M156" t="n">
        <v>0.003</v>
      </c>
      <c r="N156" t="n">
        <v>0.0286</v>
      </c>
      <c r="O156" t="n">
        <v>0.0752</v>
      </c>
    </row>
    <row r="157">
      <c r="A157" t="inlineStr">
        <is>
          <t>butterknife</t>
        </is>
      </c>
      <c r="B157" t="inlineStr">
        <is>
          <t>sample/app/src/main/java/com/example/butterknife/SimpleApp.java</t>
        </is>
      </c>
      <c r="C157">
        <f>HYPERLINK("https://github.com/JakeWharton/butterknife/blob/master/sample/app/src/main/java/com/example/butterknife/SimpleApp.java")</f>
        <v/>
      </c>
      <c r="D157" t="inlineStr">
        <is>
          <t>This is a Java application that extends the Android `Application` class to set up Butter Knife for debugging purposes. The `SimpleApp` class overrides the `onCreate()` method and calls `super.onCreate()`, then sets the debug mode for Butter Knife using the `setDebug()` method. The debug mode is only enabled if the build configuration variable `DEBUG` is true.</t>
        </is>
      </c>
      <c r="E157" t="n">
        <v>0.004</v>
      </c>
      <c r="F157" t="n">
        <v>0.0625</v>
      </c>
      <c r="G157" t="n">
        <v>0.1181</v>
      </c>
      <c r="H157" t="inlineStr">
        <is>
          <t>This is a Java Android application that uses the Butter Knife library to simplify the process of setting up debugging in the app. The `SimpleApp` class is the main entry point for the application, and it overrides the `onCreate()` method from the `Application` class to set the debug mode for Butter Knife based on the value of the `BuildConfig.DEBUG` constant</t>
        </is>
      </c>
      <c r="I157" t="n">
        <v>0.0036</v>
      </c>
      <c r="J157" t="n">
        <v>0.058</v>
      </c>
      <c r="K157" t="n">
        <v>0.1136</v>
      </c>
      <c r="L157" t="inlineStr">
        <is>
          <t>The provided code is a Java implementation of the `SimpleApp` class that extends the Android `Application` class. It initializes the Butter Knife library by calling the `ButterKnife.setDebug()` method during the application's creation lifecycle. The method takes a boolean parameter indicating whether debug mode should be enabled.</t>
        </is>
      </c>
      <c r="M157" t="n">
        <v>0</v>
      </c>
      <c r="N157" t="n">
        <v>0.0357</v>
      </c>
      <c r="O157" t="n">
        <v>0.0424</v>
      </c>
    </row>
    <row r="158">
      <c r="A158" t="inlineStr">
        <is>
          <t>butterknife</t>
        </is>
      </c>
      <c r="B158" t="inlineStr">
        <is>
          <t>sample/app/src/main/java/com/example/butterknife/unbinder/D.java</t>
        </is>
      </c>
      <c r="C158">
        <f>HYPERLINK("https://github.com/JakeWharton/butterknife/blob/master/sample/app/src/main/java/com/example/butterknife/unbinder/D.java")</f>
        <v/>
      </c>
      <c r="D158" t="inlineStr">
        <is>
          <t>This is a Java file that defines a subclass of `C` called `D`. It uses the Butter Knife library to bind colors to variables in the constructor. The `@BindColor` annotation is used to specify which color should be bound to each variable. In this case, it's binding the darker gray color from Android's resources to the `grayColor` variable.</t>
        </is>
      </c>
      <c r="E158" t="n">
        <v>0.0031</v>
      </c>
      <c r="F158" t="n">
        <v>0.0294</v>
      </c>
      <c r="G158" t="n">
        <v>0.0769</v>
      </c>
      <c r="H158" t="inlineStr">
        <is>
          <t>This is a Java class named "D" that extends another class called "C". It uses the Butter Knife library to bind colors from the Android framework to instance variables in the class. The class has one constructor that takes a View object as input and calls the `ButterKnife.bind()` method with itself and the given View object as arguments. Additionally, it declares</t>
        </is>
      </c>
      <c r="I158" t="n">
        <v>0.0036</v>
      </c>
      <c r="J158" t="n">
        <v>0.0571</v>
      </c>
      <c r="K158" t="n">
        <v>0.1128</v>
      </c>
      <c r="L158" t="inlineStr">
        <is>
          <t>The provided code defines a subclass named "D" that inherits from another class named "C". It uses the Butter Knife library to bind colors to views using annotations. Specifically, it binds the color resource "android.R.color.darker_gray" (a dark grey color) to a field named "grayColor", which is annotated with the "@ColorInt</t>
        </is>
      </c>
      <c r="M158" t="n">
        <v>0</v>
      </c>
      <c r="N158" t="n">
        <v>0</v>
      </c>
      <c r="O158" t="n">
        <v>0.041</v>
      </c>
    </row>
    <row r="159">
      <c r="A159" t="inlineStr">
        <is>
          <t>butterknife</t>
        </is>
      </c>
      <c r="B159" t="inlineStr">
        <is>
          <t>sample/app/src/main/java/com/example/butterknife/unbinder/E.java</t>
        </is>
      </c>
      <c r="C159">
        <f>HYPERLINK("https://github.com/JakeWharton/butterknife/blob/master/sample/app/src/main/java/com/example/butterknife/unbinder/E.java")</f>
        <v/>
      </c>
      <c r="D159" t="inlineStr">
        <is>
          <t>The provided code is a Java class named `E` that extends another class called `C`. It uses the Butter Knife library to bind colors from Android resources to fields in the class. Specifically, it binds the color resource `background_dark` to a field called `backgroundDarkColor`, which is annotated with `@ColorInt`.
The constructor for the `E</t>
        </is>
      </c>
      <c r="E159" t="n">
        <v>0</v>
      </c>
      <c r="F159" t="n">
        <v>0</v>
      </c>
      <c r="G159" t="n">
        <v>0.0397</v>
      </c>
      <c r="H159" t="inlineStr">
        <is>
          <t>This is a Java code snippet that defines a new class called `E` which extends another class called `C`. The `E` class has one field annotated with `@BindColor`, which is used to bind a color value from the Android framework's resource file to a variable in the class. Additionally, the constructor takes a single argument of type `View` and calls the `But</t>
        </is>
      </c>
      <c r="I159" t="n">
        <v>0.0035</v>
      </c>
      <c r="J159" t="n">
        <v>0.0563</v>
      </c>
      <c r="K159" t="n">
        <v>0.1119</v>
      </c>
      <c r="L159" t="inlineStr">
        <is>
          <t>The provided code defines a subclass of `C` called `E`. It uses the `ButterKnife` library to bind colors from the Android framework to instance variables. Specifically, it binds the color resource `android.R.color.background_dark` to an integer variable annotated with `@ColorInt`. The constructor for `E` takes a `View` object as</t>
        </is>
      </c>
      <c r="M159" t="n">
        <v>0</v>
      </c>
      <c r="N159" t="n">
        <v>0</v>
      </c>
      <c r="O159" t="n">
        <v>0.0417</v>
      </c>
    </row>
    <row r="160">
      <c r="A160" t="inlineStr">
        <is>
          <t>butterknife</t>
        </is>
      </c>
      <c r="B160" t="inlineStr">
        <is>
          <t>sample/app/src/main/java/com/example/butterknife/unbinder/C.java</t>
        </is>
      </c>
      <c r="C160">
        <f>HYPERLINK("https://github.com/JakeWharton/butterknife/blob/master/sample/app/src/main/java/com/example/butterknife/unbinder/C.java")</f>
        <v/>
      </c>
      <c r="D160" t="inlineStr">
        <is>
          <t>This is a Java class named `C` that extends another class called `B`. It uses the Butter Knife library to bind views and colors to variables in the constructor. The `@BindColor` annotation is used to bind the color with ID `android.R.color.transparent` to a variable named `transparentColor`, which is annotated with the `@ColorInt`</t>
        </is>
      </c>
      <c r="E160" t="n">
        <v>0.0042</v>
      </c>
      <c r="F160" t="n">
        <v>0.0635</v>
      </c>
      <c r="G160" t="n">
        <v>0.121</v>
      </c>
      <c r="H160" t="inlineStr">
        <is>
          <t>This is a Java file that defines a class named `C` which extends another class named `B`. The class has two fields annotated with `@BindColor` and `@BindView`, respectively, to bind colors and views in Android applications using the Butter Knife library. The constructor takes a `View` object as its parameter and calls the `super()` method before calling the `But</t>
        </is>
      </c>
      <c r="I160" t="n">
        <v>0.0037</v>
      </c>
      <c r="J160" t="n">
        <v>0.0597</v>
      </c>
      <c r="K160" t="n">
        <v>0.1145</v>
      </c>
      <c r="L160" t="inlineStr">
        <is>
          <t>The provided code defines a Java class named `C` that inherits from another class called `B`. It uses the Butter Knife library for dependency injection and has two fields annotated with `@BindColor` and `@BindView`, respectively. The constructor takes a `View` object as input and calls `ButterKnife.bind()` method to bind the views and colors to</t>
        </is>
      </c>
      <c r="M160" t="n">
        <v>0.0034</v>
      </c>
      <c r="N160" t="n">
        <v>0.0317</v>
      </c>
      <c r="O160" t="n">
        <v>0.0794</v>
      </c>
    </row>
    <row r="161">
      <c r="A161" t="inlineStr">
        <is>
          <t>butterknife</t>
        </is>
      </c>
      <c r="B161" t="inlineStr">
        <is>
          <t>sample/app/src/main/java/com/example/butterknife/unbinder/F.java</t>
        </is>
      </c>
      <c r="C161">
        <f>HYPERLINK("https://github.com/JakeWharton/butterknife/blob/master/sample/app/src/main/java/com/example/butterknife/unbinder/F.java")</f>
        <v/>
      </c>
      <c r="D161" t="inlineStr">
        <is>
          <t>The provided code is a Java class named `F` that extends another class called `D`. It uses the Butter Knife library to bind colors from Android resources to instance variables. The class has one method named `F`, which takes a `View` object as its parameter and initializes the `ButterKnife` binding for this class using the given view. Additionally, it</t>
        </is>
      </c>
      <c r="E161" t="n">
        <v>0.0031</v>
      </c>
      <c r="F161" t="n">
        <v>0.0299</v>
      </c>
      <c r="G161" t="n">
        <v>0.1145</v>
      </c>
      <c r="H161" t="inlineStr">
        <is>
          <t>This is a Java file that defines a new class called `F`, which extends another class called `D`. The class has one field annotated with `@BindColor` from the Butter Knife library, which binds a color resource to an integer variable called `backgroundLightColor`. The constructor takes a `View` object as its parameter and calls the `super()` method on it before</t>
        </is>
      </c>
      <c r="I161" t="n">
        <v>0.0037</v>
      </c>
      <c r="J161" t="n">
        <v>0.0597</v>
      </c>
      <c r="K161" t="n">
        <v>0.07630000000000001</v>
      </c>
      <c r="L161" t="inlineStr">
        <is>
          <t>The provided code defines a custom View subclass called "F" that is a child of another View class named "D". It uses the Butter Knife library to bind colors from Android's built-in color resources to instance variables. The code also defines a constructor for the "F" class that takes a View object as input and calls the parent constructor before binding the colors using Butter</t>
        </is>
      </c>
      <c r="M161" t="n">
        <v>0.0028</v>
      </c>
      <c r="N161" t="n">
        <v>0.0267</v>
      </c>
      <c r="O161" t="n">
        <v>0.073</v>
      </c>
    </row>
    <row r="162">
      <c r="A162" t="inlineStr">
        <is>
          <t>butterknife</t>
        </is>
      </c>
      <c r="B162" t="inlineStr">
        <is>
          <t>sample/app/src/main/java/com/example/butterknife/unbinder/H.java</t>
        </is>
      </c>
      <c r="C162">
        <f>HYPERLINK("https://github.com/JakeWharton/butterknife/blob/master/sample/app/src/main/java/com/example/butterknife/unbinder/H.java")</f>
        <v/>
      </c>
      <c r="D162" t="inlineStr">
        <is>
          <t>This is a Java class called `H` that inherits from another class called `G`. It uses the Butter Knife library to bind views and colors to fields in the class. The `@BindView` annotation is used to bind a specific view with ID `button3` to a field named `button3`, while the `@BindColor` annotation is used to bind a color resource</t>
        </is>
      </c>
      <c r="E162" t="n">
        <v>0.0037</v>
      </c>
      <c r="F162" t="n">
        <v>0.0597</v>
      </c>
      <c r="G162" t="n">
        <v>0.1145</v>
      </c>
      <c r="H162" t="inlineStr">
        <is>
          <t>This is a Java Android project that uses the Butter Knife library to bind views and colors from the Android framework to a custom subclass of `G`. The `H` class has two fields annotated with `@BindColor` and `@BindView`, which are used to store references to the primary text dark color and a button view in the Android framework, respectively. The constructor for `H</t>
        </is>
      </c>
      <c r="I162" t="n">
        <v>0.0034</v>
      </c>
      <c r="J162" t="n">
        <v>0.0563</v>
      </c>
      <c r="K162" t="n">
        <v>0.1111</v>
      </c>
      <c r="L162" t="inlineStr">
        <is>
          <t>The provided code defines a subclass named "H" that inherits from another class named "G". It uses the Android Support Library's annotation processor called Butter Knife to bind color resources and views to fields in the current class. The constructor takes a view as input and calls the parent class's constructor with the same view before calling Butter Knife's `bind()` method</t>
        </is>
      </c>
      <c r="M162" t="n">
        <v>0.003</v>
      </c>
      <c r="N162" t="n">
        <v>0.0278</v>
      </c>
      <c r="O162" t="n">
        <v>0.0752</v>
      </c>
    </row>
    <row r="163">
      <c r="A163" t="inlineStr">
        <is>
          <t>butterknife</t>
        </is>
      </c>
      <c r="B163" t="inlineStr">
        <is>
          <t>sample/app/src/main/java/com/example/butterknife/unbinder/G.java</t>
        </is>
      </c>
      <c r="C163">
        <f>HYPERLINK("https://github.com/JakeWharton/butterknife/blob/master/sample/app/src/main/java/com/example/butterknife/unbinder/G.java")</f>
        <v/>
      </c>
      <c r="D163" t="inlineStr">
        <is>
          <t>This is a Java file that defines a class named `G` that inherits from another class called `E`. The `G` class has two fields:
* A field named `grayColor` that is annotated with `@BindColor` and has type `@ColorInt`, which means it's a color integer value. It's initialized to the value of the Android resource</t>
        </is>
      </c>
      <c r="E163" t="n">
        <v>0.004</v>
      </c>
      <c r="F163" t="n">
        <v>0.0635</v>
      </c>
      <c r="G163" t="n">
        <v>0.0794</v>
      </c>
      <c r="H163" t="inlineStr">
        <is>
          <t>This is a Java Android project that uses the Butter Knife library to bind colors and views in the UI. The `G` class is a subclass of `E`, which represents a generic UI element. It has two fields that are bound using the `@BindColor` and `@BindView` annotations from the Butter Knife library: `grayColor` is an integer color value representing</t>
        </is>
      </c>
      <c r="I163" t="n">
        <v>0.0037</v>
      </c>
      <c r="J163" t="n">
        <v>0.0597</v>
      </c>
      <c r="K163" t="n">
        <v>0.1145</v>
      </c>
      <c r="L163" t="inlineStr">
        <is>
          <t>The provided code is a Java class named "G" that inherits from another class called "E". It uses the Butter Knife library to bind color resources and views to instance variables. The class has one constructor that takes a View object as input and calls the superclass's constructor before calling ButterKnife's bind method to initialize the bound fields. The class also</t>
        </is>
      </c>
      <c r="M163" t="n">
        <v>0.003</v>
      </c>
      <c r="N163" t="n">
        <v>0.0282</v>
      </c>
      <c r="O163" t="n">
        <v>0.0752</v>
      </c>
    </row>
    <row r="164">
      <c r="A164" t="inlineStr">
        <is>
          <t>butterknife</t>
        </is>
      </c>
      <c r="B164" t="inlineStr">
        <is>
          <t>sample/app/src/main/java/com/example/butterknife/unbinder/A.java</t>
        </is>
      </c>
      <c r="C164">
        <f>HYPERLINK("https://github.com/JakeWharton/butterknife/blob/master/sample/app/src/main/java/com/example/butterknife/unbinder/A.java")</f>
        <v/>
      </c>
      <c r="D164" t="inlineStr">
        <is>
          <t>The code is part of a Java project that uses the Butter Knife library to bind colors from Android resources to variables in the `A` class. The `@BindColor` annotation is used to specify the color resource ID for the variable, which can then be accessed as an integer value through the `@ColorInt` annotation. The constructor initializes the binding by calling `ButterKn</t>
        </is>
      </c>
      <c r="E164" t="n">
        <v>0</v>
      </c>
      <c r="F164" t="n">
        <v>0</v>
      </c>
      <c r="G164" t="n">
        <v>0.0376</v>
      </c>
      <c r="H164" t="inlineStr">
        <is>
          <t>This is a Java package named "com.example.butterknife.unbinder" that contains one class named "A". The class has one field annotated with the "@BindColor" annotation from the "butterknife" library, which binds a color resource to a variable called "blackColor". When the class is instantiated with a View object as its parameter</t>
        </is>
      </c>
      <c r="I164" t="n">
        <v>0.0037</v>
      </c>
      <c r="J164" t="n">
        <v>0.0333</v>
      </c>
      <c r="K164" t="n">
        <v>0.0413</v>
      </c>
      <c r="L164" t="inlineStr">
        <is>
          <t>The provided code defines a Java class named `A` that uses the Butter Knife library to bind a color resource from the Android framework to an instance variable named `blackColor`. The constructor takes a `View` object as input and calls the `ButterKnife.bind()` method to establish the binding between the two objects.</t>
        </is>
      </c>
      <c r="M164" t="n">
        <v>0.0036</v>
      </c>
      <c r="N164" t="n">
        <v>0.0333</v>
      </c>
      <c r="O164" t="n">
        <v>0.0813</v>
      </c>
    </row>
    <row r="165">
      <c r="A165" t="inlineStr">
        <is>
          <t>butterknife</t>
        </is>
      </c>
      <c r="B165" t="inlineStr">
        <is>
          <t>sample/app/src/main/java/com/example/butterknife/unbinder/B.java</t>
        </is>
      </c>
      <c r="C165">
        <f>HYPERLINK("https://github.com/JakeWharton/butterknife/blob/master/sample/app/src/main/java/com/example/butterknife/unbinder/B.java")</f>
        <v/>
      </c>
      <c r="D165" t="inlineStr">
        <is>
          <t>The provided code defines a class `B` that inherits from another class `A`. It also uses the Butter Knife library to bind colors to views. Specifically, it binds the color resource `android.R.color.white` to an integer variable called `whiteColor`. The constructor for `B` takes a `View` object as input and calls `super()` with</t>
        </is>
      </c>
      <c r="E165" t="n">
        <v>0.0035</v>
      </c>
      <c r="F165" t="n">
        <v>0.0317</v>
      </c>
      <c r="G165" t="n">
        <v>0.0806</v>
      </c>
      <c r="H165" t="inlineStr">
        <is>
          <t>This is a Java package named "com.example.butterknife.unbinder" that contains a single class called "B". The class inherits from another class called "A", which is also in this package. The class has one field annotated with the "@BindColor" annotation, which binds a color resource to an integer variable called "whiteColor". The constructor</t>
        </is>
      </c>
      <c r="I165" t="n">
        <v>0.0036</v>
      </c>
      <c r="J165" t="n">
        <v>0.0323</v>
      </c>
      <c r="K165" t="n">
        <v>0.0407</v>
      </c>
      <c r="L165" t="inlineStr">
        <is>
          <t>The provided code defines a subclass named `B` that inherits from another class named `A`. It uses the `ButterKnife` library to bind colors to views using annotations. Specifically, it binds the color resource `android.R.color.white` to an integer variable annotated with `@ColorInt`. The constructor takes a `View` object as input and calls</t>
        </is>
      </c>
      <c r="M165" t="n">
        <v>0.0036</v>
      </c>
      <c r="N165" t="n">
        <v>0.0323</v>
      </c>
      <c r="O165" t="n">
        <v>0.0813</v>
      </c>
    </row>
    <row r="166">
      <c r="A166" t="inlineStr">
        <is>
          <t>butterknife</t>
        </is>
      </c>
      <c r="B166" t="inlineStr">
        <is>
          <t>sample/library/src/main/java/com/example/butterknife/library/SimpleActivity.java</t>
        </is>
      </c>
      <c r="C166">
        <f>HYPERLINK("https://github.com/JakeWharton/butterknife/blob/master/sample/library/src/main/java/com/example/butterknife/library/SimpleActivity.java")</f>
        <v/>
      </c>
      <c r="D166" t="inlineStr">
        <is>
          <t>This is a Java Android project that uses the Butter Knife library to simplify the process of binding views in an activity. The `SimpleActivity` class defines several methods for handling button clicks, item selection, and long presses on a list view. It also includes a custom action called `ALPHA_FADE` that animates the visibility of a view by fading it in</t>
        </is>
      </c>
      <c r="E166" t="n">
        <v>0.0036</v>
      </c>
      <c r="F166" t="n">
        <v>0.058</v>
      </c>
      <c r="G166" t="n">
        <v>0.1136</v>
      </c>
      <c r="H166" t="inlineStr">
        <is>
          <t>This is a Java Android project that uses the Butter Knife library to simplify the process of binding views in Android activities. The main class, `SimpleActivity`, has several methods that demonstrate different ways of using Butter Knife, including:
* `@BindView`: binds a single view to a field
* `@BindViews`: binds multiple views to fields
* `@</t>
        </is>
      </c>
      <c r="I166" t="n">
        <v>0.0033</v>
      </c>
      <c r="J166" t="n">
        <v>0.0333</v>
      </c>
      <c r="K166" t="n">
        <v>0.0781</v>
      </c>
      <c r="L166" t="inlineStr">
        <is>
          <t>The provided code is a Java Android application that utilizes the Butter Knife library for binding views to fields and methods. It defines a `SimpleActivity` class that inherits from the `Activity` class and has several member variables and methods related to user interface elements such as buttons, text views, and lists.
The activity's lifecycle methods are overridden to perform various</t>
        </is>
      </c>
      <c r="M166" t="n">
        <v>0.003</v>
      </c>
      <c r="N166" t="n">
        <v>0.029</v>
      </c>
      <c r="O166" t="n">
        <v>0.0379</v>
      </c>
    </row>
    <row r="167">
      <c r="A167" t="inlineStr">
        <is>
          <t>butterknife</t>
        </is>
      </c>
      <c r="B167" t="inlineStr">
        <is>
          <t>sample/library/src/main/java/com/example/butterknife/library/SimpleAdapter.java</t>
        </is>
      </c>
      <c r="C167">
        <f>HYPERLINK("https://github.com/JakeWharton/butterknife/blob/master/sample/library/src/main/java/com/example/butterknife/library/SimpleAdapter.java")</f>
        <v/>
      </c>
      <c r="D167" t="inlineStr">
        <is>
          <t>The `SimpleAdapter` is a custom adapter that extends `BaseAdapter`. It provides a simple way to display a list of strings in a `ListView`. The adapter uses Butter Knife for efficient binding of views to data.
When creating a new instance of the adapter, it takes a `Context` as input and initializes its internal `LayoutInflater`.
In the `get</t>
        </is>
      </c>
      <c r="E167" t="n">
        <v>0.0032</v>
      </c>
      <c r="F167" t="n">
        <v>0.0308</v>
      </c>
      <c r="G167" t="n">
        <v>0.0775</v>
      </c>
      <c r="H167" t="inlineStr">
        <is>
          <t>This is a Java library that provides a simple adapter for displaying data in a list view. The `SimpleAdapter` class extends the Android `BaseAdapter` class and implements its methods to provide a customized list view with a specific layout. It uses Butter Knife to bind views to variables and simplify the process of working with them.
The `getCount()` method returns the number</t>
        </is>
      </c>
      <c r="I167" t="n">
        <v>0.0039</v>
      </c>
      <c r="J167" t="n">
        <v>0.0857</v>
      </c>
      <c r="K167" t="n">
        <v>0.1493</v>
      </c>
      <c r="L167" t="inlineStr">
        <is>
          <t>The provided code is a custom adapter for a list view that displays a series of strings. It uses Butter Knife library for binding views to Java objects. The adapter has a `getCount()`, `getItem()`, and `getItemId()` methods that are required by Android's ListView component. The `getView()` method inflates a layout resource and binds the data from the</t>
        </is>
      </c>
      <c r="M167" t="n">
        <v>0.0032</v>
      </c>
      <c r="N167" t="n">
        <v>0.0303</v>
      </c>
      <c r="O167" t="n">
        <v>0.0775</v>
      </c>
    </row>
    <row r="168">
      <c r="A168" t="inlineStr">
        <is>
          <t>crate</t>
        </is>
      </c>
      <c r="B168" t="inlineStr">
        <is>
          <t>app/src/main/java/io/crate/bootstrap/BootstrapException.java</t>
        </is>
      </c>
      <c r="C168">
        <f>HYPERLINK("https://github.com/crate/crate/blob/master/app/src/main/java/io/crate/bootstrap/BootstrapException.java")</f>
        <v/>
      </c>
      <c r="D168" t="inlineStr">
        <is>
          <t>This code appears to be a Java implementation of various algorithms used in data analysis, including clustering and dimensionality reduction. The code is well-documented and includes comments explaining the purpose and complexity of each algorithm. It also includes a README file that describes the overall goal of the project and provides some context for understanding the code. Overall, it seems like this code could be useful</t>
        </is>
      </c>
      <c r="E168" t="n">
        <v>0.0033</v>
      </c>
      <c r="F168" t="n">
        <v>0.08</v>
      </c>
      <c r="G168" t="n">
        <v>0.1449</v>
      </c>
      <c r="H168" t="inlineStr">
        <is>
          <t>This code appears to be a collection of backend software components that implement various algorithms. The complexity of the code is O(N), indicating that it has a linear time complexity. The code includes comments explaining the implementation of the algorithms and mentions commits and code size. The README file provides a brief overview of the project's purpose and scope.</t>
        </is>
      </c>
      <c r="I168" t="n">
        <v>0.0041</v>
      </c>
      <c r="J168" t="n">
        <v>0.1159</v>
      </c>
      <c r="K168" t="n">
        <v>0.1527</v>
      </c>
      <c r="L168" t="inlineStr">
        <is>
          <t>The provided code implements a system that allows users to search through a large dataset of data points. It uses a combination of machine learning models and traditional search algorithms to provide accurate results. The code also includes features such as caching and precomputing to optimize performance. Overall, the system provides a powerful tool for searching through complex datasets and can be used in a variety of applications.</t>
        </is>
      </c>
      <c r="M168" t="n">
        <v>0.0032</v>
      </c>
      <c r="N168" t="n">
        <v>0.0526</v>
      </c>
      <c r="O168" t="n">
        <v>0.1071</v>
      </c>
    </row>
    <row r="169">
      <c r="A169" t="inlineStr">
        <is>
          <t>crate</t>
        </is>
      </c>
      <c r="B169" t="inlineStr">
        <is>
          <t>app/src/main/java/io/crate/bootstrap/CrateDB.java</t>
        </is>
      </c>
      <c r="C169">
        <f>HYPERLINK("https://github.com/crate/crate/blob/master/app/src/main/java/io/crate/bootstrap/CrateDB.java")</f>
        <v/>
      </c>
      <c r="D169" t="inlineStr">
        <is>
          <t>This code appears to be a Java implementation of a system that processes data from various sources and performs various operations on it. The code includes comments explaining its purpose and complexity, as well as details about the commits and code size. It does not appear to contain any actual code, only documentation and metadata.</t>
        </is>
      </c>
      <c r="E169" t="n">
        <v>0.004</v>
      </c>
      <c r="F169" t="n">
        <v>0.09520000000000001</v>
      </c>
      <c r="G169" t="n">
        <v>0.1181</v>
      </c>
      <c r="H169" t="inlineStr">
        <is>
          <t>This is a Java project that contains backend software components. The code is licensed under the Apache License 2.0, which allows for its use, modification, and distribution subject to certain conditions. The project has been committed once, and it contains approximately 1000 lines of code.
The main function of the code appears to be implementing core algorithms. It does so using</t>
        </is>
      </c>
      <c r="I169" t="n">
        <v>0.0042</v>
      </c>
      <c r="J169" t="n">
        <v>0.1143</v>
      </c>
      <c r="K169" t="n">
        <v>0.3206</v>
      </c>
      <c r="L169" t="inlineStr">
        <is>
          <t>The provided code implements a system for handling user authentication and authorization. It uses a combination of algorithms and data structures to efficiently manage user sessions and access rights. The code has been optimized for performance using techniques such as caching and parallel processing.</t>
        </is>
      </c>
      <c r="M169" t="n">
        <v>0.005</v>
      </c>
      <c r="N169" t="n">
        <v>0.0769</v>
      </c>
      <c r="O169" t="n">
        <v>0.1293</v>
      </c>
    </row>
    <row r="170">
      <c r="A170" t="inlineStr">
        <is>
          <t>crate</t>
        </is>
      </c>
      <c r="B170" t="inlineStr">
        <is>
          <t>app/src/main/java/org/elasticsearch/bootstrap/StartupExceptionProxy.java</t>
        </is>
      </c>
      <c r="C170">
        <f>HYPERLINK("https://github.com/crate/crate/blob/master/app/src/main/java/org/elasticsearch/bootstrap/StartupExceptionProxy.java")</f>
        <v/>
      </c>
      <c r="D170" t="inlineStr">
        <is>
          <t>The provided code appears to be a Java implementation of various algorithms used in the development of a web application's backend. It includes comments explaining the purpose and complexity of each algorithm, as well as a README file that provides an overview of the project and its goals.
The code has been optimized for performance using techniques such as caching and lazy loading, which can help improve the</t>
        </is>
      </c>
      <c r="E170" t="n">
        <v>0.0027</v>
      </c>
      <c r="F170" t="n">
        <v>0.0519</v>
      </c>
      <c r="G170" t="n">
        <v>0.1071</v>
      </c>
      <c r="H170" t="inlineStr">
        <is>
          <t>This code appears to be a Java implementation of a set of algorithms used in a backend system. The code is well-documented, with comments explaining the purpose and complexity of each function. The README file provides an overview of the project's goals and the structure of the codebase. The code size is relatively large, indicating that there are many files and functions within the repository</t>
        </is>
      </c>
      <c r="I170" t="n">
        <v>0.0033</v>
      </c>
      <c r="J170" t="n">
        <v>0.1067</v>
      </c>
      <c r="K170" t="n">
        <v>0.146</v>
      </c>
      <c r="L170" t="inlineStr">
        <is>
          <t>The provided code implements a system that processes data from various sources and stores them in a database. It uses a combination of algorithms and techniques to ensure efficient processing and storage of the data. The code has been optimized for performance using techniques such as caching and parallelization. The system also includes features for monitoring and troubleshooting to help users understand how the system is performing and identify any issues that may</t>
        </is>
      </c>
      <c r="M170" t="n">
        <v>0.003</v>
      </c>
      <c r="N170" t="n">
        <v>0.0494</v>
      </c>
      <c r="O170" t="n">
        <v>0.1034</v>
      </c>
    </row>
    <row r="171">
      <c r="A171" t="inlineStr">
        <is>
          <t>crate</t>
        </is>
      </c>
      <c r="B171" t="inlineStr">
        <is>
          <t>app/src/main/java/org/elasticsearch/bootstrap/Bootstrap.java</t>
        </is>
      </c>
      <c r="C171">
        <f>HYPERLINK("https://github.com/crate/crate/blob/master/app/src/main/java/org/elasticsearch/bootstrap/Bootstrap.java")</f>
        <v/>
      </c>
      <c r="D171" t="inlineStr">
        <is>
          <t>This code appears to be a Java implementation of a backend system's core algorithms, using the O(N) complexity metric. The comments indicate that it was initially committed as part of a larger project but has since been modified and refactored. The code size is approximately 1000 lines long.</t>
        </is>
      </c>
      <c r="E171" t="n">
        <v>0.005</v>
      </c>
      <c r="F171" t="n">
        <v>0.1379</v>
      </c>
      <c r="G171" t="n">
        <v>0.2083</v>
      </c>
      <c r="H171" t="inlineStr">
        <is>
          <t>This code appears to be a Java implementation of a web application's backend logic. The code is well-documented, with comments explaining the purpose of each section and the overall structure of the program. The code also includes a README file that provides further context about the project and its goals.
The code defines several classes and methods, including a main class called `App`</t>
        </is>
      </c>
      <c r="I171" t="n">
        <v>0.0038</v>
      </c>
      <c r="J171" t="n">
        <v>0.0822</v>
      </c>
      <c r="K171" t="n">
        <v>0.1481</v>
      </c>
      <c r="L171" t="inlineStr">
        <is>
          <t>The provided code implements a system that performs various operations related to data processing and analysis. It appears to be part of a larger project, as there are references to other files and libraries used in the code. The code has a complexity of O(N), based on existing comments, and was initially committed to the repository. Its primary purpose is to provide a framework for implementing core algorithms, and it</t>
        </is>
      </c>
      <c r="M171" t="n">
        <v>0.0034</v>
      </c>
      <c r="N171" t="n">
        <v>0.0759</v>
      </c>
      <c r="O171" t="n">
        <v>0.1408</v>
      </c>
    </row>
    <row r="172">
      <c r="A172" t="inlineStr">
        <is>
          <t>crate</t>
        </is>
      </c>
      <c r="B172" t="inlineStr">
        <is>
          <t>app/src/test/java/io/crate/AppJarHellTest.java</t>
        </is>
      </c>
      <c r="C172">
        <f>HYPERLINK("https://github.com/crate/crate/blob/master/app/src/test/java/io/crate/AppJarHellTest.java")</f>
        <v/>
      </c>
      <c r="D172" t="inlineStr">
        <is>
          <t>This code appears to be a Java implementation of various algorithms used in computer science, specifically Big O notation. The code includes comments that explain the purpose and complexity of each algorithm, as well as the commits made to the project and the size of the codebase. It does not appear to contain any actual code that can be run independently, but rather serves as a collection of reusable functions that can</t>
        </is>
      </c>
      <c r="E172" t="n">
        <v>0.003</v>
      </c>
      <c r="F172" t="n">
        <v>0.075</v>
      </c>
      <c r="G172" t="n">
        <v>0.1389</v>
      </c>
      <c r="H172" t="inlineStr">
        <is>
          <t>This code implements a system that performs calculations using mathematical equations. The complexity of the algorithm is O(N), where N is the number of inputs. The comments describe the implementation of the core algorithms used in the system. There has been one commit to the codebase since its initial creation. The total size of the code is approximately 1000 lines.</t>
        </is>
      </c>
      <c r="I172" t="n">
        <v>0.004</v>
      </c>
      <c r="J172" t="n">
        <v>0.08699999999999999</v>
      </c>
      <c r="K172" t="n">
        <v>0.1515</v>
      </c>
      <c r="L172" t="inlineStr">
        <is>
          <t>The provided code appears to be a server application written in Java that uses the CrateDB database management system. It implements several features such as data ingestion, querying, and visualization. The code has been optimized for performance using techniques like caching and parallel processing. The code also includes comments explaining the implementation of core algorithms and provides a detailed overview of the project's architecture.</t>
        </is>
      </c>
      <c r="M172" t="n">
        <v>0.0037</v>
      </c>
      <c r="N172" t="n">
        <v>0.0822</v>
      </c>
      <c r="O172" t="n">
        <v>0.1471</v>
      </c>
    </row>
    <row r="173">
      <c r="A173" t="inlineStr">
        <is>
          <t>crate</t>
        </is>
      </c>
      <c r="B173" t="inlineStr">
        <is>
          <t>app/src/test/java/io/crate/node/NodeSettingsTest.java</t>
        </is>
      </c>
      <c r="C173">
        <f>HYPERLINK("https://github.com/crate/crate/blob/master/app/src/test/java/io/crate/node/NodeSettingsTest.java")</f>
        <v/>
      </c>
      <c r="D173" t="inlineStr">
        <is>
          <t>The provided code appears to be a Java implementation of various algorithms used in the development of a web application's backend. The code is well-documented and includes comments that explain the purpose of each class and method. It also includes a README file that provides an overview of the project and its goals.
The code is organized into packages, with each package containing related classes</t>
        </is>
      </c>
      <c r="E173" t="n">
        <v>0.0028</v>
      </c>
      <c r="F173" t="n">
        <v>0.0533</v>
      </c>
      <c r="G173" t="n">
        <v>0.1095</v>
      </c>
      <c r="H173" t="inlineStr">
        <is>
          <t>This code implements a set of backend software components that perform various tasks such as data processing, analysis, and storage. The code has been written in Java and uses the Apache License version 2.0 for open-source distribution. It includes comments describing the implementation of core algorithms and uses a complexity metric of O(N). The README provides an overview of the project's purpose</t>
        </is>
      </c>
      <c r="I173" t="n">
        <v>0.0044</v>
      </c>
      <c r="J173" t="n">
        <v>0.1351</v>
      </c>
      <c r="K173" t="n">
        <v>0.2239</v>
      </c>
      <c r="L173" t="inlineStr">
        <is>
          <t>The provided code implements a system that allows users to create, manage, and share their own personalized playlists based on their music preferences. It uses machine learning algorithms to analyze user data and recommend songs that match their musical tastes. The system also includes features such as search bars, filters, and sorting options to help users discover new music and organize their playlists.</t>
        </is>
      </c>
      <c r="M173" t="n">
        <v>0.0034</v>
      </c>
      <c r="N173" t="n">
        <v>0.0563</v>
      </c>
      <c r="O173" t="n">
        <v>0.1111</v>
      </c>
    </row>
    <row r="174">
      <c r="A174" t="inlineStr">
        <is>
          <t>crate</t>
        </is>
      </c>
      <c r="B174" t="inlineStr">
        <is>
          <t>server/src/testFixtures/java/io/crate/execution/engine/sort/IgnoreRowCellsAccounting.java</t>
        </is>
      </c>
      <c r="C174">
        <f>HYPERLINK("https://github.com/crate/crate/blob/master/server/src/testFixtures/java/io/crate/execution/engine/sort/IgnoreRowCellsAccounting.java")</f>
        <v/>
      </c>
      <c r="D174" t="inlineStr">
        <is>
          <t>This code appears to be a Java implementation of various algorithms used in a web application's backend. The code has been commented extensively, but it does not provide any clear documentation about its purpose or usage. It also includes several third-party libraries that are not specified in the README file.
The code seems to implement some basic data structures such as linked lists and trees,</t>
        </is>
      </c>
      <c r="E174" t="n">
        <v>0.0033</v>
      </c>
      <c r="F174" t="n">
        <v>0.08</v>
      </c>
      <c r="G174" t="n">
        <v>0.146</v>
      </c>
      <c r="H174" t="inlineStr">
        <is>
          <t>This code appears to be a collection of backend software components that implement various algorithms. The complexity of the code is O(N), where N represents the size of the input data. The code includes comments explaining the implementation details and the purpose of each algorithm. There have been several commits made to the codebase since its initial creation, and it has a total code size of approximately 100</t>
        </is>
      </c>
      <c r="I174" t="n">
        <v>0.0035</v>
      </c>
      <c r="J174" t="n">
        <v>0.1039</v>
      </c>
      <c r="K174" t="n">
        <v>0.1429</v>
      </c>
      <c r="L174" t="inlineStr">
        <is>
          <t>The provided code implements a system that processes data from various sources and performs calculations based on the input data. The system uses a combination of algorithms and techniques to analyze the data and provide insights. The output of the system includes visualizations and reports that can be used to understand the data better.</t>
        </is>
      </c>
      <c r="M174" t="n">
        <v>0.004</v>
      </c>
      <c r="N174" t="n">
        <v>0.0645</v>
      </c>
      <c r="O174" t="n">
        <v>0.119</v>
      </c>
    </row>
    <row r="175">
      <c r="A175" t="inlineStr">
        <is>
          <t>crate</t>
        </is>
      </c>
      <c r="B175" t="inlineStr">
        <is>
          <t>server/src/testFixtures/java/io/crate/execution/engine/window/AbstractWindowFunctionTest.java</t>
        </is>
      </c>
      <c r="C175">
        <f>HYPERLINK("https://github.com/crate/crate/blob/master/server/src/testFixtures/java/io/crate/execution/engine/window/AbstractWindowFunctionTest.java")</f>
        <v/>
      </c>
      <c r="D175" t="inlineStr">
        <is>
          <t>This code appears to be a Java implementation of various algorithms used in a backend system. It includes comments explaining the purpose of each algorithm and the complexity of their implementations. The code size is approximately 1000 lines long.</t>
        </is>
      </c>
      <c r="E175" t="n">
        <v>0.0056</v>
      </c>
      <c r="F175" t="n">
        <v>0.1277</v>
      </c>
      <c r="G175" t="n">
        <v>0.1802</v>
      </c>
      <c r="H175" t="inlineStr">
        <is>
          <t>This code appears to be a Java implementation of a web application's backend, specifically the server-side logic that handles requests and responses. The code includes several classes, each representing a different component of the application, such as controllers, services, repositories, etc.
The main class, `App`, appears to be the entry point of the application, responsible for setting up the necessary dependencies</t>
        </is>
      </c>
      <c r="I175" t="n">
        <v>0.0036</v>
      </c>
      <c r="J175" t="n">
        <v>0.08450000000000001</v>
      </c>
      <c r="K175" t="n">
        <v>0.1128</v>
      </c>
      <c r="L175" t="inlineStr">
        <is>
          <t>The provided code implements a system that processes data from various sources and performs computations using core algorithms. It has a complexity of O(N) and uses existing comments to explain its implementation. The code was initially committed as part of a larger project and serves as the basis for the current repository's backend software components.</t>
        </is>
      </c>
      <c r="M175" t="n">
        <v>0.0047</v>
      </c>
      <c r="N175" t="n">
        <v>0.09229999999999999</v>
      </c>
      <c r="O175" t="n">
        <v>0.1969</v>
      </c>
    </row>
    <row r="176">
      <c r="A176" t="inlineStr">
        <is>
          <t>crate</t>
        </is>
      </c>
      <c r="B176" t="inlineStr">
        <is>
          <t>server/src/testFixtures/java/io/crate/execution/engine/window/IgnoreRowAccounting.java</t>
        </is>
      </c>
      <c r="C176">
        <f>HYPERLINK("https://github.com/crate/crate/blob/master/server/src/testFixtures/java/io/crate/execution/engine/window/IgnoreRowAccounting.java")</f>
        <v/>
      </c>
      <c r="D176" t="inlineStr">
        <is>
          <t>This code appears to be a collection of backend software components that implement various algorithms. The complexity of the code is O(N), where N represents the number of elements being processed. There are no comments in the code itself, but there is a README file that provides some context about the purpose of the code and its structure. The initial commit was made with the entire codebase, which</t>
        </is>
      </c>
      <c r="E176" t="n">
        <v>0.0035</v>
      </c>
      <c r="F176" t="n">
        <v>0.1039</v>
      </c>
      <c r="G176" t="n">
        <v>0.1429</v>
      </c>
      <c r="H176" t="inlineStr">
        <is>
          <t>This code appears to be a Java implementation of a backend system that includes various features such as data storage, processing, and analysis. The code is well-documented, including comments and a README file that provides an overview of the project's purpose and goals. The complexity of the code is estimated to be O(N), where N represents the number of input parameters. The</t>
        </is>
      </c>
      <c r="I176" t="n">
        <v>0.0035</v>
      </c>
      <c r="J176" t="n">
        <v>0.0822</v>
      </c>
      <c r="K176" t="n">
        <v>0.1119</v>
      </c>
      <c r="L176" t="inlineStr">
        <is>
          <t>The provided code implements a system that processes data from various sources and stores it in a database. It uses a combination of algorithms and techniques to ensure efficient processing and storage of the data. The code is written in Java and makes use of several third-party libraries, including Apache Commons and Guava. The overall complexity of the code is O(N), where N represents the number of input records</t>
        </is>
      </c>
      <c r="M176" t="n">
        <v>0.0031</v>
      </c>
      <c r="N176" t="n">
        <v>0.0506</v>
      </c>
      <c r="O176" t="n">
        <v>0.1064</v>
      </c>
    </row>
    <row r="177">
      <c r="A177" t="inlineStr">
        <is>
          <t>crate</t>
        </is>
      </c>
      <c r="B177" t="inlineStr">
        <is>
          <t>server/src/testFixtures/java/io/crate/operation/aggregation/AggregationTestCase.java</t>
        </is>
      </c>
      <c r="C177">
        <f>HYPERLINK("https://github.com/crate/crate/blob/master/server/src/testFixtures/java/io/crate/operation/aggregation/AggregationTestCase.java")</f>
        <v/>
      </c>
      <c r="D177" t="inlineStr">
        <is>
          <t>The provided code appears to be a Java implementation of a backend system's core algorithms. It includes a README file that describes the purpose of the repository and provides some basic information about the complexity and size of the codebase. The comments within the code provide further details about the implementation of certain features or functions. There are also several commits listed, indicating that the code has been modified over</t>
        </is>
      </c>
      <c r="E177" t="n">
        <v>0.0031</v>
      </c>
      <c r="F177" t="n">
        <v>0.0759</v>
      </c>
      <c r="G177" t="n">
        <v>0.1056</v>
      </c>
      <c r="H177" t="inlineStr">
        <is>
          <t>This code appears to be a Java library containing various utility classes and methods for implementing common algorithms used in software development. The code is well-documented and includes comments throughout the codebase explaining the purpose and implementation of each method. The complexity of the code is O(N), where N is the size of the input data. The code has been committed once and the total number of lines of</t>
        </is>
      </c>
      <c r="I177" t="n">
        <v>0.0035</v>
      </c>
      <c r="J177" t="n">
        <v>0.1013</v>
      </c>
      <c r="K177" t="n">
        <v>0.1773</v>
      </c>
      <c r="L177" t="inlineStr">
        <is>
          <t>The provided code implements the core algorithms for a web application's backend. It handles user authentication, data storage, and query processing. The code has a complexity of O(N), based on existing comments and commit messages. The repository contains several files related to the backend, including this one.</t>
        </is>
      </c>
      <c r="M177" t="n">
        <v>0.0051</v>
      </c>
      <c r="N177" t="n">
        <v>0.1053</v>
      </c>
      <c r="O177" t="n">
        <v>0.1681</v>
      </c>
    </row>
    <row r="178">
      <c r="A178" t="inlineStr">
        <is>
          <t>crate</t>
        </is>
      </c>
      <c r="B178" t="inlineStr">
        <is>
          <t>server/src/testFixtures/java/io/crate/analyze/TableDefinitions.java</t>
        </is>
      </c>
      <c r="C178">
        <f>HYPERLINK("https://github.com/crate/crate/blob/master/server/src/testFixtures/java/io/crate/analyze/TableDefinitions.java")</f>
        <v/>
      </c>
      <c r="D178" t="inlineStr">
        <is>
          <t>The provided code appears to be a Java implementation of various algorithms used in the development of a web application's backend. The code includes comments that describe the purpose and complexity of each algorithm, as well as the commits made to the project and the size of the codebase. No errors or bugs were detected during the analysis.</t>
        </is>
      </c>
      <c r="E178" t="n">
        <v>0.0031</v>
      </c>
      <c r="F178" t="n">
        <v>0.0597</v>
      </c>
      <c r="G178" t="n">
        <v>0.1154</v>
      </c>
      <c r="H178" t="inlineStr">
        <is>
          <t>This code appears to be a backend application written in Java that implements various algorithms related to data processing and analysis. The code is licensed under the Apache License 2.0, which allows for redistribution and modification as long as certain conditions are met. The code has been committed once, and it consists of approximately 1000 lines of code.
The README</t>
        </is>
      </c>
      <c r="I178" t="n">
        <v>0.004</v>
      </c>
      <c r="J178" t="n">
        <v>0.08699999999999999</v>
      </c>
      <c r="K178" t="n">
        <v>0.1136</v>
      </c>
      <c r="L178" t="inlineStr">
        <is>
          <t>The provided code implements a system that processes data from various sources and generates insights based on those data. It appears to be a backend component responsible for handling large amounts of data and providing meaningful results.</t>
        </is>
      </c>
      <c r="M178" t="n">
        <v>0.006</v>
      </c>
      <c r="N178" t="n">
        <v>0.08890000000000001</v>
      </c>
      <c r="O178" t="n">
        <v>0.0917</v>
      </c>
    </row>
    <row r="179">
      <c r="A179" t="inlineStr">
        <is>
          <t>crate</t>
        </is>
      </c>
      <c r="B179" t="inlineStr">
        <is>
          <t>server/src/testFixtures/java/io/crate/expression/symbol/ParameterBinder.java</t>
        </is>
      </c>
      <c r="C179">
        <f>HYPERLINK("https://github.com/crate/crate/blob/master/server/src/testFixtures/java/io/crate/expression/symbol/ParameterBinder.java")</f>
        <v/>
      </c>
      <c r="D179" t="inlineStr">
        <is>
          <t>This code appears to be a Java program that implements various algorithms related to data processing and analysis. The program uses O(N) complexity, where N is the size of the input dataset. It includes comments explaining the implementation of the algorithms and provides a README file with further details about the project's goals and scope. The initial codebase was committed to the repository. The total code</t>
        </is>
      </c>
      <c r="E179" t="n">
        <v>0.0036</v>
      </c>
      <c r="F179" t="n">
        <v>0.0789</v>
      </c>
      <c r="G179" t="n">
        <v>0.1449</v>
      </c>
      <c r="H179" t="inlineStr">
        <is>
          <t>This code appears to be a collection of backend software components that implement various algorithms. The code size is approximately 1000 lines, and it has been committed once. It also includes a README file that describes the purpose of the repository and provides some basic information about the complexity of the code. Additionally, there are comments throughout the code that provide further explanation of the implementation details.</t>
        </is>
      </c>
      <c r="I179" t="n">
        <v>0.0036</v>
      </c>
      <c r="J179" t="n">
        <v>0.1067</v>
      </c>
      <c r="K179" t="n">
        <v>0.1439</v>
      </c>
      <c r="L179" t="inlineStr">
        <is>
          <t>The provided code implements a system that processes data from various sources and aggregates them into a single dataset for analysis. It uses a combination of machine learning algorithms and statistical techniques to identify patterns and trends in the data, and provides insights into the underlying relationships between different variables. The system also includes features such as data visualization tools and user-friendly interfaces to facilitate exploration and</t>
        </is>
      </c>
      <c r="M179" t="n">
        <v>0.0032</v>
      </c>
      <c r="N179" t="n">
        <v>0.0526</v>
      </c>
      <c r="O179" t="n">
        <v>0.1079</v>
      </c>
    </row>
    <row r="180">
      <c r="A180" t="inlineStr">
        <is>
          <t>crate</t>
        </is>
      </c>
      <c r="B180" t="inlineStr">
        <is>
          <t>server/src/testFixtures/java/io/crate/expression/scalar/ScalarTestCase.java</t>
        </is>
      </c>
      <c r="C180">
        <f>HYPERLINK("https://github.com/crate/crate/blob/master/server/src/testFixtures/java/io/crate/expression/scalar/ScalarTestCase.java")</f>
        <v/>
      </c>
      <c r="D180" t="inlineStr">
        <is>
          <t>This code appears to be a Java implementation of various core algorithms used in the development of a web application. The code is well-documented and includes comments explaining its purpose and complexity. It also includes a README file that provides an overview of the project's goals and structure.
The code has been committed once, and it consists of approximately 1000 lines</t>
        </is>
      </c>
      <c r="E180" t="n">
        <v>0.0039</v>
      </c>
      <c r="F180" t="n">
        <v>0.1127</v>
      </c>
      <c r="G180" t="n">
        <v>0.188</v>
      </c>
      <c r="H180" t="inlineStr">
        <is>
          <t>This code appears to be a collection of backend software components that implement various algorithms. The code is written in Java and uses the Apache License v2.0. It has been committed to version control and includes a README file with further details about its purpose and usage. The complexity of the code is estimated to be O(N), where N is the size of the input data set.</t>
        </is>
      </c>
      <c r="I180" t="n">
        <v>0.0036</v>
      </c>
      <c r="J180" t="n">
        <v>0.1039</v>
      </c>
      <c r="K180" t="n">
        <v>0.1799</v>
      </c>
      <c r="L180" t="inlineStr">
        <is>
          <t>The provided code implements a system that processes data from various sources and stores them in a database. It uses a combination of algorithms and techniques to ensure efficient processing and storage of large amounts of data. The code also includes comments and documentation to help developers understand the implementation and usage of the system.</t>
        </is>
      </c>
      <c r="M180" t="n">
        <v>0.004</v>
      </c>
      <c r="N180" t="n">
        <v>0.0635</v>
      </c>
      <c r="O180" t="n">
        <v>0.1181</v>
      </c>
    </row>
    <row r="181">
      <c r="A181" t="inlineStr">
        <is>
          <t>crate</t>
        </is>
      </c>
      <c r="B181" t="inlineStr">
        <is>
          <t>server/src/testFixtures/java/io/crate/types/DataTypeTestCase.java</t>
        </is>
      </c>
      <c r="C181">
        <f>HYPERLINK("https://github.com/crate/crate/blob/master/server/src/testFixtures/java/io/crate/types/DataTypeTestCase.java")</f>
        <v/>
      </c>
      <c r="D181" t="inlineStr">
        <is>
          <t>This code appears to be a Java implementation of some kind of algorithm or data structure. It includes comments that describe the purpose of the code, its complexity, and the commits made to it. The code size is also mentioned as being relatively small, at around 1000 lines. Overall, this seems like a well-structured piece of code that could be useful for implementing various</t>
        </is>
      </c>
      <c r="E181" t="n">
        <v>0.0034</v>
      </c>
      <c r="F181" t="n">
        <v>0.0822</v>
      </c>
      <c r="G181" t="n">
        <v>0.1471</v>
      </c>
      <c r="H181" t="inlineStr">
        <is>
          <t>This code appears to be a Java implementation of a web application's backend. It includes several classes that define different types of data structures, such as `User`, `Product`, and `Order`. There are also several methods that implement various business logic, such as creating new orders, updating order statuses, and calculating discounts. The code also includes comments explaining the purpose of each class</t>
        </is>
      </c>
      <c r="I181" t="n">
        <v>0.0035</v>
      </c>
      <c r="J181" t="n">
        <v>0.1127</v>
      </c>
      <c r="K181" t="n">
        <v>0.1119</v>
      </c>
      <c r="L181" t="inlineStr">
        <is>
          <t>The provided code implements a system that processes data from various sources and stores it in a database. It uses a combination of algorithms and techniques to perform real-time data processing and analysis. The code has been optimized for performance using techniques such as caching and parallelization, making it suitable for handling large amounts of data.</t>
        </is>
      </c>
      <c r="M181" t="n">
        <v>0.0039</v>
      </c>
      <c r="N181" t="n">
        <v>0.0615</v>
      </c>
      <c r="O181" t="n">
        <v>0.1172</v>
      </c>
    </row>
    <row r="182">
      <c r="A182" t="inlineStr">
        <is>
          <t>crate</t>
        </is>
      </c>
      <c r="B182" t="inlineStr">
        <is>
          <t>server/src/testFixtures/java/io/crate/role/StubRoleManager.java</t>
        </is>
      </c>
      <c r="C182">
        <f>HYPERLINK("https://github.com/crate/crate/blob/master/server/src/testFixtures/java/io/crate/role/StubRoleManager.java")</f>
        <v/>
      </c>
      <c r="D182" t="inlineStr">
        <is>
          <t>This code appears to be part of a web application's backend, specifically its server-side logic. It includes several modules that implement various algorithms, such as sorting and searching. The code also includes comments describing the purpose of each module and the complexity of their implementation. The code size is relatively small, indicating that it may be a simple or lightweight implementation. Overall, the code seems</t>
        </is>
      </c>
      <c r="E182" t="n">
        <v>0.004</v>
      </c>
      <c r="F182" t="n">
        <v>0.1067</v>
      </c>
      <c r="G182" t="n">
        <v>0.219</v>
      </c>
      <c r="H182" t="inlineStr">
        <is>
          <t>The provided code appears to be a Java implementation of a web application's backend logic. It includes comments that explain the purpose of each class and method, as well as documentation about the project's architecture and development process. The code also includes a README file that provides an overview of the project's goals, structure, and development roadmap.
The main functionalities</t>
        </is>
      </c>
      <c r="I182" t="n">
        <v>0.0036</v>
      </c>
      <c r="J182" t="n">
        <v>0.0563</v>
      </c>
      <c r="K182" t="n">
        <v>0.1515</v>
      </c>
      <c r="L182" t="inlineStr">
        <is>
          <t>The provided code implements a web application that allows users to create, edit, and delete notes. It uses a RESTful API to handle requests and responses, and includes features such as authentication and authorization. The code is written in JavaScript using the Express framework and the MongoDB database.</t>
        </is>
      </c>
      <c r="M182" t="n">
        <v>0.0045</v>
      </c>
      <c r="N182" t="n">
        <v>0.07140000000000001</v>
      </c>
      <c r="O182" t="n">
        <v>0.125</v>
      </c>
    </row>
    <row r="183">
      <c r="A183" t="inlineStr">
        <is>
          <t>crate</t>
        </is>
      </c>
      <c r="B183" t="inlineStr">
        <is>
          <t>server/src/testFixtures/java/io/crate/testing/SQLAssert.java</t>
        </is>
      </c>
      <c r="C183">
        <f>HYPERLINK("https://github.com/crate/crate/blob/master/server/src/testFixtures/java/io/crate/testing/SQLAssert.java")</f>
        <v/>
      </c>
      <c r="D183" t="inlineStr">
        <is>
          <t>The code implements various algorithms used in the development of backend software applications. It has an O(N) complexity and includes comments describing the implementation details. The code was initially committed and has since been modified. Its size is approximately 1000 lines.</t>
        </is>
      </c>
      <c r="E183" t="n">
        <v>0.0059</v>
      </c>
      <c r="F183" t="n">
        <v>0.12</v>
      </c>
      <c r="G183" t="n">
        <v>0.177</v>
      </c>
      <c r="H183" t="inlineStr">
        <is>
          <t>This code appears to be a Java implementation of a software system that includes various components for handling data processing tasks. The code is well-documented, with comments explaining the purpose of each class and method. The README file provides an overview of the project's goals and objectives, as well as instructions for building and running the application.
The code itself consists of several</t>
        </is>
      </c>
      <c r="I183" t="n">
        <v>0.0038</v>
      </c>
      <c r="J183" t="n">
        <v>0.0822</v>
      </c>
      <c r="K183" t="n">
        <v>0.1852</v>
      </c>
      <c r="L183" t="inlineStr">
        <is>
          <t>The provided code implements a system that processes data from various sources and stores it in a database. It uses a combination of existing comments, contextual information, and analysis of the code's complexity to determine its main purpose and functionality.</t>
        </is>
      </c>
      <c r="M183" t="n">
        <v>0.0055</v>
      </c>
      <c r="N183" t="n">
        <v>0.08160000000000001</v>
      </c>
      <c r="O183" t="n">
        <v>0.1339</v>
      </c>
    </row>
    <row r="184">
      <c r="A184" t="inlineStr">
        <is>
          <t>crate</t>
        </is>
      </c>
      <c r="B184" t="inlineStr">
        <is>
          <t>server/src/testFixtures/java/io/crate/testing/SymbolsAssert.java</t>
        </is>
      </c>
      <c r="C184">
        <f>HYPERLINK("https://github.com/crate/crate/blob/master/server/src/testFixtures/java/io/crate/testing/SymbolsAssert.java")</f>
        <v/>
      </c>
      <c r="D184" t="inlineStr">
        <is>
          <t>The code implements various algorithms used in the development of a backend system. It appears to be written in Java and uses the Apache License version 2.0. The code has been committed once and has a size of approximately 1000 lines. The complexity of the code is O(N), which means that its performance increases linearly with the input size N. There are comments throughout</t>
        </is>
      </c>
      <c r="E184" t="n">
        <v>0.0034</v>
      </c>
      <c r="F184" t="n">
        <v>0.0541</v>
      </c>
      <c r="G184" t="n">
        <v>0.1103</v>
      </c>
      <c r="H184" t="inlineStr">
        <is>
          <t>This repository contains backend software components that implement core algorithms. The complexity of the code is O(N), where N represents the number of elements being processed. The code has been committed once, resulting in a total of 1000 lines of code.</t>
        </is>
      </c>
      <c r="I184" t="n">
        <v>0.0059</v>
      </c>
      <c r="J184" t="n">
        <v>0.16</v>
      </c>
      <c r="K184" t="n">
        <v>0.2793</v>
      </c>
      <c r="L184" t="inlineStr">
        <is>
          <t>The provided code implements a system that allows users to search through a database of documents using natural language queries. It uses a combination of machine learning models and rule-based systems to understand the intent behind the user's query and return relevant results. The system has been designed to be scalable and efficient, allowing it to handle large volumes of data and provide fast response times.</t>
        </is>
      </c>
      <c r="M184" t="n">
        <v>0.0033</v>
      </c>
      <c r="N184" t="n">
        <v>0.0526</v>
      </c>
      <c r="O184" t="n">
        <v>0.1087</v>
      </c>
    </row>
    <row r="185">
      <c r="A185" t="inlineStr">
        <is>
          <t>crate</t>
        </is>
      </c>
      <c r="B185" t="inlineStr">
        <is>
          <t>server/src/testFixtures/java/io/crate/testing/DataTypeTesting.java</t>
        </is>
      </c>
      <c r="C185">
        <f>HYPERLINK("https://github.com/crate/crate/blob/master/server/src/testFixtures/java/io/crate/testing/DataTypeTesting.java")</f>
        <v/>
      </c>
      <c r="D185" t="inlineStr">
        <is>
          <t>This code appears to be a Java implementation of a backend system's core algorithms. It includes comments explaining the purpose of each class and method, as well as a README that provides an overview of the project's structure and complexity. The code size is approximately 1000 lines long, which suggests that it may contain several complex algorithms or data structures. Overall,</t>
        </is>
      </c>
      <c r="E185" t="n">
        <v>0.0039</v>
      </c>
      <c r="F185" t="n">
        <v>0.1127</v>
      </c>
      <c r="G185" t="n">
        <v>0.1504</v>
      </c>
      <c r="H185" t="inlineStr">
        <is>
          <t>This code appears to be a collection of backend software components that implement various algorithms. The code has been written in Java and is licensed under the Apache License 2.0, which allows for its use, modification, and distribution subject to certain conditions.
The code consists of several files, including a README file that provides an overview of the project's purpose and structure</t>
        </is>
      </c>
      <c r="I185" t="n">
        <v>0.0039</v>
      </c>
      <c r="J185" t="n">
        <v>0.1111</v>
      </c>
      <c r="K185" t="n">
        <v>0.1493</v>
      </c>
      <c r="L185" t="inlineStr">
        <is>
          <t>The provided code implements a system that processes data from various sources and stores it in a database for analysis. It uses a combination of algorithms and techniques to ensure efficient processing and accuracy. The code has been optimized for performance using techniques such as caching and parallelization, and it includes comments and documentation to help developers understand the implementation and usage.</t>
        </is>
      </c>
      <c r="M185" t="n">
        <v>0.0035</v>
      </c>
      <c r="N185" t="n">
        <v>0.0571</v>
      </c>
      <c r="O185" t="n">
        <v>0.1119</v>
      </c>
    </row>
    <row r="186">
      <c r="A186" t="inlineStr">
        <is>
          <t>crate</t>
        </is>
      </c>
      <c r="B186" t="inlineStr">
        <is>
          <t>server/src/testFixtures/java/io/crate/testing/ParsedDocumentAssert.java</t>
        </is>
      </c>
      <c r="C186">
        <f>HYPERLINK("https://github.com/crate/crate/blob/master/server/src/testFixtures/java/io/crate/testing/ParsedDocumentAssert.java")</f>
        <v/>
      </c>
      <c r="D186" t="inlineStr">
        <is>
          <t>This code implements various algorithms used in the development of backend software. The complexity of the code is O(N), where N represents the number of elements being processed. The code includes comments that explain its implementation and provide details about the algorithms used. There are also commits associated with this code, indicating when changes were made. Finally, the size of the code is approximately 1000 lines</t>
        </is>
      </c>
      <c r="E186" t="n">
        <v>0.0036</v>
      </c>
      <c r="F186" t="n">
        <v>0.1067</v>
      </c>
      <c r="G186" t="n">
        <v>0.1449</v>
      </c>
      <c r="H186" t="inlineStr">
        <is>
          <t>This code implements a set of backend software components that perform various tasks related to data processing and analysis. The code has been written in a modular fashion, with each component having its own dedicated function. The code also includes documentation and comments to help developers understand how the different parts fit together and what they do.
The complexity of the code is O(N), which means that it grows</t>
        </is>
      </c>
      <c r="I186" t="n">
        <v>0.0037</v>
      </c>
      <c r="J186" t="n">
        <v>0.1026</v>
      </c>
      <c r="K186" t="n">
        <v>0.1773</v>
      </c>
      <c r="L186" t="inlineStr">
        <is>
          <t>The provided code implements a system that allows users to search through a large dataset of products. It uses a combination of natural language processing and machine learning techniques to provide accurate and efficient search results. The system also includes features such as faceted search, filtering, and sorting, making it easy for users to find the products they need quickly and easily.</t>
        </is>
      </c>
      <c r="M186" t="n">
        <v>0.0035</v>
      </c>
      <c r="N186" t="n">
        <v>0.0571</v>
      </c>
      <c r="O186" t="n">
        <v>0.1119</v>
      </c>
    </row>
    <row r="187">
      <c r="A187" t="inlineStr">
        <is>
          <t>crate</t>
        </is>
      </c>
      <c r="B187" t="inlineStr">
        <is>
          <t>server/src/testFixtures/java/io/crate/testing/RetryRule.java</t>
        </is>
      </c>
      <c r="C187">
        <f>HYPERLINK("https://github.com/crate/crate/blob/master/server/src/testFixtures/java/io/crate/testing/RetryRule.java")</f>
        <v/>
      </c>
      <c r="D187" t="inlineStr">
        <is>
          <t>This code appears to be a Java implementation of various algorithms used in the development of a web application's back end. The code is well-documented and includes comments explaining its purpose and complexity. It also includes a README file that provides an overview of the project and its goals.
The code size is relatively small, with around 1000 lines of code</t>
        </is>
      </c>
      <c r="E187" t="n">
        <v>0.0036</v>
      </c>
      <c r="F187" t="n">
        <v>0.08450000000000001</v>
      </c>
      <c r="G187" t="n">
        <v>0.1504</v>
      </c>
      <c r="H187" t="inlineStr">
        <is>
          <t>This repository contains backend software components that implement core algorithms. The complexity of the code is O(N), where N is the size of the input data. The code has been committed once, resulting in a total of 1000 lines of code.</t>
        </is>
      </c>
      <c r="I187" t="n">
        <v>0.0059</v>
      </c>
      <c r="J187" t="n">
        <v>0.16</v>
      </c>
      <c r="K187" t="n">
        <v>0.2793</v>
      </c>
      <c r="L187" t="inlineStr">
        <is>
          <t>The provided code implements the core algorithms for a backend software system. It has a complexity of O(N) and includes existing comments that explain its implementation. The code size is approximately 1000 lines long. Its primary purpose is to perform various operations and manage user data.</t>
        </is>
      </c>
      <c r="M187" t="n">
        <v>0.0057</v>
      </c>
      <c r="N187" t="n">
        <v>0.1091</v>
      </c>
      <c r="O187" t="n">
        <v>0.1695</v>
      </c>
    </row>
    <row r="188">
      <c r="A188" t="inlineStr">
        <is>
          <t>crate</t>
        </is>
      </c>
      <c r="B188" t="inlineStr">
        <is>
          <t>server/src/testFixtures/java/io/crate/testing/IndexEnv.java</t>
        </is>
      </c>
      <c r="C188">
        <f>HYPERLINK("https://github.com/crate/crate/blob/master/server/src/testFixtures/java/io/crate/testing/IndexEnv.java")</f>
        <v/>
      </c>
      <c r="D188" t="inlineStr">
        <is>
          <t>The provided code appears to be a Java implementation of a backend system that handles various tasks such as data processing and analysis. It uses O(N) complexity and has comments explaining its implementation and purpose. The code size is approximately 1000 lines long.</t>
        </is>
      </c>
      <c r="E188" t="n">
        <v>0.0043</v>
      </c>
      <c r="F188" t="n">
        <v>0.0769</v>
      </c>
      <c r="G188" t="n">
        <v>0.1304</v>
      </c>
      <c r="H188" t="inlineStr">
        <is>
          <t>This code appears to be a Java implementation of a web application's backend. It includes several files related to the project's architecture, including a README file that describes the purpose of the repository and its contents. The code also includes comments describing the implementation of various algorithms used in the project. Additionally, there are commits listed in the README file, indicating that the code has</t>
        </is>
      </c>
      <c r="I188" t="n">
        <v>0.0033</v>
      </c>
      <c r="J188" t="n">
        <v>0.08</v>
      </c>
      <c r="K188" t="n">
        <v>0.146</v>
      </c>
      <c r="L188" t="inlineStr">
        <is>
          <t>The provided code implements a web application that allows users to create, edit, and delete notes. It utilizes a RESTful API and uses a MongoDB database as its data storage solution. The code has been optimized for performance using techniques such as caching and lazy loading.</t>
        </is>
      </c>
      <c r="M188" t="n">
        <v>0.0048</v>
      </c>
      <c r="N188" t="n">
        <v>0.0741</v>
      </c>
      <c r="O188" t="n">
        <v>0.1271</v>
      </c>
    </row>
    <row r="189">
      <c r="A189" t="inlineStr">
        <is>
          <t>crate</t>
        </is>
      </c>
      <c r="B189" t="inlineStr">
        <is>
          <t>server/src/testFixtures/java/io/crate/testing/QueryTester.java</t>
        </is>
      </c>
      <c r="C189">
        <f>HYPERLINK("https://github.com/crate/crate/blob/master/server/src/testFixtures/java/io/crate/testing/QueryTester.java")</f>
        <v/>
      </c>
      <c r="D189" t="inlineStr">
        <is>
          <t>The provided code appears to be a Java implementation of various algorithms used in the development of a web application's backend. The code includes comments explaining the purpose and complexity of each algorithm, as well as a README file that provides an overview of the project's goals and structure. The code size is approximately 1000 lines long.</t>
        </is>
      </c>
      <c r="E189" t="n">
        <v>0.0032</v>
      </c>
      <c r="F189" t="n">
        <v>0.0597</v>
      </c>
      <c r="G189" t="n">
        <v>0.1163</v>
      </c>
      <c r="H189" t="inlineStr">
        <is>
          <t>This code appears to be a collection of backend software components that implement various algorithms. The code is written in Java and uses the Apache License 2.0. It has been committed once and has a code size of 1000 lines. The README file provides a brief description of the project's purpose and its complexity as O(N). There are also comments throughout the</t>
        </is>
      </c>
      <c r="I189" t="n">
        <v>0.0039</v>
      </c>
      <c r="J189" t="n">
        <v>0.1096</v>
      </c>
      <c r="K189" t="n">
        <v>0.1866</v>
      </c>
      <c r="L189" t="inlineStr">
        <is>
          <t>The provided code implements a system that allows users to search through a database of documents based on their content. It uses natural language processing techniques to tokenize and stem words, and then stores them in inverted indices for efficient searching. The code also includes a scoring function that calculates the relevance of each document to a given query, allowing the user to sort and filter results based on their prefer</t>
        </is>
      </c>
      <c r="M189" t="n">
        <v>0.003</v>
      </c>
      <c r="N189" t="n">
        <v>0.0759</v>
      </c>
      <c r="O189" t="n">
        <v>0.1049</v>
      </c>
    </row>
    <row r="190">
      <c r="A190" t="inlineStr">
        <is>
          <t>crate</t>
        </is>
      </c>
      <c r="B190" t="inlineStr">
        <is>
          <t>server/src/testFixtures/java/io/crate/testing/Asserts.java</t>
        </is>
      </c>
      <c r="C190">
        <f>HYPERLINK("https://github.com/crate/crate/blob/master/server/src/testFixtures/java/io/crate/testing/Asserts.java")</f>
        <v/>
      </c>
      <c r="D190" t="inlineStr">
        <is>
          <t>The code implements various backend software components related to data processing and analysis. It appears to be written in Java and uses the Apache License v2.0. The code has been committed once and has a size of approximately 1000 lines. The complexity of the code is O(N), where N is the number of elements being processed. The code includes comments explaining its implementation and purpose</t>
        </is>
      </c>
      <c r="E190" t="n">
        <v>0.0037</v>
      </c>
      <c r="F190" t="n">
        <v>0.08</v>
      </c>
      <c r="G190" t="n">
        <v>0.146</v>
      </c>
      <c r="H190" t="inlineStr">
        <is>
          <t>This code appears to be a Java library containing various classes and methods that implement core algorithms used in a backend system. The code has been licensed under the Apache License 2.0, which allows users to use it freely as long as they follow certain conditions. The code also includes comments explaining the purpose and functionality of each class and method. The complexity of the code is estimated to be O</t>
        </is>
      </c>
      <c r="I190" t="n">
        <v>0.0036</v>
      </c>
      <c r="J190" t="n">
        <v>0.125</v>
      </c>
      <c r="K190" t="n">
        <v>0.2601</v>
      </c>
      <c r="L190" t="inlineStr">
        <is>
          <t>The provided code implements a web application that allows users to create and manage their own blog posts. It uses a RESTful API to handle HTTP requests and responses, and utilizes a database to store user data and blog post content. The code also includes features such as authentication and authorization, error handling, and performance optimization.</t>
        </is>
      </c>
      <c r="M190" t="n">
        <v>0.0039</v>
      </c>
      <c r="N190" t="n">
        <v>0.0625</v>
      </c>
      <c r="O190" t="n">
        <v>0.1172</v>
      </c>
    </row>
    <row r="191">
      <c r="A191" t="inlineStr">
        <is>
          <t>crate</t>
        </is>
      </c>
      <c r="B191" t="inlineStr">
        <is>
          <t>server/src/testFixtures/java/io/crate/testing/UseRandomizedSchema.java</t>
        </is>
      </c>
      <c r="C191">
        <f>HYPERLINK("https://github.com/crate/crate/blob/master/server/src/testFixtures/java/io/crate/testing/UseRandomizedSchema.java")</f>
        <v/>
      </c>
      <c r="D191" t="inlineStr">
        <is>
          <t>The provided code appears to be a Java implementation of various algorithms used in a web application's backend. It includes comments explaining the purpose of each class and method, as well as a README file that provides an overview of the project's structure and complexity. The code size is approximately 1000 lines, and it has been committed once.</t>
        </is>
      </c>
      <c r="E191" t="n">
        <v>0.0031</v>
      </c>
      <c r="F191" t="n">
        <v>0.0588</v>
      </c>
      <c r="G191" t="n">
        <v>0.1154</v>
      </c>
      <c r="H191" t="inlineStr">
        <is>
          <t>This code appears to be a collection of backend software components that implement various algorithms. The complexity of the code is O(N), where N is the size of the input data. The code has been commented extensively, providing detailed explanations of each algorithm's implementation. There have been several commits made to the codebase, indicating regular updates and refinement over time. The total size</t>
        </is>
      </c>
      <c r="I191" t="n">
        <v>0.0038</v>
      </c>
      <c r="J191" t="n">
        <v>0.1096</v>
      </c>
      <c r="K191" t="n">
        <v>0.1481</v>
      </c>
      <c r="L191" t="inlineStr">
        <is>
          <t>The provided code implements various functions related to data processing and analysis. It appears to be part of a larger system that handles backend software components. The code is written in Java and uses the Apache License v2.0. The primary purpose of the code seems to be implementing core algorithms for data manipulation and analysis.</t>
        </is>
      </c>
      <c r="M191" t="n">
        <v>0.0047</v>
      </c>
      <c r="N191" t="n">
        <v>0.125</v>
      </c>
      <c r="O191" t="n">
        <v>0.1969</v>
      </c>
    </row>
    <row r="192">
      <c r="A192" t="inlineStr">
        <is>
          <t>crate</t>
        </is>
      </c>
      <c r="B192" t="inlineStr">
        <is>
          <t>server/src/testFixtures/java/io/crate/testing/PlainRamAccounting.java</t>
        </is>
      </c>
      <c r="C192">
        <f>HYPERLINK("https://github.com/crate/crate/blob/master/server/src/testFixtures/java/io/crate/testing/PlainRamAccounting.java")</f>
        <v/>
      </c>
      <c r="D192" t="inlineStr">
        <is>
          <t>This code appears to be a Java implementation of various algorithms related to sorting and searching data structures. The code is well-documented and includes comments explaining the purpose and complexity of each algorithm implemented. The code also includes a README file that describes the overall structure and organization of the project, as well as any notable features or challenges that were encountered during development. Overall, it seems</t>
        </is>
      </c>
      <c r="E192" t="n">
        <v>0.0032</v>
      </c>
      <c r="F192" t="n">
        <v>0.0789</v>
      </c>
      <c r="G192" t="n">
        <v>0.1079</v>
      </c>
      <c r="H192" t="inlineStr">
        <is>
          <t>This code appears to be a Java program that implements various backend software components. It includes comments describing the implementation of core algorithms, as well as a README file that provides an overview of the project's goals and objectives. The complexity of the code is estimated to be O(N), where N represents the size of the input data set. The code has been committed once,</t>
        </is>
      </c>
      <c r="I192" t="n">
        <v>0.0042</v>
      </c>
      <c r="J192" t="n">
        <v>0.1333</v>
      </c>
      <c r="K192" t="n">
        <v>0.1825</v>
      </c>
      <c r="L192" t="inlineStr">
        <is>
          <t>The code implements a system for processing data from various sources and storing them in a centralized database. It uses a combination of algorithms and techniques to ensure efficient data processing and storage. The code is written in Java and utilizes the Apache Spark framework for parallel processing. The system is designed to be scalable and fault-tolerant, allowing it to handle large volumes of data and provide reliable</t>
        </is>
      </c>
      <c r="M192" t="n">
        <v>0.0032</v>
      </c>
      <c r="N192" t="n">
        <v>0.0519</v>
      </c>
      <c r="O192" t="n">
        <v>0.1071</v>
      </c>
    </row>
    <row r="193">
      <c r="A193" t="inlineStr">
        <is>
          <t>crate</t>
        </is>
      </c>
      <c r="B193" t="inlineStr">
        <is>
          <t>server/src/testFixtures/java/io/crate/testing/SleepScalarFunction.java</t>
        </is>
      </c>
      <c r="C193">
        <f>HYPERLINK("https://github.com/crate/crate/blob/master/server/src/testFixtures/java/io/crate/testing/SleepScalarFunction.java")</f>
        <v/>
      </c>
      <c r="D193" t="inlineStr">
        <is>
          <t>The provided code appears to be a Java implementation of a data structure called a "trie". It consists of a set of classes that define the nodes and edges of a trie data structure, as well as methods for inserting, retrieving, and traversing the trie. The code also includes comments explaining the purpose of each class and method, as well as some basic unit tests to verify</t>
        </is>
      </c>
      <c r="E193" t="n">
        <v>0.0027</v>
      </c>
      <c r="F193" t="n">
        <v>0.0533</v>
      </c>
      <c r="G193" t="n">
        <v>0.07190000000000001</v>
      </c>
      <c r="H193" t="inlineStr">
        <is>
          <t>This code appears to be a collection of backend software components, written in Java. The code is licensed under the Apache License 2.0, which allows for its use, modification, and distribution subject to certain conditions. The code has been committed to version control and includes documentation in the form of a README file that describes the purpose of the code and provides some basic usage instructions.</t>
        </is>
      </c>
      <c r="I193" t="n">
        <v>0.0036</v>
      </c>
      <c r="J193" t="n">
        <v>0.08</v>
      </c>
      <c r="K193" t="n">
        <v>0.1087</v>
      </c>
      <c r="L193" t="inlineStr">
        <is>
          <t>The code implements a system that processes data from various sources and stores them in a database. It uses a combination of algorithms and techniques to ensure efficient processing and storage of large amounts of data. The code also includes comments explaining the implementation details and assumptions made during development. Overall, the code appears to be well-structured and easy to understand, making it suitable for maintenance and future development.</t>
        </is>
      </c>
      <c r="M193" t="n">
        <v>0.0031</v>
      </c>
      <c r="N193" t="n">
        <v>0.0513</v>
      </c>
      <c r="O193" t="n">
        <v>0.1064</v>
      </c>
    </row>
    <row r="194">
      <c r="A194" t="inlineStr">
        <is>
          <t>crate</t>
        </is>
      </c>
      <c r="B194" t="inlineStr">
        <is>
          <t>server/src/testFixtures/java/io/crate/testing/TestingHelpers.java</t>
        </is>
      </c>
      <c r="C194">
        <f>HYPERLINK("https://github.com/crate/crate/blob/master/server/src/testFixtures/java/io/crate/testing/TestingHelpers.java")</f>
        <v/>
      </c>
      <c r="D194" t="inlineStr">
        <is>
          <t>This code appears to be part of a larger software project that implements various algorithms for processing data. The code is written in Java and uses the Apache License v2.0. It includes comments explaining the purpose of each class and method, as well as some basic documentation about the complexity and size of the code. There are also some commits listed, but no indication of when they were made or</t>
        </is>
      </c>
      <c r="E194" t="n">
        <v>0.0037</v>
      </c>
      <c r="F194" t="n">
        <v>0.1013</v>
      </c>
      <c r="G194" t="n">
        <v>0.1761</v>
      </c>
      <c r="H194" t="inlineStr">
        <is>
          <t>This repository contains backend software components that implement core algorithms. The complexity of the code is O(N), where N represents the size of the input data. The code has been committed once, resulting in a total of 1000 lines of code.</t>
        </is>
      </c>
      <c r="I194" t="n">
        <v>0.0059</v>
      </c>
      <c r="J194" t="n">
        <v>0.16</v>
      </c>
      <c r="K194" t="n">
        <v>0.2793</v>
      </c>
      <c r="L194" t="inlineStr">
        <is>
          <t>The code implements a system for storing and retrieving data from a database. It uses a combination of SQL and Java programming languages to perform various tasks such as creating tables, inserting data into tables, querying data, and updating data. The code also includes comments that provide insight into the implementation of core algorithms and the overall purpose of the system.</t>
        </is>
      </c>
      <c r="M194" t="n">
        <v>0.0039</v>
      </c>
      <c r="N194" t="n">
        <v>0.08699999999999999</v>
      </c>
      <c r="O194" t="n">
        <v>0.1504</v>
      </c>
    </row>
    <row r="195">
      <c r="A195" t="inlineStr">
        <is>
          <t>crate</t>
        </is>
      </c>
      <c r="B195" t="inlineStr">
        <is>
          <t>server/src/testFixtures/java/io/crate/testing/TestExecutionConfig.java</t>
        </is>
      </c>
      <c r="C195">
        <f>HYPERLINK("https://github.com/crate/crate/blob/master/server/src/testFixtures/java/io/crate/testing/TestExecutionConfig.java")</f>
        <v/>
      </c>
      <c r="D195" t="inlineStr">
        <is>
          <t>This code appears to be a Java implementation of various algorithms used in computer science, specifically Big O notation. The code includes comments explaining the complexity and purpose of each algorithm, as well as a README file that provides an overview of the project's goals and objectives. The code size is approximately 1000 lines long.</t>
        </is>
      </c>
      <c r="E195" t="n">
        <v>0.004</v>
      </c>
      <c r="F195" t="n">
        <v>0.09379999999999999</v>
      </c>
      <c r="G195" t="n">
        <v>0.1575</v>
      </c>
      <c r="H195" t="inlineStr">
        <is>
          <t>This code appears to be a Java implementation of a set of algorithms used for processing data. The code is well-documented and includes comments throughout the code explaining what each function does. It also includes a README file that provides some background information about the project and its goals.
The code defines several functions, including `add`, which takes two arguments and returns their sum. There</t>
        </is>
      </c>
      <c r="I195" t="n">
        <v>0.0033</v>
      </c>
      <c r="J195" t="n">
        <v>0.1081</v>
      </c>
      <c r="K195" t="n">
        <v>0.146</v>
      </c>
      <c r="L195" t="inlineStr">
        <is>
          <t>The provided code implements the core algorithms for a web application's backend. It appears to be written in Java and uses the Apache License 2.0. The code has a complexity of O(N) and includes existing comments that provide some insight into how the code works. There are also commit messages and README files that mention the project's purpose. Overall, the code</t>
        </is>
      </c>
      <c r="M195" t="n">
        <v>0.0039</v>
      </c>
      <c r="N195" t="n">
        <v>0.0822</v>
      </c>
      <c r="O195" t="n">
        <v>0.1504</v>
      </c>
    </row>
    <row r="196">
      <c r="A196" t="inlineStr">
        <is>
          <t>crate</t>
        </is>
      </c>
      <c r="B196" t="inlineStr">
        <is>
          <t>server/src/testFixtures/java/io/crate/testing/SQLExecutor.java</t>
        </is>
      </c>
      <c r="C196">
        <f>HYPERLINK("https://github.com/crate/crate/blob/master/server/src/testFixtures/java/io/crate/testing/SQLExecutor.java")</f>
        <v/>
      </c>
      <c r="D196" t="inlineStr">
        <is>
          <t>This code appears to be a Java implementation of various algorithms used in computer science, specifically those related to data structures and algorithms. The code includes comments explaining the purpose and complexity of each algorithm, as well as a README file that provides an overview of the project's goals and structure. The code size is approximately 1000 lines long.</t>
        </is>
      </c>
      <c r="E196" t="n">
        <v>0.0037</v>
      </c>
      <c r="F196" t="n">
        <v>0.0882</v>
      </c>
      <c r="G196" t="n">
        <v>0.1527</v>
      </c>
      <c r="H196" t="inlineStr">
        <is>
          <t>This code appears to be a Java implementation of a backend system's core algorithms. The code has been licensed under the Apache License 2.0, which allows for redistribution and modification as long as certain conditions are met. The code also includes a comment block that provides some context and explanation of its purpose.
The code itself consists of several classes and interfaces, each with</t>
        </is>
      </c>
      <c r="I196" t="n">
        <v>0.0037</v>
      </c>
      <c r="J196" t="n">
        <v>0.1081</v>
      </c>
      <c r="K196" t="n">
        <v>0.1471</v>
      </c>
      <c r="L196" t="inlineStr">
        <is>
          <t>The provided code implements a system for processing large amounts of data using a combination of machine learning algorithms and statistical techniques. It takes as input a set of features extracted from the data and returns a set of predictions based on those features. The code uses a variety of libraries and frameworks, including NumPy, Scikit-learn, and TensorFlow, to perform the necessary computations.</t>
        </is>
      </c>
      <c r="M196" t="n">
        <v>0.0034</v>
      </c>
      <c r="N196" t="n">
        <v>0.0556</v>
      </c>
      <c r="O196" t="n">
        <v>0.1111</v>
      </c>
    </row>
    <row r="197">
      <c r="A197" t="inlineStr">
        <is>
          <t>crate</t>
        </is>
      </c>
      <c r="B197" t="inlineStr">
        <is>
          <t>server/src/testFixtures/java/io/crate/testing/UseHashJoins.java</t>
        </is>
      </c>
      <c r="C197">
        <f>HYPERLINK("https://github.com/crate/crate/blob/master/server/src/testFixtures/java/io/crate/testing/UseHashJoins.java")</f>
        <v/>
      </c>
      <c r="D197" t="inlineStr">
        <is>
          <t>This code appears to be a Java implementation of various algorithms used in data processing and analysis. The code has been optimized for performance using techniques such as caching and parallelization. The complexity of the code is O(N), where N is the size of the input dataset. The code also includes comments that provide insight into the implementation and usage of the algorithms. There have been several commits to the code</t>
        </is>
      </c>
      <c r="E197" t="n">
        <v>0.003</v>
      </c>
      <c r="F197" t="n">
        <v>0.075</v>
      </c>
      <c r="G197" t="n">
        <v>0.1399</v>
      </c>
      <c r="H197" t="inlineStr">
        <is>
          <t>This code appears to be a Java implementation of a backend system that uses a variety of algorithms to perform various tasks. The code has been commented extensively, but it does not appear to include any documentation beyond what can be inferred from the comments themselves. The complexity of the code is estimated as O(N), where N is the size of the input data set. The code has been committed</t>
        </is>
      </c>
      <c r="I197" t="n">
        <v>0.0026</v>
      </c>
      <c r="J197" t="n">
        <v>0.0506</v>
      </c>
      <c r="K197" t="n">
        <v>0.1056</v>
      </c>
      <c r="L197" t="inlineStr">
        <is>
          <t>The provided code appears to be a server-side application written in Java that serves as the backend for a web application. It uses the Apache License v2.0 and has been contributed to Crate.io GmbH. The code implements various features such as user authentication, data storage, and querying. The primary purpose of the code seems to be to provide a scalable and reliable platform for</t>
        </is>
      </c>
      <c r="M197" t="n">
        <v>0.0034</v>
      </c>
      <c r="N197" t="n">
        <v>0.0533</v>
      </c>
      <c r="O197" t="n">
        <v>0.1103</v>
      </c>
    </row>
    <row r="198">
      <c r="A198" t="inlineStr">
        <is>
          <t>crate</t>
        </is>
      </c>
      <c r="B198" t="inlineStr">
        <is>
          <t>server/src/testFixtures/java/io/crate/testing/TableInfoAssert.java</t>
        </is>
      </c>
      <c r="C198">
        <f>HYPERLINK("https://github.com/crate/crate/blob/master/server/src/testFixtures/java/io/crate/testing/TableInfoAssert.java")</f>
        <v/>
      </c>
      <c r="D198" t="inlineStr">
        <is>
          <t>This code appears to be part of a larger software project, specifically the backend component. It includes comments that explain its purpose and complexity, as well as the commits and size of the code. The main function of the code seems to be implementing core algorithms, which would allow it to perform various tasks such as data processing or analysis.</t>
        </is>
      </c>
      <c r="E198" t="n">
        <v>0.0043</v>
      </c>
      <c r="F198" t="n">
        <v>0.1176</v>
      </c>
      <c r="G198" t="n">
        <v>0.323</v>
      </c>
      <c r="H198" t="inlineStr">
        <is>
          <t>This code appears to be a collection of source files for a backend application written in Java. The README file provides some basic information about the project, including its purpose and any relevant dependencies. The complexity of the code is estimated to be O(N), where N represents the number of elements in the input data set. The comments within the code provide details about the implementation of various core algorithms</t>
        </is>
      </c>
      <c r="I198" t="n">
        <v>0.0034</v>
      </c>
      <c r="J198" t="n">
        <v>0.0759</v>
      </c>
      <c r="K198" t="n">
        <v>0.1408</v>
      </c>
      <c r="L198" t="inlineStr">
        <is>
          <t>The provided code implements a system that processes data from various sources and performs calculations based on the input data. It uses a combination of algorithms and techniques to achieve its goals. The code has been optimized for performance using complex mathematical formulas and efficient data structures. The overall goal of the system is to provide accurate and timely results while also being scalable and reliable.</t>
        </is>
      </c>
      <c r="M198" t="n">
        <v>0.0033</v>
      </c>
      <c r="N198" t="n">
        <v>0.0541</v>
      </c>
      <c r="O198" t="n">
        <v>0.1087</v>
      </c>
    </row>
    <row r="199">
      <c r="A199" t="inlineStr">
        <is>
          <t>crate</t>
        </is>
      </c>
      <c r="B199" t="inlineStr">
        <is>
          <t>server/src/testFixtures/java/io/crate/testing/LogicalPlanAssert.java</t>
        </is>
      </c>
      <c r="C199">
        <f>HYPERLINK("https://github.com/crate/crate/blob/master/server/src/testFixtures/java/io/crate/testing/LogicalPlanAssert.java")</f>
        <v/>
      </c>
      <c r="D199" t="inlineStr">
        <is>
          <t>The provided code appears to be a Java implementation of a set of core algorithms used in a web application. It includes comments explaining the purpose of each class and method, as well as a README file that provides an overview of the project's structure and complexity.
The code defines several classes, including `Node`, `Edge`, and `Graph`. These classes represent nodes and</t>
        </is>
      </c>
      <c r="E199" t="n">
        <v>0.0035</v>
      </c>
      <c r="F199" t="n">
        <v>0.08450000000000001</v>
      </c>
      <c r="G199" t="n">
        <v>0.1493</v>
      </c>
      <c r="H199" t="inlineStr">
        <is>
          <t>This code appears to be a collection of backend software components that implement various algorithms. The code is written in Java and uses the Apache License version 2.0. It includes comments explaining the purpose of each component and its complexity. There have been no commits since the initial codebase was created. The total size of the code is approximately 1000 lines.</t>
        </is>
      </c>
      <c r="I199" t="n">
        <v>0.0039</v>
      </c>
      <c r="J199" t="n">
        <v>0.1143</v>
      </c>
      <c r="K199" t="n">
        <v>0.188</v>
      </c>
      <c r="L199" t="inlineStr">
        <is>
          <t>The provided code implements a system that processes data from various sources and stores them in a database. It uses a combination of algorithms and techniques to ensure efficient processing and storage of the data. The code has been optimized for performance and scalability, making it suitable for large-scale deployments.</t>
        </is>
      </c>
      <c r="M199" t="n">
        <v>0.0044</v>
      </c>
      <c r="N199" t="n">
        <v>0.0678</v>
      </c>
      <c r="O199" t="n">
        <v>0.123</v>
      </c>
    </row>
    <row r="200">
      <c r="A200" t="inlineStr">
        <is>
          <t>crate</t>
        </is>
      </c>
      <c r="B200" t="inlineStr">
        <is>
          <t>server/src/testFixtures/java/io/crate/testing/SQLResponseAssert.java</t>
        </is>
      </c>
      <c r="C200">
        <f>HYPERLINK("https://github.com/crate/crate/blob/master/server/src/testFixtures/java/io/crate/testing/SQLResponseAssert.java")</f>
        <v/>
      </c>
      <c r="D200" t="inlineStr">
        <is>
          <t>This code appears to be a Java implementation of some kind of algorithm or system. It includes comments that describe the purpose of the code and its complexity, as well as a README file that provides further details about the project's goals and structure. The code itself consists of a single class with several methods, each of which seems to perform a specific task related to the overall goal of the</t>
        </is>
      </c>
      <c r="E200" t="n">
        <v>0.003</v>
      </c>
      <c r="F200" t="n">
        <v>0.075</v>
      </c>
      <c r="G200" t="n">
        <v>0.1049</v>
      </c>
      <c r="H200" t="inlineStr">
        <is>
          <t>This code implements a set of backend software components that perform various tasks related to data processing and analysis. The code has been written using Java and makes use of the Apache License v2.0. It includes comments throughout the code to help explain its functionality and provides a README file that outlines the project's goals and objectives. The complexity of the code is estimated as O(</t>
        </is>
      </c>
      <c r="I200" t="n">
        <v>0.0073</v>
      </c>
      <c r="J200" t="n">
        <v>0.1053</v>
      </c>
      <c r="K200" t="n">
        <v>0.1812</v>
      </c>
      <c r="L200" t="inlineStr">
        <is>
          <t>The provided code implements a system that performs various operations related to data processing and analysis. It uses a combination of algorithms and techniques to achieve its goals, including data cleaning, transformation, and visualization. The system also includes a user interface for interacting with the underlying data and configuration options for customizing the system's behavior. Overall, the code appears to be well-structured</t>
        </is>
      </c>
      <c r="M200" t="n">
        <v>0.0035</v>
      </c>
      <c r="N200" t="n">
        <v>0.0556</v>
      </c>
      <c r="O200" t="n">
        <v>0.1119</v>
      </c>
    </row>
    <row r="201">
      <c r="A201" t="inlineStr">
        <is>
          <t>crate</t>
        </is>
      </c>
      <c r="B201" t="inlineStr">
        <is>
          <t>server/src/testFixtures/java/io/crate/testing/T3.java</t>
        </is>
      </c>
      <c r="C201">
        <f>HYPERLINK("https://github.com/crate/crate/blob/master/server/src/testFixtures/java/io/crate/testing/T3.java")</f>
        <v/>
      </c>
      <c r="D201" t="inlineStr">
        <is>
          <t>This code appears to be a Java implementation of some kind of algorithm, possibly related to data processing or analysis. The comments indicate that it is part of a larger project called "backend software components," which suggests that it may be used as part of a web application or other software system. The complexity of the code is O(N), indicating that its performance scales linearly with the size of the</t>
        </is>
      </c>
      <c r="E201" t="n">
        <v>0.0031</v>
      </c>
      <c r="F201" t="n">
        <v>0.0506</v>
      </c>
      <c r="G201" t="n">
        <v>0.1408</v>
      </c>
      <c r="H201" t="inlineStr">
        <is>
          <t>This code appears to be a collection of backend software components that implement various algorithms. The complexity of the code is described as O(N), indicating that it has a linear time complexity. The comments indicate that the code implements the core algorithms used by the system. There have been several commits made to the codebase since its initial creation, and the total size of the codebase is approximately 1</t>
        </is>
      </c>
      <c r="I201" t="n">
        <v>0.0039</v>
      </c>
      <c r="J201" t="n">
        <v>0.1282</v>
      </c>
      <c r="K201" t="n">
        <v>0.2128</v>
      </c>
      <c r="L201" t="inlineStr">
        <is>
          <t>The provided code implements a system for processing data from various sources and storing them in a centralized database. It utilizes a combination of algorithms and techniques to ensure efficient and accurate data handling. The code has been optimized for performance, scalability, and maintainability, making it suitable for large-scale applications.</t>
        </is>
      </c>
      <c r="M201" t="n">
        <v>0.0044</v>
      </c>
      <c r="N201" t="n">
        <v>0.0678</v>
      </c>
      <c r="O201" t="n">
        <v>0.082</v>
      </c>
    </row>
    <row r="202">
      <c r="A202" t="inlineStr">
        <is>
          <t>crate</t>
        </is>
      </c>
      <c r="B202" t="inlineStr">
        <is>
          <t>server/src/testFixtures/java/io/crate/testing/DocKeyAssert.java</t>
        </is>
      </c>
      <c r="C202">
        <f>HYPERLINK("https://github.com/crate/crate/blob/master/server/src/testFixtures/java/io/crate/testing/DocKeyAssert.java")</f>
        <v/>
      </c>
      <c r="D202" t="inlineStr">
        <is>
          <t>This code appears to be a Java library that implements various algorithms used in the development of a web application. The library includes functions for implementing OAuth authentication, handling HTTP requests and responses, and performing other tasks such as logging and error handling. The code also includes comments explaining the purpose and implementation of each function. Overall, it seems like the code is well-structured and easy to understand</t>
        </is>
      </c>
      <c r="E202" t="n">
        <v>0.0035</v>
      </c>
      <c r="F202" t="n">
        <v>0.1039</v>
      </c>
      <c r="G202" t="n">
        <v>0.1429</v>
      </c>
      <c r="H202" t="inlineStr">
        <is>
          <t>This code appears to be a Java implementation of a web application's backend logic. It includes several files, including a README file that describes the project's purpose and provides some basic information about its structure. The code also includes comments and documentation that explain the reasoning behind certain design decisions and provide context for understanding the code.
The main entry point for the program seems to</t>
        </is>
      </c>
      <c r="I202" t="n">
        <v>0.0036</v>
      </c>
      <c r="J202" t="n">
        <v>0.0789</v>
      </c>
      <c r="K202" t="n">
        <v>0.1449</v>
      </c>
      <c r="L202" t="inlineStr">
        <is>
          <t>The provided code implements a web application that allows users to create, edit, and delete notes. It uses a RESTful API to interact with the server and stores data in a MySQL database. The code includes a user authentication system using JWT tokens and a role-based access control mechanism to restrict access to certain features based on user roles.</t>
        </is>
      </c>
      <c r="M202" t="n">
        <v>0.0037</v>
      </c>
      <c r="N202" t="n">
        <v>0.0588</v>
      </c>
      <c r="O202" t="n">
        <v>0.1145</v>
      </c>
    </row>
    <row r="203">
      <c r="A203" t="inlineStr">
        <is>
          <t>crate</t>
        </is>
      </c>
      <c r="B203" t="inlineStr">
        <is>
          <t>server/src/testFixtures/java/io/crate/testing/SQLResponse.java</t>
        </is>
      </c>
      <c r="C203">
        <f>HYPERLINK("https://github.com/crate/crate/blob/master/server/src/testFixtures/java/io/crate/testing/SQLResponse.java")</f>
        <v/>
      </c>
      <c r="D203" t="inlineStr">
        <is>
          <t>This code appears to be a Java implementation of various algorithms used in computer science, specifically those related to data structures and algorithms. The code includes comments describing each algorithm's purpose and complexity, as well as a README file that provides an overview of the project and its goals. The code size is approximately 1000 lines long.</t>
        </is>
      </c>
      <c r="E203" t="n">
        <v>0.0038</v>
      </c>
      <c r="F203" t="n">
        <v>0.09089999999999999</v>
      </c>
      <c r="G203" t="n">
        <v>0.155</v>
      </c>
      <c r="H203" t="inlineStr">
        <is>
          <t>This code appears to be a collection of backend software components that implement various algorithms. The code size is approximately 1000 lines long and has been committed once. The complexity of the code is O(N), which suggests that it scales linearly with the input size N. The comments within the code provide some insight into the purpose and implementation of the different components. Overall, the</t>
        </is>
      </c>
      <c r="I203" t="n">
        <v>0.0037</v>
      </c>
      <c r="J203" t="n">
        <v>0.1081</v>
      </c>
      <c r="K203" t="n">
        <v>0.146</v>
      </c>
      <c r="L203" t="inlineStr">
        <is>
          <t>The code implements a system that processes data from various sources and performs calculations based on the input data. It uses a combination of algorithms and techniques to achieve its goal. The code has been optimized for performance using complex mathematical formulas and efficient coding practices.</t>
        </is>
      </c>
      <c r="M203" t="n">
        <v>0.0048</v>
      </c>
      <c r="N203" t="n">
        <v>0.0741</v>
      </c>
      <c r="O203" t="n">
        <v>0.1271</v>
      </c>
    </row>
    <row r="204">
      <c r="A204" t="inlineStr">
        <is>
          <t>crate</t>
        </is>
      </c>
      <c r="B204" t="inlineStr">
        <is>
          <t>server/src/testFixtures/java/io/crate/testing/DiscoveryNodes.java</t>
        </is>
      </c>
      <c r="C204">
        <f>HYPERLINK("https://github.com/crate/crate/blob/master/server/src/testFixtures/java/io/crate/testing/DiscoveryNodes.java")</f>
        <v/>
      </c>
      <c r="D204" t="inlineStr">
        <is>
          <t>The code appears to be a Java implementation of various algorithms used in the development of a web application's back end. The code includes comments that describe the purpose and complexity of each algorithm, as well as the commits made to the codebase over time. Additionally, the README file provides an overview of the project's goals and the complexity of the code. Overall, it</t>
        </is>
      </c>
      <c r="E204" t="n">
        <v>0.0028</v>
      </c>
      <c r="F204" t="n">
        <v>0.0541</v>
      </c>
      <c r="G204" t="n">
        <v>0.1103</v>
      </c>
      <c r="H204" t="inlineStr">
        <is>
          <t>This code appears to be a Java implementation of a backend system that uses O(N) complexity and has been committed once. It includes comments describing the purpose of the code as implementing core algorithms and a readme file explaining the contents of the repository. The code size is 1000 lines long.</t>
        </is>
      </c>
      <c r="I204" t="n">
        <v>0.0047</v>
      </c>
      <c r="J204" t="n">
        <v>0.1333</v>
      </c>
      <c r="K204" t="n">
        <v>0.3024</v>
      </c>
      <c r="L204" t="inlineStr">
        <is>
          <t>The code implements a system that processes data from various sources and provides insights into their performance. It uses a combination of machine learning models and statistical analysis techniques to identify trends and anomalies in the data. The system also includes features such as real-time alerting and reporting capabilities, allowing users to quickly respond to issues and make informed decisions. Overall, the system is designed</t>
        </is>
      </c>
      <c r="M204" t="n">
        <v>0.0033</v>
      </c>
      <c r="N204" t="n">
        <v>0.0541</v>
      </c>
      <c r="O204" t="n">
        <v>0.1095</v>
      </c>
    </row>
    <row r="205">
      <c r="A205" t="inlineStr">
        <is>
          <t>crate</t>
        </is>
      </c>
      <c r="B205" t="inlineStr">
        <is>
          <t>server/src/testFixtures/java/io/crate/testing/SQLErrorAssert.java</t>
        </is>
      </c>
      <c r="C205">
        <f>HYPERLINK("https://github.com/crate/crate/blob/master/server/src/testFixtures/java/io/crate/testing/SQLErrorAssert.java")</f>
        <v/>
      </c>
      <c r="D205" t="inlineStr">
        <is>
          <t>This code appears to be a Java implementation of some kind of algorithm, possibly related to data processing or analysis. The code includes comments that describe its purpose and complexity, as well as other details such as the number of commits and lines of code. It does not appear to be a complete program or application, but rather a collection of reusable functions or classes that can be used to build larger projects</t>
        </is>
      </c>
      <c r="E205" t="n">
        <v>0.003</v>
      </c>
      <c r="F205" t="n">
        <v>0.0741</v>
      </c>
      <c r="G205" t="n">
        <v>0.1379</v>
      </c>
      <c r="H205" t="inlineStr">
        <is>
          <t>This code appears to be a Java implementation of a set of backend software components. The code is licensed under the Apache License, Version 2.0, which allows for redistribution and modification subject to certain conditions. The code includes comments that provide context and explanation of the code's purpose and functionality. The complexity of the code is estimated to be O(N), where N is</t>
        </is>
      </c>
      <c r="I205" t="n">
        <v>0.0038</v>
      </c>
      <c r="J205" t="n">
        <v>0.08110000000000001</v>
      </c>
      <c r="K205" t="n">
        <v>0.1481</v>
      </c>
      <c r="L205" t="inlineStr">
        <is>
          <t>The provided code implements a system that allows users to create, edit, and delete notes. It uses a RESTful API to handle requests from clients and stores data in a database. The code has been optimized for performance using techniques such as caching and parallel processing.</t>
        </is>
      </c>
      <c r="M205" t="n">
        <v>0.0048</v>
      </c>
      <c r="N205" t="n">
        <v>0.0741</v>
      </c>
      <c r="O205" t="n">
        <v>0.1271</v>
      </c>
    </row>
    <row r="206">
      <c r="A206" t="inlineStr">
        <is>
          <t>crate</t>
        </is>
      </c>
      <c r="B206" t="inlineStr">
        <is>
          <t>server/src/testFixtures/java/io/crate/testing/PrivilegeResolutionAssert.java</t>
        </is>
      </c>
      <c r="C206">
        <f>HYPERLINK("https://github.com/crate/crate/blob/master/server/src/testFixtures/java/io/crate/testing/PrivilegeResolutionAssert.java")</f>
        <v/>
      </c>
      <c r="D206" t="inlineStr">
        <is>
          <t>The provided code appears to be a Java program that implements various algorithms for processing data. It uses the O(N) complexity, where N represents the size of the input dataset. The code includes comments explaining the implementation details and the purpose of each algorithm. The README file provides an overview of the project's goals and objectives, as well as instructions for building and running the</t>
        </is>
      </c>
      <c r="E206" t="n">
        <v>0.0033</v>
      </c>
      <c r="F206" t="n">
        <v>0.0533</v>
      </c>
      <c r="G206" t="n">
        <v>0.1095</v>
      </c>
      <c r="H206" t="inlineStr">
        <is>
          <t>This code appears to be a collection of backend software components that implement various algorithms. The complexity of the code is O(N), meaning it grows linearly with the size of the input data. The comments provide some context about the purpose and implementation of each component, but do not offer much detail. The README provides a brief overview of the contents of the repository and mentions nothing about</t>
        </is>
      </c>
      <c r="I206" t="n">
        <v>0.0035</v>
      </c>
      <c r="J206" t="n">
        <v>0.1039</v>
      </c>
      <c r="K206" t="n">
        <v>0.1429</v>
      </c>
      <c r="L206" t="inlineStr">
        <is>
          <t>The provided code implements a system for processing large datasets using parallel computing techniques. It uses the Apache Spark framework for data processing and stores the processed data in a Cassandra database. The code performs various tasks such as data cleaning, transformation, and aggregation, and provides a RESTful API for querying the resulting dataset.</t>
        </is>
      </c>
      <c r="M206" t="n">
        <v>0.004</v>
      </c>
      <c r="N206" t="n">
        <v>0.0645</v>
      </c>
      <c r="O206" t="n">
        <v>0.119</v>
      </c>
    </row>
    <row r="207">
      <c r="A207" t="inlineStr">
        <is>
          <t>crate</t>
        </is>
      </c>
      <c r="B207" t="inlineStr">
        <is>
          <t>server/src/testFixtures/java/io/crate/testing/UseRandomizedOptimizerRules.java</t>
        </is>
      </c>
      <c r="C207">
        <f>HYPERLINK("https://github.com/crate/crate/blob/master/server/src/testFixtures/java/io/crate/testing/UseRandomizedOptimizerRules.java")</f>
        <v/>
      </c>
      <c r="D207" t="inlineStr">
        <is>
          <t>The code is a Java implementation of various algorithms used in computer science, including sorting, searching, and graph traversal. It includes a number of classes that represent different data structures such as arrays, lists, and graphs, as well as methods for performing operations on those data structures. The code also includes documentation and comments to help explain how the code works and what it does. Overall, the</t>
        </is>
      </c>
      <c r="E207" t="n">
        <v>0.0027</v>
      </c>
      <c r="F207" t="n">
        <v>0.0533</v>
      </c>
      <c r="G207" t="n">
        <v>0.1839</v>
      </c>
      <c r="H207" t="inlineStr">
        <is>
          <t>This is a Java project that includes a set of backend software components. The codebase has been initialized with some basic files such as a README, LICENSE, and .gitignore. The complexity of the code is O(N), which means it grows linearly with the size of the input. The comments indicate that the code implements core algorithms. There have been no commits</t>
        </is>
      </c>
      <c r="I207" t="n">
        <v>0.007900000000000001</v>
      </c>
      <c r="J207" t="n">
        <v>0.1143</v>
      </c>
      <c r="K207" t="n">
        <v>0.2797</v>
      </c>
      <c r="L207" t="inlineStr">
        <is>
          <t>The provided code implements a system that allows users to search through a large dataset of documents. It uses a combination of natural language processing techniques and machine learning algorithms to provide relevant results based on user queries. The code also includes features such as spell checking, synonym replacement, and sentiment analysis to further enhance the search experience.</t>
        </is>
      </c>
      <c r="M207" t="n">
        <v>0.0037</v>
      </c>
      <c r="N207" t="n">
        <v>0.0606</v>
      </c>
      <c r="O207" t="n">
        <v>0.1154</v>
      </c>
    </row>
    <row r="208">
      <c r="A208" t="inlineStr">
        <is>
          <t>crate</t>
        </is>
      </c>
      <c r="B208" t="inlineStr">
        <is>
          <t>server/src/testFixtures/java/io/crate/testing/TranslogSnapshotAssert.java</t>
        </is>
      </c>
      <c r="C208">
        <f>HYPERLINK("https://github.com/crate/crate/blob/master/server/src/testFixtures/java/io/crate/testing/TranslogSnapshotAssert.java")</f>
        <v/>
      </c>
      <c r="D208" t="inlineStr">
        <is>
          <t>This code appears to be a Java implementation of a backend system, specifically related to the "core algorithms" used by the application. The comments indicate that it is part of a larger project with a complex algorithmic component, but do not provide any further details about the specifics of the implementation. The code size is relatively small, indicating that it may be a standalone module rather than a large</t>
        </is>
      </c>
      <c r="E208" t="n">
        <v>0.0031</v>
      </c>
      <c r="F208" t="n">
        <v>0.0779</v>
      </c>
      <c r="G208" t="n">
        <v>0.1418</v>
      </c>
      <c r="H208" t="inlineStr">
        <is>
          <t>This code implements a set of backend software components that perform various tasks related to data processing and analysis. The code is written in Python and uses the Apache License 2.0 for open-source distribution. It has been committed once to version control and has a total of 1000 lines of code. The complexity of the code is O(N), where N represents the size of</t>
        </is>
      </c>
      <c r="I208" t="n">
        <v>0.004</v>
      </c>
      <c r="J208" t="n">
        <v>0.08</v>
      </c>
      <c r="K208" t="n">
        <v>0.1838</v>
      </c>
      <c r="L208" t="inlineStr">
        <is>
          <t>The provided code implements a system that processes data from various sources and stores them in a database. It uses a combination of algorithms and techniques to perform real-time analysis and processing of the data, allowing for efficient and accurate storage and retrieval of the data.</t>
        </is>
      </c>
      <c r="M208" t="n">
        <v>0.0048</v>
      </c>
      <c r="N208" t="n">
        <v>0.0727</v>
      </c>
      <c r="O208" t="n">
        <v>0.1271</v>
      </c>
    </row>
    <row r="209">
      <c r="A209" t="inlineStr">
        <is>
          <t>crate</t>
        </is>
      </c>
      <c r="B209" t="inlineStr">
        <is>
          <t>server/src/testFixtures/java/io/crate/testing/UseJdbc.java</t>
        </is>
      </c>
      <c r="C209">
        <f>HYPERLINK("https://github.com/crate/crate/blob/master/server/src/testFixtures/java/io/crate/testing/UseJdbc.java")</f>
        <v/>
      </c>
      <c r="D209" t="inlineStr">
        <is>
          <t>This code appears to be a Java implementation of various algorithms used in computer science. The comments indicate that it is part of a larger project and provides an overview of the complexity and purpose of the code. It also mentions that it has been committed once and its size is approximately 1000 lines.</t>
        </is>
      </c>
      <c r="E209" t="n">
        <v>0.004</v>
      </c>
      <c r="F209" t="n">
        <v>0.0968</v>
      </c>
      <c r="G209" t="n">
        <v>0.1587</v>
      </c>
      <c r="H209" t="inlineStr">
        <is>
          <t>This repository contains backend software components that implement core algorithms. The complexity of the code is O(N), where N represents the number of elements being processed. The code has been committed once, resulting in a code size of approximately 1000 lines.</t>
        </is>
      </c>
      <c r="I209" t="n">
        <v>0.0059</v>
      </c>
      <c r="J209" t="n">
        <v>0.16</v>
      </c>
      <c r="K209" t="n">
        <v>0.2793</v>
      </c>
      <c r="L209" t="inlineStr">
        <is>
          <t>The provided code implements a system that processes data from various sources and stores them in a database. It uses a combination of algorithms and techniques to ensure efficient processing and storage of large amounts of data. The code also includes comments and documentation to help developers understand the implementation and usage of the system.</t>
        </is>
      </c>
      <c r="M209" t="n">
        <v>0.004</v>
      </c>
      <c r="N209" t="n">
        <v>0.0635</v>
      </c>
      <c r="O209" t="n">
        <v>0.1181</v>
      </c>
    </row>
    <row r="210">
      <c r="A210" t="inlineStr">
        <is>
          <t>crate</t>
        </is>
      </c>
      <c r="B210" t="inlineStr">
        <is>
          <t>server/src/testFixtures/java/io/crate/testing/EngineSearcherAssert.java</t>
        </is>
      </c>
      <c r="C210">
        <f>HYPERLINK("https://github.com/crate/crate/blob/master/server/src/testFixtures/java/io/crate/testing/EngineSearcherAssert.java")</f>
        <v/>
      </c>
      <c r="D210" t="inlineStr">
        <is>
          <t>This code appears to be a Java implementation of various algorithms used in the development of a web application's backend. The code includes comments explaining the purpose of each class and method, as well as a README file that provides an overview of the project's architecture and complexity. The code size is approximately 1000 lines long, which suggests that it may be a small</t>
        </is>
      </c>
      <c r="E210" t="n">
        <v>0.0034</v>
      </c>
      <c r="F210" t="n">
        <v>0.08110000000000001</v>
      </c>
      <c r="G210" t="n">
        <v>0.1471</v>
      </c>
      <c r="H210" t="inlineStr">
        <is>
          <t>The provided code implements a system that provides backend software components for various applications. It includes an implementation of core algorithms, which has a time complexity of O(N). The code also includes comments describing the purpose and usage of each component, as well as a README file that outlines the overall project's goals and objectives. Additionally, there is a history of commits, each representing</t>
        </is>
      </c>
      <c r="I210" t="n">
        <v>0.004</v>
      </c>
      <c r="J210" t="n">
        <v>0.1081</v>
      </c>
      <c r="K210" t="n">
        <v>0.1471</v>
      </c>
      <c r="L210" t="inlineStr">
        <is>
          <t>The code implements a system that processes data from various sources and performs calculations based on certain rules. It takes in input data, applies certain transformations, and then generates output data based on the results of those calculations.</t>
        </is>
      </c>
      <c r="M210" t="n">
        <v>0.0058</v>
      </c>
      <c r="N210" t="n">
        <v>0.08699999999999999</v>
      </c>
      <c r="O210" t="n">
        <v>0.09089999999999999</v>
      </c>
    </row>
    <row r="211">
      <c r="A211" t="inlineStr">
        <is>
          <t>crate</t>
        </is>
      </c>
      <c r="B211" t="inlineStr">
        <is>
          <t>server/src/testFixtures/java/io/crate/testing/StubPhases.java</t>
        </is>
      </c>
      <c r="C211">
        <f>HYPERLINK("https://github.com/crate/crate/blob/master/server/src/testFixtures/java/io/crate/testing/StubPhases.java")</f>
        <v/>
      </c>
      <c r="D211" t="inlineStr">
        <is>
          <t>The code implements various algorithms used in the development of the backend software components. It has a complexity of O(N) and uses comments to explain its implementation. There have been two commits made to the codebase so far, with the initial commit containing all the necessary files. The total size of the code is approximately 1000 lines.</t>
        </is>
      </c>
      <c r="E211" t="n">
        <v>0.0042</v>
      </c>
      <c r="F211" t="n">
        <v>0.0606</v>
      </c>
      <c r="G211" t="n">
        <v>0.155</v>
      </c>
      <c r="H211" t="inlineStr">
        <is>
          <t>This code implements a system that processes data from various sources and performs computations on it. The code is written in Java and uses the Apache License v2.0. It has been committed once and has a size of approximately 1000 lines. The complexity of the code is O(N), where N is the number of input elements. The comments describe the implementation of the core</t>
        </is>
      </c>
      <c r="I211" t="n">
        <v>0.004</v>
      </c>
      <c r="J211" t="n">
        <v>0.08110000000000001</v>
      </c>
      <c r="K211" t="n">
        <v>0.1838</v>
      </c>
      <c r="L211" t="inlineStr">
        <is>
          <t>The provided code implements a system that processes data from various sources and stores them in a database. It uses a combination of algorithms and techniques to ensure efficient processing and storage of the data. The code has been optimized for performance and scalability, with a focus on reducing computational complexity while maintaining high accuracy. The system also includes features such as error handling and logging to help diagnose issues and monitor</t>
        </is>
      </c>
      <c r="M211" t="n">
        <v>0.003</v>
      </c>
      <c r="N211" t="n">
        <v>0.05</v>
      </c>
      <c r="O211" t="n">
        <v>0.1042</v>
      </c>
    </row>
    <row r="212">
      <c r="A212" t="inlineStr">
        <is>
          <t>crate</t>
        </is>
      </c>
      <c r="B212" t="inlineStr">
        <is>
          <t>server/src/testFixtures/java/io/crate/testing/SQLPrinter.java</t>
        </is>
      </c>
      <c r="C212">
        <f>HYPERLINK("https://github.com/crate/crate/blob/master/server/src/testFixtures/java/io/crate/testing/SQLPrinter.java")</f>
        <v/>
      </c>
      <c r="D212" t="inlineStr">
        <is>
          <t>This code appears to be a Java implementation of various algorithms used in the development of a web application's backend. The code includes comments explaining the purpose of each algorithm and the complexity of their implementations. There are also commits listed indicating when changes were made to the codebase. Overall, it seems that this codebase is responsible for implementing the core logic behind the app's backend operations.</t>
        </is>
      </c>
      <c r="E212" t="n">
        <v>0.0036</v>
      </c>
      <c r="F212" t="n">
        <v>0.1039</v>
      </c>
      <c r="G212" t="n">
        <v>0.1799</v>
      </c>
      <c r="H212" t="inlineStr">
        <is>
          <t>This code appears to be a Python script that implements a function called `add` which takes two arguments `a` and `b` and returns their sum. The function is defined as follows:
```
def add(a, b):
    return a + b
```
The README file provides some context about the purpose of the code, including its intended use case and</t>
        </is>
      </c>
      <c r="I212" t="n">
        <v>0.0041</v>
      </c>
      <c r="J212" t="n">
        <v>0.125</v>
      </c>
      <c r="K212" t="n">
        <v>0.1538</v>
      </c>
      <c r="L212" t="inlineStr">
        <is>
          <t>The provided code implements a system that allows users to search for and retrieve data from a database. It uses a SQL query engine to execute queries against the database, and provides a RESTful API for retrieving results. The system also includes support for pagination and caching.</t>
        </is>
      </c>
      <c r="M212" t="n">
        <v>0.0046</v>
      </c>
      <c r="N212" t="n">
        <v>0.0727</v>
      </c>
      <c r="O212" t="n">
        <v>0.1261</v>
      </c>
    </row>
    <row r="213">
      <c r="A213" t="inlineStr">
        <is>
          <t>crate</t>
        </is>
      </c>
      <c r="B213" t="inlineStr">
        <is>
          <t>server/src/testFixtures/java/io/crate/testing/UseNewCluster.java</t>
        </is>
      </c>
      <c r="C213">
        <f>HYPERLINK("https://github.com/crate/crate/blob/master/server/src/testFixtures/java/io/crate/testing/UseNewCluster.java")</f>
        <v/>
      </c>
      <c r="D213" t="inlineStr">
        <is>
          <t>The provided code appears to be a Java implementation of a core algorithm used in a web application. It defines several classes that represent different types of data structures, such as lists and maps, and implements various methods for manipulating and querying those structures. The code also includes comments describing the purpose and complexity of each class and method. Overall, it seems like the code is well-organized</t>
        </is>
      </c>
      <c r="E213" t="n">
        <v>0.0036</v>
      </c>
      <c r="F213" t="n">
        <v>0.0789</v>
      </c>
      <c r="G213" t="n">
        <v>0.1439</v>
      </c>
      <c r="H213" t="inlineStr">
        <is>
          <t>This code appears to be a collection of backend software components that implement various algorithms. The complexity of the code is O(N), where N is the size of the input data. The code has been commented extensively, providing detailed explanations of each algorithm's implementation. There have been several commits made to the codebase, indicating regular updates and refinements over time. The total code</t>
        </is>
      </c>
      <c r="I213" t="n">
        <v>0.0038</v>
      </c>
      <c r="J213" t="n">
        <v>0.1096</v>
      </c>
      <c r="K213" t="n">
        <v>0.1481</v>
      </c>
      <c r="L213" t="inlineStr">
        <is>
          <t>The provided code implements a system that allows users to search for data within a database using natural language queries. The system uses a combination of machine learning models and rule-based systems to understand the user's intent and provide accurate results. The code also includes features such as spell checking, synonym replacement, and result ranking to enhance the user experience. Overall, the system is designed to</t>
        </is>
      </c>
      <c r="M213" t="n">
        <v>0.0033</v>
      </c>
      <c r="N213" t="n">
        <v>0.0526</v>
      </c>
      <c r="O213" t="n">
        <v>0.1087</v>
      </c>
    </row>
    <row r="214">
      <c r="A214" t="inlineStr">
        <is>
          <t>crate</t>
        </is>
      </c>
      <c r="B214" t="inlineStr">
        <is>
          <t>server/src/testFixtures/java/io/crate/testing/SQLTransportExecutor.java</t>
        </is>
      </c>
      <c r="C214">
        <f>HYPERLINK("https://github.com/crate/crate/blob/master/server/src/testFixtures/java/io/crate/testing/SQLTransportExecutor.java")</f>
        <v/>
      </c>
      <c r="D214" t="inlineStr">
        <is>
          <t>This code appears to be part of a backend system that implements various algorithms used by the application. The code is written in Java and uses the Apache License version 2.0. It includes comments explaining the purpose of each class and method, as well as a README file providing an overview of the project's structure and complexity. The code has been committed once, and it consists</t>
        </is>
      </c>
      <c r="E214" t="n">
        <v>0.0036</v>
      </c>
      <c r="F214" t="n">
        <v>0.0789</v>
      </c>
      <c r="G214" t="n">
        <v>0.1449</v>
      </c>
      <c r="H214" t="inlineStr">
        <is>
          <t>This code implements a system that processes data from various sources and performs calculations on it. The code has been optimized for performance using Big O notation, which indicates that the complexity of the algorithm is O(N), where N is the number of elements being processed. The comments provide insight into the implementation of the core algorithms used in the system. The code was initially committed as part of the project'</t>
        </is>
      </c>
      <c r="I214" t="n">
        <v>0.0036</v>
      </c>
      <c r="J214" t="n">
        <v>0.075</v>
      </c>
      <c r="K214" t="n">
        <v>0.1748</v>
      </c>
      <c r="L214" t="inlineStr">
        <is>
          <t>The provided code implements a system that allows users to search through a large dataset of documents. It uses a combination of natural language processing techniques and machine learning algorithms to rank the relevance of each document based on the user's query. The system also includes features such as filtering, faceting, and sorting to help users narrow down their search results and explore different aspects of the data. Overall</t>
        </is>
      </c>
      <c r="M214" t="n">
        <v>0.0031</v>
      </c>
      <c r="N214" t="n">
        <v>0.0513</v>
      </c>
      <c r="O214" t="n">
        <v>0.1064</v>
      </c>
    </row>
    <row r="215">
      <c r="A215" t="inlineStr">
        <is>
          <t>crate</t>
        </is>
      </c>
      <c r="B215" t="inlineStr">
        <is>
          <t>server/src/testFixtures/java/io/crate/testing/SqlExpressions.java</t>
        </is>
      </c>
      <c r="C215">
        <f>HYPERLINK("https://github.com/crate/crate/blob/master/server/src/testFixtures/java/io/crate/testing/SqlExpressions.java")</f>
        <v/>
      </c>
      <c r="D215" t="inlineStr">
        <is>
          <t>The provided code appears to be a Java implementation of various algorithms related to data structures and operations. It includes comments explaining the purpose of each class and method, as well as a README file that provides an overview of the project's goals and complexity.
The code defines several classes, including `Node`, `LinkedList`, `Stack`, and `Queue`. These classes</t>
        </is>
      </c>
      <c r="E215" t="n">
        <v>0.0031</v>
      </c>
      <c r="F215" t="n">
        <v>0.0597</v>
      </c>
      <c r="G215" t="n">
        <v>0.0769</v>
      </c>
      <c r="H215" t="inlineStr">
        <is>
          <t>The provided code appears to be a Java implementation of a backend system. It includes comments that describe the purpose of the code and its complexity. The code size is approximately 1000 lines long. The README file provides additional context about the project, including a description of the system's architecture and a list of commits.</t>
        </is>
      </c>
      <c r="I215" t="n">
        <v>0.0033</v>
      </c>
      <c r="J215" t="n">
        <v>0.0625</v>
      </c>
      <c r="K215" t="n">
        <v>0.07870000000000001</v>
      </c>
      <c r="L215" t="inlineStr">
        <is>
          <t>The code implements a system that allows users to search through a large dataset of documents using natural language queries. It uses various machine learning models to understand the user's intent behind their query and returns relevant results based on the similarity between the query and the document content. The code also includes features such as spell checking, synonym replacement, and sentiment analysis to further enhance the search experience.</t>
        </is>
      </c>
      <c r="M215" t="n">
        <v>0.0031</v>
      </c>
      <c r="N215" t="n">
        <v>0.0513</v>
      </c>
      <c r="O215" t="n">
        <v>0.1064</v>
      </c>
    </row>
    <row r="216">
      <c r="A216" t="inlineStr">
        <is>
          <t>crate</t>
        </is>
      </c>
      <c r="B216" t="inlineStr">
        <is>
          <t>server/src/testFixtures/java/io/crate/testing/TestScalars.java</t>
        </is>
      </c>
      <c r="C216">
        <f>HYPERLINK("https://github.com/crate/crate/blob/master/server/src/testFixtures/java/io/crate/testing/TestScalars.java")</f>
        <v/>
      </c>
      <c r="D216" t="inlineStr">
        <is>
          <t>This code appears to be a Java implementation of a data structure called a "Trie". It implements a tree-like data structure that allows for efficient search and insertion of strings. The Trie is used to store a set of words, where each word is represented as a sequence of characters. The code provides methods for inserting new words into the trie, searching for existing words, and</t>
        </is>
      </c>
      <c r="E216" t="n">
        <v>0.0036</v>
      </c>
      <c r="F216" t="n">
        <v>0.08</v>
      </c>
      <c r="G216" t="n">
        <v>0.1449</v>
      </c>
      <c r="H216" t="inlineStr">
        <is>
          <t>This code appears to be a collection of backend software components that implement various algorithms. The complexity of the code is O(N), where N is the number of elements being processed. The comments indicate that the code implements the core algorithms used by the system. There has been only one commit to the codebase so far, which suggests that it is still in development. The total size of the code</t>
        </is>
      </c>
      <c r="I216" t="n">
        <v>0.0037</v>
      </c>
      <c r="J216" t="n">
        <v>0.1013</v>
      </c>
      <c r="K216" t="n">
        <v>0.1761</v>
      </c>
      <c r="L216" t="inlineStr">
        <is>
          <t>The provided code implements a system that allows users to create, edit, and delete notes. It uses a database to store note data and provides a simple web interface for viewing and managing notes. The code also includes features such as authentication and authorization, allowing only authorized users to access certain parts of the application.</t>
        </is>
      </c>
      <c r="M216" t="n">
        <v>0.004</v>
      </c>
      <c r="N216" t="n">
        <v>0.0635</v>
      </c>
      <c r="O216" t="n">
        <v>0.1181</v>
      </c>
    </row>
    <row r="217">
      <c r="A217" t="inlineStr">
        <is>
          <t>crate</t>
        </is>
      </c>
      <c r="B217" t="inlineStr">
        <is>
          <t>server/src/testFixtures/java/io/crate/testing/DummyRelation.java</t>
        </is>
      </c>
      <c r="C217">
        <f>HYPERLINK("https://github.com/crate/crate/blob/master/server/src/testFixtures/java/io/crate/testing/DummyRelation.java")</f>
        <v/>
      </c>
      <c r="D217" t="inlineStr">
        <is>
          <t>The code appears to be a Java implementation of a library containing various utility classes and methods used for implementing core algorithms. It includes comments describing the purpose and complexity of each class and method, as well as a README file that provides an overview of the project's structure and contents. The code size is approximately 1000 lines long.</t>
        </is>
      </c>
      <c r="E217" t="n">
        <v>0.0037</v>
      </c>
      <c r="F217" t="n">
        <v>0.0882</v>
      </c>
      <c r="G217" t="n">
        <v>0.2409</v>
      </c>
      <c r="H217" t="inlineStr">
        <is>
          <t>This code implements a system that performs calculations based on user input. The code is written in Python and uses the NumPy library for numerical computations. It takes as input two arrays of integers, A and B, and returns their sum C. The complexity of the algorithm is O(N), where N is the number of elements in the arrays.</t>
        </is>
      </c>
      <c r="I217" t="n">
        <v>0.0041</v>
      </c>
      <c r="J217" t="n">
        <v>0.0882</v>
      </c>
      <c r="K217" t="n">
        <v>0.1908</v>
      </c>
      <c r="L217" t="inlineStr">
        <is>
          <t>The provided code implements a system that allows users to create, edit, and delete notes. It uses a RESTful API to handle requests from clients and stores data in a PostgreSQL database. The system also includes authentication and authorization features to ensure that only authorized users can access their own notes.</t>
        </is>
      </c>
      <c r="M217" t="n">
        <v>0.0043</v>
      </c>
      <c r="N217" t="n">
        <v>0.0678</v>
      </c>
      <c r="O217" t="n">
        <v>0.122</v>
      </c>
    </row>
    <row r="218">
      <c r="A218" t="inlineStr">
        <is>
          <t>crate</t>
        </is>
      </c>
      <c r="B218" t="inlineStr">
        <is>
          <t>server/src/testFixtures/java/io/crate/testing/SettingsAssert.java</t>
        </is>
      </c>
      <c r="C218">
        <f>HYPERLINK("https://github.com/crate/crate/blob/master/server/src/testFixtures/java/io/crate/testing/SettingsAssert.java")</f>
        <v/>
      </c>
      <c r="D218" t="inlineStr">
        <is>
          <t>The provided code appears to be a Java implementation of various algorithms used in the development of a web application's backend. The code is well-documented, with comments explaining the purpose and complexity of each algorithm. The code size is relatively small, with approximately 1000 lines of code.
The main functionalities of the code can be summarized as follows:</t>
        </is>
      </c>
      <c r="E218" t="n">
        <v>0.0031</v>
      </c>
      <c r="F218" t="n">
        <v>0.0588</v>
      </c>
      <c r="G218" t="n">
        <v>0.1154</v>
      </c>
      <c r="H218" t="inlineStr">
        <is>
          <t>This code appears to be a Python module containing various functions that implement core algorithms used in a backend system. The README file provides some context about the purpose of the code and its intended usage. The complexity of the code is described as O(N), indicating that it has a linear time complexity. The comments provide additional details about the implementation of each function, while the commits and code size</t>
        </is>
      </c>
      <c r="I218" t="n">
        <v>0.0037</v>
      </c>
      <c r="J218" t="n">
        <v>0.1519</v>
      </c>
      <c r="K218" t="n">
        <v>0.2113</v>
      </c>
      <c r="L218" t="inlineStr">
        <is>
          <t>The provided code implements a system that performs various tasks related to data processing and analysis. It uses a combination of machine learning models and statistical techniques to analyze large datasets and provide insights into their structure and patterns. The code has been optimized for performance using techniques such as parallelization and caching, making it suitable for handling large volumes of data.</t>
        </is>
      </c>
      <c r="M218" t="n">
        <v>0.0035</v>
      </c>
      <c r="N218" t="n">
        <v>0.0571</v>
      </c>
      <c r="O218" t="n">
        <v>0.1119</v>
      </c>
    </row>
    <row r="219">
      <c r="A219" t="inlineStr">
        <is>
          <t>crate</t>
        </is>
      </c>
      <c r="B219" t="inlineStr">
        <is>
          <t>server/src/testFixtures/java/io/crate/testing/MemoryLimits.java</t>
        </is>
      </c>
      <c r="C219">
        <f>HYPERLINK("https://github.com/crate/crate/blob/master/server/src/testFixtures/java/io/crate/testing/MemoryLimits.java")</f>
        <v/>
      </c>
      <c r="D219" t="inlineStr">
        <is>
          <t>This code appears to be a Java implementation of a data structure called a "trie". A trie is a type of tree data structure that is used to store strings. It has O(N) complexity where N is the number of characters in the string being stored. The code also includes comments describing the purpose of the code and the complexity of the algorithm.</t>
        </is>
      </c>
      <c r="E219" t="n">
        <v>0.0034</v>
      </c>
      <c r="F219" t="n">
        <v>0.0833</v>
      </c>
      <c r="G219" t="n">
        <v>0.1481</v>
      </c>
      <c r="H219" t="inlineStr">
        <is>
          <t>This code appears to be a Java implementation of a web application's backend, specifically its business logic. The code is well-documented, with comments explaining what each section does. It includes a README file that provides some context about the project and its goals, as well as a complexity analysis indicating that the code has a time complexity of O(N). Additionally, there are commits</t>
        </is>
      </c>
      <c r="I219" t="n">
        <v>0.0038</v>
      </c>
      <c r="J219" t="n">
        <v>0.08110000000000001</v>
      </c>
      <c r="K219" t="n">
        <v>0.1481</v>
      </c>
      <c r="L219" t="inlineStr">
        <is>
          <t>The provided code implements a web application that allows users to create, edit, and delete notes. It utilizes Node.js as the runtime environment and Express.js as the framework for handling HTTP requests. The application uses MongoDB as the database to store user data and note content. The code also includes authentication and authorization features using Passport.js and JWT tokens.</t>
        </is>
      </c>
      <c r="M219" t="n">
        <v>0.0037</v>
      </c>
      <c r="N219" t="n">
        <v>0.0571</v>
      </c>
      <c r="O219" t="n">
        <v>0.1145</v>
      </c>
    </row>
    <row r="220">
      <c r="A220" t="inlineStr">
        <is>
          <t>crate</t>
        </is>
      </c>
      <c r="B220" t="inlineStr">
        <is>
          <t>server/src/testFixtures/java/io/crate/testing/ProjectionAssert.java</t>
        </is>
      </c>
      <c r="C220">
        <f>HYPERLINK("https://github.com/crate/crate/blob/master/server/src/testFixtures/java/io/crate/testing/ProjectionAssert.java")</f>
        <v/>
      </c>
      <c r="D220" t="inlineStr">
        <is>
          <t>This code appears to be a Java implementation of a set of algorithms used for various purposes such as sorting, searching, and data manipulation. The code is well-documented, with comments explaining the purpose of each function and its complexity. It also includes a README file that provides an overview of the project's goals and objectives. The code size is relatively small, with</t>
        </is>
      </c>
      <c r="E220" t="n">
        <v>0.0035</v>
      </c>
      <c r="F220" t="n">
        <v>0.1111</v>
      </c>
      <c r="G220" t="n">
        <v>0.1493</v>
      </c>
      <c r="H220" t="inlineStr">
        <is>
          <t>This code appears to be a Java implementation of a system that processes data from various sources and performs calculations based on those inputs. The code uses the Apache License, which suggests that it was developed by Crate.io GmbH and released as open source software. It also includes comments explaining the purpose of each class and method, suggesting that the code was written with readability and maintainability in mind.</t>
        </is>
      </c>
      <c r="I220" t="n">
        <v>0.0031</v>
      </c>
      <c r="J220" t="n">
        <v>0.0769</v>
      </c>
      <c r="K220" t="n">
        <v>0.1418</v>
      </c>
      <c r="L220" t="inlineStr">
        <is>
          <t>The provided code implements a system that allows users to search through a large dataset of documents. It uses a combination of natural language processing techniques and machine learning algorithms to provide accurate and efficient search results. The system also includes features such as spell checking and synonym expansion to further enhance the user experience.</t>
        </is>
      </c>
      <c r="M220" t="n">
        <v>0.004</v>
      </c>
      <c r="N220" t="n">
        <v>0.0635</v>
      </c>
      <c r="O220" t="n">
        <v>0.1181</v>
      </c>
    </row>
    <row r="221">
      <c r="A221" t="inlineStr">
        <is>
          <t>crate</t>
        </is>
      </c>
      <c r="B221" t="inlineStr">
        <is>
          <t>server/src/testFixtures/java/io/crate/testing/NodeAssert.java</t>
        </is>
      </c>
      <c r="C221">
        <f>HYPERLINK("https://github.com/crate/crate/blob/master/server/src/testFixtures/java/io/crate/testing/NodeAssert.java")</f>
        <v/>
      </c>
      <c r="D221" t="inlineStr">
        <is>
          <t>This code appears to be a Java implementation of a system that performs various operations related to data processing. The code includes comments explaining the purpose of each class and method, as well as a README file that provides some background information about the project. The code also includes a LICENSE file indicating that it is released under the Apache License, version 2.0.
The</t>
        </is>
      </c>
      <c r="E221" t="n">
        <v>0.0034</v>
      </c>
      <c r="F221" t="n">
        <v>0.0822</v>
      </c>
      <c r="G221" t="n">
        <v>0.1103</v>
      </c>
      <c r="H221" t="inlineStr">
        <is>
          <t>This code appears to be a Java implementation of a backend system's core algorithms. The code is well-documented, with comments explaining the purpose and functionality of each component. The complexity of the code is O(N), where N represents the number of elements processed. The code has been committed once, with a total size of approximately 1000 lines. The README</t>
        </is>
      </c>
      <c r="I221" t="n">
        <v>0.0044</v>
      </c>
      <c r="J221" t="n">
        <v>0.1143</v>
      </c>
      <c r="K221" t="n">
        <v>0.1908</v>
      </c>
      <c r="L221" t="inlineStr">
        <is>
          <t>The code implements the core algorithms for processing data from various sources and storing them in a centralized database. It uses a combination of machine learning models and statistical techniques to analyze the data and make predictions about future trends. The code has a complexity of O(n) and relies on existing comments and commit messages to understand its purpose and behavior.</t>
        </is>
      </c>
      <c r="M221" t="n">
        <v>0.0039</v>
      </c>
      <c r="N221" t="n">
        <v>0.0857</v>
      </c>
      <c r="O221" t="n">
        <v>0.1504</v>
      </c>
    </row>
    <row r="222">
      <c r="A222" t="inlineStr">
        <is>
          <t>crate</t>
        </is>
      </c>
      <c r="B222" t="inlineStr">
        <is>
          <t>server/src/testFixtures/java/io/crate/testing/IndexVersionCreated.java</t>
        </is>
      </c>
      <c r="C222">
        <f>HYPERLINK("https://github.com/crate/crate/blob/master/server/src/testFixtures/java/io/crate/testing/IndexVersionCreated.java")</f>
        <v/>
      </c>
      <c r="D222" t="inlineStr">
        <is>
          <t>This code appears to be a Java implementation of various algorithms related to data structures such as arrays and linked lists. It includes comments describing the purpose of each algorithm and the complexity of their running time. The code also includes a README file that describes the overall project's goals and provides some context about the codebase. Overall, it seems like this codebase could be used as a</t>
        </is>
      </c>
      <c r="E222" t="n">
        <v>0.0032</v>
      </c>
      <c r="F222" t="n">
        <v>0.0779</v>
      </c>
      <c r="G222" t="n">
        <v>0.1429</v>
      </c>
      <c r="H222" t="inlineStr">
        <is>
          <t>This is a Java project that includes source code for a web application's backend. The code is licensed under the Apache License, version 2.0, and it has been contributed to Crate.io GmbH. The project consists of several files, including a README file, a LICENSE file, and several Java classes.
The main class of the project</t>
        </is>
      </c>
      <c r="I222" t="n">
        <v>0.004</v>
      </c>
      <c r="J222" t="n">
        <v>0.0606</v>
      </c>
      <c r="K222" t="n">
        <v>0.07870000000000001</v>
      </c>
      <c r="L222" t="inlineStr">
        <is>
          <t>The provided code implements a system that uses machine learning algorithms to analyze data from various sources and predict future trends. It takes in input data and generates output predictions based on the analysis. The code has been optimized for performance using techniques such as caching and parallel processing, making it suitable for large-scale applications.</t>
        </is>
      </c>
      <c r="M222" t="n">
        <v>0.004</v>
      </c>
      <c r="N222" t="n">
        <v>0.0625</v>
      </c>
      <c r="O222" t="n">
        <v>0.1181</v>
      </c>
    </row>
    <row r="223">
      <c r="A223" t="inlineStr">
        <is>
          <t>crate</t>
        </is>
      </c>
      <c r="B223" t="inlineStr">
        <is>
          <t>server/src/testFixtures/java/io/crate/testing/ReferenceAssert.java</t>
        </is>
      </c>
      <c r="C223">
        <f>HYPERLINK("https://github.com/crate/crate/blob/master/server/src/testFixtures/java/io/crate/testing/ReferenceAssert.java")</f>
        <v/>
      </c>
      <c r="D223" t="inlineStr">
        <is>
          <t>This code appears to be a Java implementation of various algorithms used in computer science, specifically those related to data structures and algorithms. The comments indicate that the code is intended for educational purposes only and should not be used for production environments without proper testing and evaluation. The complexity of the code is O(N), where N represents the size of the input data set. The code is well-documented</t>
        </is>
      </c>
      <c r="E223" t="n">
        <v>0.0031</v>
      </c>
      <c r="F223" t="n">
        <v>0.0759</v>
      </c>
      <c r="G223" t="n">
        <v>0.1418</v>
      </c>
      <c r="H223" t="inlineStr">
        <is>
          <t>This code appears to be a Java implementation of a web application's backend. It includes a README file that describes the project as a collection of backend software components. The complexity of the code is estimated to be O(N), where N is the number of elements in the input data set. The comments indicate that the code implements core algorithms. There has been one commit to the code</t>
        </is>
      </c>
      <c r="I223" t="n">
        <v>0.0067</v>
      </c>
      <c r="J223" t="n">
        <v>0.1026</v>
      </c>
      <c r="K223" t="n">
        <v>0.2254</v>
      </c>
      <c r="L223" t="inlineStr">
        <is>
          <t>The provided code implements a system that processes data from various sources and stores it in a database for analysis. It uses a variety of algorithms and techniques to ensure efficient data processing and storage. The system's primary function is to provide insights into the data it processes, allowing users to make informed decisions based on the analyzed data.</t>
        </is>
      </c>
      <c r="M223" t="n">
        <v>0.0037</v>
      </c>
      <c r="N223" t="n">
        <v>0.0588</v>
      </c>
      <c r="O223" t="n">
        <v>0.1145</v>
      </c>
    </row>
    <row r="224">
      <c r="A224" t="inlineStr">
        <is>
          <t>crate</t>
        </is>
      </c>
      <c r="B224" t="inlineStr">
        <is>
          <t>server/src/testFixtures/java/io/crate/testing/SymbolAssert.java</t>
        </is>
      </c>
      <c r="C224">
        <f>HYPERLINK("https://github.com/crate/crate/blob/master/server/src/testFixtures/java/io/crate/testing/SymbolAssert.java")</f>
        <v/>
      </c>
      <c r="D224" t="inlineStr">
        <is>
          <t>This code implements various algorithms used in the development of backend software. The complexity of the code is O(N), where N represents the number of elements being processed. The code includes comments explaining its implementation and usage, as well as a README file that provides an overview of the project's purpose and structure. There has been only one initial commit to the codebase. The total</t>
        </is>
      </c>
      <c r="E224" t="n">
        <v>0.0037</v>
      </c>
      <c r="F224" t="n">
        <v>0.1067</v>
      </c>
      <c r="G224" t="n">
        <v>0.146</v>
      </c>
      <c r="H224" t="inlineStr">
        <is>
          <t>This repository contains backend software components that implement various algorithms. The complexity of the code is O(N), where N represents the number of elements being processed. The code has been commented extensively throughout, providing detailed explanations of each component's purpose and implementation. There have been no commits since the initial codebase was created, but there is a README file that provides a brief over</t>
        </is>
      </c>
      <c r="I224" t="n">
        <v>0.0037</v>
      </c>
      <c r="J224" t="n">
        <v>0.1081</v>
      </c>
      <c r="K224" t="n">
        <v>0.1471</v>
      </c>
      <c r="L224" t="inlineStr">
        <is>
          <t>The provided code implements a system that processes data from various sources and stores them in a database. It uses a combination of algorithms and techniques to ensure efficient processing and storage of large amounts of data. The code also includes comments and documentation to help understand the implementation and usage of the system.</t>
        </is>
      </c>
      <c r="M224" t="n">
        <v>0.004</v>
      </c>
      <c r="N224" t="n">
        <v>0.0645</v>
      </c>
      <c r="O224" t="n">
        <v>0.119</v>
      </c>
    </row>
    <row r="225">
      <c r="A225" t="inlineStr">
        <is>
          <t>crate</t>
        </is>
      </c>
      <c r="B225" t="inlineStr">
        <is>
          <t>server/src/testFixtures/java/io/crate/testing/auth/RsaKeys.java</t>
        </is>
      </c>
      <c r="C225">
        <f>HYPERLINK("https://github.com/crate/crate/blob/master/server/src/testFixtures/java/io/crate/testing/auth/RsaKeys.java")</f>
        <v/>
      </c>
      <c r="D225" t="inlineStr">
        <is>
          <t>The code implements various algorithms used in the development of a web application. It includes comments explaining the purpose of each algorithm and the complexity of their implementation. The code size is approximately 1000 lines.</t>
        </is>
      </c>
      <c r="E225" t="n">
        <v>0.0063</v>
      </c>
      <c r="F225" t="n">
        <v>0.093</v>
      </c>
      <c r="G225" t="n">
        <v>0.1402</v>
      </c>
      <c r="H225" t="inlineStr">
        <is>
          <t>This code appears to be a collection of backend software components, written in Java, that implement various algorithms. The code is open source and available under the Apache License 2.0. It has been committed once and has a total size of approximately 1000 lines. The complexity of the code is O(N), where N represents the number of elements being processed. The comments in</t>
        </is>
      </c>
      <c r="I225" t="n">
        <v>0.0038</v>
      </c>
      <c r="J225" t="n">
        <v>0.1096</v>
      </c>
      <c r="K225" t="n">
        <v>0.1481</v>
      </c>
      <c r="L225" t="inlineStr">
        <is>
          <t>The provided code appears to be a Java implementation of a web application that utilizes a database management system called CrateDB. It includes various features such as user authentication, data retrieval, and data manipulation. The code also makes use of existing comments and documentation to provide insight into the overall architecture and functionality of the application.</t>
        </is>
      </c>
      <c r="M225" t="n">
        <v>0.0039</v>
      </c>
      <c r="N225" t="n">
        <v>0.0625</v>
      </c>
      <c r="O225" t="n">
        <v>0.1172</v>
      </c>
    </row>
    <row r="226">
      <c r="A226" t="inlineStr">
        <is>
          <t>crate</t>
        </is>
      </c>
      <c r="B226" t="inlineStr">
        <is>
          <t>server/src/testFixtures/java/io/crate/protocols/postgres/MockPgClient.java</t>
        </is>
      </c>
      <c r="C226">
        <f>HYPERLINK("https://github.com/crate/crate/blob/master/server/src/testFixtures/java/io/crate/protocols/postgres/MockPgClient.java")</f>
        <v/>
      </c>
      <c r="D226" t="inlineStr">
        <is>
          <t>This code appears to be a Java implementation of various algorithms used in computer science, specifically Big O notation. The code has been optimized for performance using techniques such as caching and memoization, which can improve the efficiency of certain operations. The comments provide insight into the design and implementation decisions made during development, including the complexity of the code and any notable features or optimizations that were implemented.</t>
        </is>
      </c>
      <c r="E226" t="n">
        <v>0.0031</v>
      </c>
      <c r="F226" t="n">
        <v>0.0779</v>
      </c>
      <c r="G226" t="n">
        <v>0.1418</v>
      </c>
      <c r="H226" t="inlineStr">
        <is>
          <t>This code appears to be a collection of backend software components, written in Java. The README file describes the purpose of the project as implementing core algorithms. The complexity of the code is estimated to be O(N), where N represents the number of elements being processed. There have been no commits made to the codebase since its initial creation, and it has a total size of approximately</t>
        </is>
      </c>
      <c r="I226" t="n">
        <v>0.0038</v>
      </c>
      <c r="J226" t="n">
        <v>0.1316</v>
      </c>
      <c r="K226" t="n">
        <v>0.2676</v>
      </c>
      <c r="L226" t="inlineStr">
        <is>
          <t>The provided code implements a web application that allows users to create, edit, and delete notes. It uses a RESTful API to handle requests and responses, and utilizes a SQL database to store note data. The code also includes authentication and authorization features to ensure that only authorized users can access certain parts of the application.</t>
        </is>
      </c>
      <c r="M226" t="n">
        <v>0.0039</v>
      </c>
      <c r="N226" t="n">
        <v>0.0625</v>
      </c>
      <c r="O226" t="n">
        <v>0.1172</v>
      </c>
    </row>
    <row r="227">
      <c r="A227" t="inlineStr">
        <is>
          <t>crate</t>
        </is>
      </c>
      <c r="B227" t="inlineStr">
        <is>
          <t>server/src/testFixtures/java/io/crate/protocols/postgres/MockPgClientFactory.java</t>
        </is>
      </c>
      <c r="C227">
        <f>HYPERLINK("https://github.com/crate/crate/blob/master/server/src/testFixtures/java/io/crate/protocols/postgres/MockPgClientFactory.java")</f>
        <v/>
      </c>
      <c r="D227" t="inlineStr">
        <is>
          <t>The provided code is a Java implementation of various algorithms used in data processing. It appears to be part of a larger project, as it includes a README file that describes the purpose of the repository and provides some basic information about the complexity and comments within the code.
The code defines several classes and methods related to data processing, including sorting, searching, and manipulating data structures.</t>
        </is>
      </c>
      <c r="E227" t="n">
        <v>0.0027</v>
      </c>
      <c r="F227" t="n">
        <v>0.0533</v>
      </c>
      <c r="G227" t="n">
        <v>0.1079</v>
      </c>
      <c r="H227" t="inlineStr">
        <is>
          <t>This code appears to be a Java implementation of a backend system's core algorithms. The code is licensed under the Apache License 2.0 and includes comments describing its purpose and complexity. It has been committed once and has a size of approximately 1000 lines of code.</t>
        </is>
      </c>
      <c r="I227" t="n">
        <v>0.0053</v>
      </c>
      <c r="J227" t="n">
        <v>0.1429</v>
      </c>
      <c r="K227" t="n">
        <v>0.1695</v>
      </c>
      <c r="L227" t="inlineStr">
        <is>
          <t>The code implements the core algorithms for processing data in a system that generates reports based on user input. It takes in user input, processes it using various algorithms, and then generates reports based on the processed data.</t>
        </is>
      </c>
      <c r="M227" t="n">
        <v>0.0064</v>
      </c>
      <c r="N227" t="n">
        <v>0.1304</v>
      </c>
      <c r="O227" t="n">
        <v>0.1818</v>
      </c>
    </row>
    <row r="228">
      <c r="A228" t="inlineStr">
        <is>
          <t>crate</t>
        </is>
      </c>
      <c r="B228" t="inlineStr">
        <is>
          <t>server/src/testFixtures/java/io/crate/lucene/CrateLuceneTestCase.java</t>
        </is>
      </c>
      <c r="C228">
        <f>HYPERLINK("https://github.com/crate/crate/blob/master/server/src/testFixtures/java/io/crate/lucene/CrateLuceneTestCase.java")</f>
        <v/>
      </c>
      <c r="D228" t="inlineStr">
        <is>
          <t>This code appears to be a Java library that provides various utility functions for working with strings. The library includes methods for checking whether a string is empty, trimming whitespace from both ends of a string, and splitting a string into substrings based on a delimiter. It also includes a method for joining two or more strings together using a separator character. Overall, the library seems to provide a simple</t>
        </is>
      </c>
      <c r="E228" t="n">
        <v>0.0031</v>
      </c>
      <c r="F228" t="n">
        <v>0.0769</v>
      </c>
      <c r="G228" t="n">
        <v>0.1056</v>
      </c>
      <c r="H228" t="inlineStr">
        <is>
          <t>This code implements a set of backend software components that perform various tasks using O(N) complexity. The code has been written with comments explaining the implementation of core algorithms. It was initially committed as part of the project's codebase.</t>
        </is>
      </c>
      <c r="I228" t="n">
        <v>0.0067</v>
      </c>
      <c r="J228" t="n">
        <v>0.1633</v>
      </c>
      <c r="K228" t="n">
        <v>0.2252</v>
      </c>
      <c r="L228" t="inlineStr">
        <is>
          <t>The provided code implements a system that processes data from various sources and stores them in a database. It uses a combination of algorithms and techniques to ensure efficient processing and storage of large amounts of data. The code is well-documented, with comments explaining the implementation of the core algorithms and the overall purpose of the system.</t>
        </is>
      </c>
      <c r="M228" t="n">
        <v>0.0042</v>
      </c>
      <c r="N228" t="n">
        <v>0.09089999999999999</v>
      </c>
      <c r="O228" t="n">
        <v>0.155</v>
      </c>
    </row>
    <row r="229">
      <c r="A229" t="inlineStr">
        <is>
          <t>crate</t>
        </is>
      </c>
      <c r="B229" t="inlineStr">
        <is>
          <t>server/src/testFixtures/java/io/crate/lucene/PatchedAssertingLeafReader.java</t>
        </is>
      </c>
      <c r="C229">
        <f>HYPERLINK("https://github.com/crate/crate/blob/master/server/src/testFixtures/java/io/crate/lucene/PatchedAssertingLeafReader.java")</f>
        <v/>
      </c>
      <c r="D229" t="inlineStr">
        <is>
          <t>This code appears to be part of a Java project that implements various algorithms related to data processing and analysis. It includes classes and methods for reading and manipulating binary data, as well as implementing custom logic for certain tasks such as sorting and searching. The code also includes comments describing the purpose and implementation of each class and method, which can help developers understand how the code works and make changes if necessary</t>
        </is>
      </c>
      <c r="E229" t="n">
        <v>0.0032</v>
      </c>
      <c r="F229" t="n">
        <v>0.09760000000000001</v>
      </c>
      <c r="G229" t="n">
        <v>0.2162</v>
      </c>
      <c r="H229" t="inlineStr">
        <is>
          <t>This code appears to be part of a Java project that implements a Lucene index for the Crate database management system. It defines several classes related to indexing and querying data stored in the Crate format.
The `CrateIndex` class is the main entry point for the application, and it provides methods for creating and managing indexes based on the Crate schema. It also</t>
        </is>
      </c>
      <c r="I229" t="n">
        <v>0.0038</v>
      </c>
      <c r="J229" t="n">
        <v>0.08450000000000001</v>
      </c>
      <c r="K229" t="n">
        <v>0.1481</v>
      </c>
      <c r="L229" t="inlineStr">
        <is>
          <t>This Java package named `io.crate.lucene` implements various functionalities related to Lucene indexing and querying. It includes classes that extend or implement various Lucene interfaces such as BinaryDocValues, DocValues, and others. The package also includes utility methods for working with arrays and objects.</t>
        </is>
      </c>
      <c r="M229" t="n">
        <v>0.0058</v>
      </c>
      <c r="N229" t="n">
        <v>0.1538</v>
      </c>
      <c r="O229" t="n">
        <v>0.1754</v>
      </c>
    </row>
    <row r="230">
      <c r="A230" t="inlineStr">
        <is>
          <t>crate</t>
        </is>
      </c>
      <c r="B230" t="inlineStr">
        <is>
          <t>server/src/testFixtures/java/io/crate/test/utils/BlobsUtil.java</t>
        </is>
      </c>
      <c r="C230">
        <f>HYPERLINK("https://github.com/crate/crate/blob/master/server/src/testFixtures/java/io/crate/test/utils/BlobsUtil.java")</f>
        <v/>
      </c>
      <c r="D230" t="inlineStr">
        <is>
          <t>This code appears to be a Java implementation of various algorithms used in computer science, specifically Big O notation. The code has been commented extensively, but it does not appear to contain any actual functional code. It seems to be a stub or a starting point for implementing the algorithms described in the comments.</t>
        </is>
      </c>
      <c r="E230" t="n">
        <v>0.0034</v>
      </c>
      <c r="F230" t="n">
        <v>0.0968</v>
      </c>
      <c r="G230" t="n">
        <v>0.119</v>
      </c>
      <c r="H230" t="inlineStr">
        <is>
          <t>This code appears to be a collection of backend software components that implement various algorithms. The code has been written in Java and uses the Apache License 2.0. It includes comments explaining the purpose of each class and method, as well as a README file that provides a high-level overview of the project's goals and structure. The complexity of the code is estimated to be</t>
        </is>
      </c>
      <c r="I230" t="n">
        <v>0.0037</v>
      </c>
      <c r="J230" t="n">
        <v>0.1053</v>
      </c>
      <c r="K230" t="n">
        <v>0.1825</v>
      </c>
      <c r="L230" t="inlineStr">
        <is>
          <t>The provided code implements a web application that allows users to create, edit, and delete notes. It uses a RESTful API to interact with a database and provides a user interface for managing notes using HTML, CSS, and JavaScript.</t>
        </is>
      </c>
      <c r="M230" t="n">
        <v>0.0056</v>
      </c>
      <c r="N230" t="n">
        <v>0.0851</v>
      </c>
      <c r="O230" t="n">
        <v>0.1351</v>
      </c>
    </row>
    <row r="231">
      <c r="A231" t="inlineStr">
        <is>
          <t>crate</t>
        </is>
      </c>
      <c r="B231" t="inlineStr">
        <is>
          <t>server/src/testFixtures/java/io/crate/test/utils/ConnectionTestUtil.java</t>
        </is>
      </c>
      <c r="C231">
        <f>HYPERLINK("https://github.com/crate/crate/blob/master/server/src/testFixtures/java/io/crate/test/utils/ConnectionTestUtil.java")</f>
        <v/>
      </c>
      <c r="D231" t="inlineStr">
        <is>
          <t>This code appears to be a Java implementation of various algorithms used in the backend of a web application. The code is well-documented and includes comments explaining the purpose and complexity of each algorithm. The code also includes a README file that provides an overview of the project's goals and the structure of the codebase.
The code defines several classes and interfaces related to data</t>
        </is>
      </c>
      <c r="E231" t="n">
        <v>0.0033</v>
      </c>
      <c r="F231" t="n">
        <v>0.08</v>
      </c>
      <c r="G231" t="n">
        <v>0.146</v>
      </c>
      <c r="H231" t="inlineStr">
        <is>
          <t>This code appears to be a Java implementation of a library containing various utility functions for working with data structures such as lists and maps. The code includes comments that explain the purpose of each function and how it works. It also includes a README file that describes the overall project and its goals. The complexity of the code is estimated to be O(N), where N is the size of the</t>
        </is>
      </c>
      <c r="I231" t="n">
        <v>0.003</v>
      </c>
      <c r="J231" t="n">
        <v>0.1</v>
      </c>
      <c r="K231" t="n">
        <v>0.1399</v>
      </c>
      <c r="L231" t="inlineStr">
        <is>
          <t>The provided code implements a system that allows users to search for and retrieve data from a database. It uses a combination of SQL queries and JavaScript to perform the necessary tasks. The code also includes comments and documentation to help explain the functionality and usage of the system.</t>
        </is>
      </c>
      <c r="M231" t="n">
        <v>0.008800000000000001</v>
      </c>
      <c r="N231" t="n">
        <v>0.1053</v>
      </c>
      <c r="O231" t="n">
        <v>0.2112</v>
      </c>
    </row>
    <row r="232">
      <c r="A232" t="inlineStr">
        <is>
          <t>crate</t>
        </is>
      </c>
      <c r="B232" t="inlineStr">
        <is>
          <t>server/src/testFixtures/java/io/crate/test/integration/CrateDummyClusterServiceUnitTest.java</t>
        </is>
      </c>
      <c r="C232">
        <f>HYPERLINK("https://github.com/crate/crate/blob/master/server/src/testFixtures/java/io/crate/test/integration/CrateDummyClusterServiceUnitTest.java")</f>
        <v/>
      </c>
      <c r="D232" t="inlineStr">
        <is>
          <t>This code appears to be a Java implementation of various algorithms used in the development of a web application's back-end. The code includes comments that explain the purpose of each class and method, as well as some basic documentation about the project. It also includes a README file that provides an overview of the project and its goals.
The code has a complexity of O(</t>
        </is>
      </c>
      <c r="E232" t="n">
        <v>0.0033</v>
      </c>
      <c r="F232" t="n">
        <v>0.08</v>
      </c>
      <c r="G232" t="n">
        <v>0.146</v>
      </c>
      <c r="H232" t="inlineStr">
        <is>
          <t>This code appears to be a Java implementation of a backend system, containing various classes and methods that perform different functions related to the operation of the system. The code includes comments explaining the purpose and usage of each class and method, as well as a README file that provides an overview of the project's structure and goals. The complexity of the code is described as O(N),</t>
        </is>
      </c>
      <c r="I232" t="n">
        <v>0.0032</v>
      </c>
      <c r="J232" t="n">
        <v>0.1039</v>
      </c>
      <c r="K232" t="n">
        <v>0.1439</v>
      </c>
      <c r="L232" t="inlineStr">
        <is>
          <t>The provided code implements a backend system that processes data from various sources and provides insights to users. It uses a combination of machine learning algorithms and statistical techniques to analyze the data and make predictions about future trends. The code has a complexity of O(N), with existing comments providing insight into the implementation of core algorithms. The code size is approximately 1000 lines long.</t>
        </is>
      </c>
      <c r="M232" t="n">
        <v>0.0037</v>
      </c>
      <c r="N232" t="n">
        <v>0.0541</v>
      </c>
      <c r="O232" t="n">
        <v>0.146</v>
      </c>
    </row>
    <row r="233">
      <c r="A233" t="inlineStr">
        <is>
          <t>crate</t>
        </is>
      </c>
      <c r="B233" t="inlineStr">
        <is>
          <t>server/src/testFixtures/java/io/crate/test/integration/SystemPropsTestLoggingListener.java</t>
        </is>
      </c>
      <c r="C233">
        <f>HYPERLINK("https://github.com/crate/crate/blob/master/server/src/testFixtures/java/io/crate/test/integration/SystemPropsTestLoggingListener.java")</f>
        <v/>
      </c>
      <c r="D233" t="inlineStr">
        <is>
          <t>This code appears to be a Java implementation of various algorithms related to data structures and operations. The code is well-documented and includes comments explaining the purpose and complexity of each algorithm. The code also includes a README file that provides an overview of the project's goals and objectives, as well as instructions for building and running the code. Overall, it seems like this</t>
        </is>
      </c>
      <c r="E233" t="n">
        <v>0.0034</v>
      </c>
      <c r="F233" t="n">
        <v>0.08110000000000001</v>
      </c>
      <c r="G233" t="n">
        <v>0.1471</v>
      </c>
      <c r="H233" t="inlineStr">
        <is>
          <t>This code implements a set of backend software components that perform various tasks related to data processing and analysis. The code has been written in Java and uses the Apache License, which allows its use and modification under certain conditions. The codebase includes comments explaining the implementation of core algorithms and provides a README file with detailed documentation about the project's purpose and structure. The complexity of the code is</t>
        </is>
      </c>
      <c r="I233" t="n">
        <v>0.0039</v>
      </c>
      <c r="J233" t="n">
        <v>0.1266</v>
      </c>
      <c r="K233" t="n">
        <v>0.2113</v>
      </c>
      <c r="L233" t="inlineStr">
        <is>
          <t>The provided code implements various functionalities related to data processing and analysis. It appears to be a part of a larger system that involves implementing core algorithms for data manipulation and visualization. The code uses a variety of programming constructs such as loops, conditionals, and functions to perform complex tasks. The code also includes comments and documentation that provide insight into the implementation details and the reasoning behind certain</t>
        </is>
      </c>
      <c r="M233" t="n">
        <v>0.0035</v>
      </c>
      <c r="N233" t="n">
        <v>0.1039</v>
      </c>
      <c r="O233" t="n">
        <v>0.1418</v>
      </c>
    </row>
    <row r="234">
      <c r="A234" t="inlineStr">
        <is>
          <t>crate</t>
        </is>
      </c>
      <c r="B234" t="inlineStr">
        <is>
          <t>server/src/testFixtures/java/io/crate/integrationtests/Setup.java</t>
        </is>
      </c>
      <c r="C234">
        <f>HYPERLINK("https://github.com/crate/crate/blob/master/server/src/testFixtures/java/io/crate/integrationtests/Setup.java")</f>
        <v/>
      </c>
      <c r="D234" t="inlineStr">
        <is>
          <t>This code appears to be a Java implementation of various algorithms used in the development of a web application. The code is well-documented and includes comments describing the purpose and complexity of each algorithm. The code also includes a README file that provides an overview of the project's goals and objectives.
The code defines several classes and interfaces related to data structures such as lists</t>
        </is>
      </c>
      <c r="E234" t="n">
        <v>0.0033</v>
      </c>
      <c r="F234" t="n">
        <v>0.08</v>
      </c>
      <c r="G234" t="n">
        <v>0.146</v>
      </c>
      <c r="H234" t="inlineStr">
        <is>
          <t>This code implements a system that processes data from various sources and performs calculations based on those inputs. The code has been optimized for performance using Big-O notation, which indicates that the algorithm's complexity is O(N), meaning it grows linearly with the size of the input.
The comments provide context about the purpose of the code and its implementation details. They also mention that the</t>
        </is>
      </c>
      <c r="I234" t="n">
        <v>0.0037</v>
      </c>
      <c r="J234" t="n">
        <v>0.0789</v>
      </c>
      <c r="K234" t="n">
        <v>0.146</v>
      </c>
      <c r="L234" t="inlineStr">
        <is>
          <t>The provided code implements a system that allows users to create and manage their own personalized playlists based on their listening history. It uses machine learning algorithms to recommend songs that are similar to the ones a user has liked or disliked in the past. The system also includes features such as search bars to find specific songs and artists, and a recommendation algorithm that suggests new songs based on the user</t>
        </is>
      </c>
      <c r="M234" t="n">
        <v>0.003</v>
      </c>
      <c r="N234" t="n">
        <v>0.05</v>
      </c>
      <c r="O234" t="n">
        <v>0.1042</v>
      </c>
    </row>
    <row r="235">
      <c r="A235" t="inlineStr">
        <is>
          <t>crate</t>
        </is>
      </c>
      <c r="B235" t="inlineStr">
        <is>
          <t>server/src/testFixtures/java/io/crate/statistics/StatsUtils.java</t>
        </is>
      </c>
      <c r="C235">
        <f>HYPERLINK("https://github.com/crate/crate/blob/master/server/src/testFixtures/java/io/crate/statistics/StatsUtils.java")</f>
        <v/>
      </c>
      <c r="D235" t="inlineStr">
        <is>
          <t>The provided code appears to be a Java implementation of various algorithms used in a web application's backend. It includes comments that describe the purpose of each class and method, as well as some basic documentation about the overall project.
The code defines several classes that implement different interfaces related to data processing and manipulation, such as `DataProcessor`, `DataTransformer`, and `DataValidator</t>
        </is>
      </c>
      <c r="E235" t="n">
        <v>0.003</v>
      </c>
      <c r="F235" t="n">
        <v>0.0571</v>
      </c>
      <c r="G235" t="n">
        <v>0.1128</v>
      </c>
      <c r="H235" t="inlineStr">
        <is>
          <t>This code appears to be a Java library containing various utility classes and methods used for implementing core algorithms. The README file provides a brief overview of the purpose and scope of the project, as well as some basic information about the authors and their roles. The complexity of the code is estimated to be O(N), where N represents the size of the input data. The comments throughout the</t>
        </is>
      </c>
      <c r="I235" t="n">
        <v>0.0035</v>
      </c>
      <c r="J235" t="n">
        <v>0.1026</v>
      </c>
      <c r="K235" t="n">
        <v>0.2638</v>
      </c>
      <c r="L235" t="inlineStr">
        <is>
          <t>The provided code implements a system that allows users to create, update, and delete data stored in a database. It uses a RESTful API to handle HTTP requests and responses, and includes authentication and authorization features to ensure secure access to sensitive data. The code also includes documentation and comments to help developers understand how the system works and how to modify it as needed.</t>
        </is>
      </c>
      <c r="M235" t="n">
        <v>0.0033</v>
      </c>
      <c r="N235" t="n">
        <v>0.0548</v>
      </c>
      <c r="O235" t="n">
        <v>0.1865</v>
      </c>
    </row>
    <row r="236">
      <c r="A236" t="inlineStr">
        <is>
          <t>crate</t>
        </is>
      </c>
      <c r="B236" t="inlineStr">
        <is>
          <t>server/src/testFixtures/java/org/elasticsearch/repositories/ESBlobStoreTestCase.java</t>
        </is>
      </c>
      <c r="C236">
        <f>HYPERLINK("https://github.com/crate/crate/blob/master/server/src/testFixtures/java/org/elasticsearch/repositories/ESBlobStoreTestCase.java")</f>
        <v/>
      </c>
      <c r="D236" t="inlineStr">
        <is>
          <t>This Java package `org.elasticsearch.repositories` defines classes related to storing and retrieving data in a repository. The main class `Repository` provides methods for interacting with the repository, such as `getFile()` which returns an input stream for reading a file from the repository, and `putFile()` which writes a file to the repository. Other classes in the package provide</t>
        </is>
      </c>
      <c r="E236" t="n">
        <v>0.0039</v>
      </c>
      <c r="F236" t="n">
        <v>0.0606</v>
      </c>
      <c r="G236" t="n">
        <v>0.0781</v>
      </c>
      <c r="H236" t="inlineStr">
        <is>
          <t>This code defines a Java class named `ElasticsearchRepository` that implements the `org.elasticsearch.repositories.Repository` interface. The class has several methods that perform various operations related to storing and retrieving data from a backend storage system.
The class's constructor takes an instance of the `org.elasticsearch.common.blobstore.BlobContainer</t>
        </is>
      </c>
      <c r="I236" t="n">
        <v>0.0058</v>
      </c>
      <c r="J236" t="n">
        <v>0.1034</v>
      </c>
      <c r="K236" t="n">
        <v>0.1316</v>
      </c>
      <c r="L236" t="inlineStr">
        <is>
          <t>The provided code defines a class named `ElasticsearchRepository` that implements the `BlobContainer` interface from the Elasticsearch framework. It provides methods for creating, reading, and deleting blobs within a container. The class also includes some basic tests using the JUnit testing framework.
The primary purpose of the class appears to be to provide a way to interact with a blob</t>
        </is>
      </c>
      <c r="M236" t="n">
        <v>0.0037</v>
      </c>
      <c r="N236" t="n">
        <v>0.0597</v>
      </c>
      <c r="O236" t="n">
        <v>0.1145</v>
      </c>
    </row>
    <row r="237">
      <c r="A237" t="inlineStr">
        <is>
          <t>crate</t>
        </is>
      </c>
      <c r="B237" t="inlineStr">
        <is>
          <t>server/src/testFixtures/java/org/elasticsearch/repositories/blobstore/BlobStoreTestUtil.java</t>
        </is>
      </c>
      <c r="C237">
        <f>HYPERLINK("https://github.com/crate/crate/blob/master/server/src/testFixtures/java/org/elasticsearch/repositories/blobstore/BlobStoreTestUtil.java")</f>
        <v/>
      </c>
      <c r="D237" t="inlineStr">
        <is>
          <t>This code appears to be part of an open source project called Elasticsearch, which is a search and analytics engine for data stored in ElasticSearch indices. The code defines a class named `BlobStoreRepository`, which implements the `Repository` interface from the same package.
The `BlobStoreRepository` class has several methods that perform various operations on blobs (binary large</t>
        </is>
      </c>
      <c r="E237" t="n">
        <v>0.0043</v>
      </c>
      <c r="F237" t="n">
        <v>0.0625</v>
      </c>
      <c r="G237" t="n">
        <v>0.1563</v>
      </c>
      <c r="H237" t="inlineStr">
        <is>
          <t>This code defines a Java class named `BlobStoreRepository` that implements the `Repository` interface from the Elasticsearch framework. The class has several methods that perform various operations related to storing and retrieving data in a blob store, such as creating new repositories, deleting existing ones, and listing all available repositories. It also provides methods for uploading and downloading files to and from the blob store</t>
        </is>
      </c>
      <c r="I237" t="n">
        <v>0.0037</v>
      </c>
      <c r="J237" t="n">
        <v>0.0833</v>
      </c>
      <c r="K237" t="n">
        <v>0.1103</v>
      </c>
      <c r="L237" t="inlineStr">
        <is>
          <t>The provided code defines a class named `BlobStoreRepository` that extends the abstract class `ElasticsearchRepository`. It provides methods for storing and retrieving data from a blob store using the Elasticsearch repository framework. The class has several dependencies, including `ElasticsearchClient`, `BlobStore`, and `ObjectMapper`.
The class's primary purpose is to</t>
        </is>
      </c>
      <c r="M237" t="n">
        <v>0.0039</v>
      </c>
      <c r="N237" t="n">
        <v>0.0357</v>
      </c>
      <c r="O237" t="n">
        <v>0.08400000000000001</v>
      </c>
    </row>
    <row r="238">
      <c r="A238" t="inlineStr">
        <is>
          <t>crate</t>
        </is>
      </c>
      <c r="B238" t="inlineStr">
        <is>
          <t>server/src/testFixtures/java/org/elasticsearch/env/TestEnvironment.java</t>
        </is>
      </c>
      <c r="C238">
        <f>HYPERLINK("https://github.com/crate/crate/blob/master/server/src/testFixtures/java/org/elasticsearch/env/TestEnvironment.java")</f>
        <v/>
      </c>
      <c r="D238" t="inlineStr">
        <is>
          <t>The `TestEnvironment` class provides a convenient way for tests to create an `Environment` object without specifying the configuration path. It takes a `Settings` object as input and uses it to initialize the environment.</t>
        </is>
      </c>
      <c r="E238" t="n">
        <v>0.0056</v>
      </c>
      <c r="F238" t="n">
        <v>0.0488</v>
      </c>
      <c r="G238" t="n">
        <v>0.09520000000000001</v>
      </c>
      <c r="H238" t="inlineStr">
        <is>
          <t>The provided code defines a class named `Environment` that provides a convenient way to create an environment object without specifying a configuration path. It takes a single argument of type `Settings`, which represents the settings for the environment. The constructor then sets up the environment based on the given settings.
The `Environment` class also has a static method called `createDefault()` that creates a default environment</t>
        </is>
      </c>
      <c r="I238" t="n">
        <v>0</v>
      </c>
      <c r="J238" t="n">
        <v>0</v>
      </c>
      <c r="K238" t="n">
        <v>0</v>
      </c>
      <c r="L238" t="inlineStr">
        <is>
          <t>The provided code defines a class named `TestEnvironment` that provides a convenient way to create an instance of the `Environment` class used in Elasticsearch. It takes a `Settings` object as input and uses it to construct an `Environment` object with a default configuration path. The constructor is intended for testing purposes only and should not be used in production environments.</t>
        </is>
      </c>
      <c r="M238" t="n">
        <v>0.003</v>
      </c>
      <c r="N238" t="n">
        <v>0.0294</v>
      </c>
      <c r="O238" t="n">
        <v>0.07580000000000001</v>
      </c>
    </row>
    <row r="239">
      <c r="A239" t="inlineStr">
        <is>
          <t>crate</t>
        </is>
      </c>
      <c r="B239" t="inlineStr">
        <is>
          <t>server/src/testFixtures/java/org/elasticsearch/index/MockEngineFactoryPlugin.java</t>
        </is>
      </c>
      <c r="C239">
        <f>HYPERLINK("https://github.com/crate/crate/blob/master/server/src/testFixtures/java/org/elasticsearch/index/MockEngineFactoryPlugin.java")</f>
        <v/>
      </c>
      <c r="D239" t="inlineStr">
        <is>
          <t>This Java code defines a class named `Index` that represents an index in Elasticsearch. It has several fields and methods, including:
* A constructor that takes a list of settings as input.
* A field named `settings` that stores a list of setting objects.
* A method named `getSettings()` that returns the list of settings.
* A method named `</t>
        </is>
      </c>
      <c r="E239" t="n">
        <v>0.0036</v>
      </c>
      <c r="F239" t="n">
        <v>0.0635</v>
      </c>
      <c r="G239" t="n">
        <v>0.07580000000000001</v>
      </c>
      <c r="H239" t="inlineStr">
        <is>
          <t>This code defines a package called `org.elasticsearch.index` that contains several classes related to indexing data in Elasticsearch. The package includes an `IndexSettings` class that provides access to settings for an index, such as its name and number of shards. It also includes an `IndexService` class that manages the lifecycle of an index, including creating, deleting, and</t>
        </is>
      </c>
      <c r="I239" t="n">
        <v>0.0039</v>
      </c>
      <c r="J239" t="n">
        <v>0.0606</v>
      </c>
      <c r="K239" t="n">
        <v>0.0781</v>
      </c>
      <c r="L239" t="inlineStr">
        <is>
          <t>The provided code defines a class named `Index` that represents an index in Elasticsearch. It has several fields and methods that allow it to interact with the underlying engine, such as `engine`, `shardId`, and `primaryTerm`. It also includes some utility functions like `getSettings()` and `getShards()`. Additionally, there are some static constants defined for the index's</t>
        </is>
      </c>
      <c r="M239" t="n">
        <v>0.0033</v>
      </c>
      <c r="N239" t="n">
        <v>0.0625</v>
      </c>
      <c r="O239" t="n">
        <v>0.07870000000000001</v>
      </c>
    </row>
    <row r="240">
      <c r="A240" t="inlineStr">
        <is>
          <t>crate</t>
        </is>
      </c>
      <c r="B240" t="inlineStr">
        <is>
          <t>server/src/testFixtures/java/org/elasticsearch/index/engine/TranslogHandler.java</t>
        </is>
      </c>
      <c r="C240">
        <f>HYPERLINK("https://github.com/crate/crate/blob/master/server/src/testFixtures/java/org/elasticsearch/index/engine/TranslogHandler.java")</f>
        <v/>
      </c>
      <c r="D240" t="inlineStr">
        <is>
          <t>The provided code appears to be part of an open source project called Elasticsearch, which is a search and analytics engine for data stored in Lucene indices. The code defines several classes related to indexing and searching within these indices.
The `Engine` class is the main entry point for interacting with the index, and it provides methods for adding documents, deleting documents, updating documents,</t>
        </is>
      </c>
      <c r="E240" t="n">
        <v>0.0028</v>
      </c>
      <c r="F240" t="n">
        <v>0.0278</v>
      </c>
      <c r="G240" t="n">
        <v>0.0735</v>
      </c>
      <c r="H240" t="inlineStr">
        <is>
          <t>This repository contains source code for the Elasticsearch indexing engine, which is part of the Elasticsearch search platform. The code is written in Java and uses various libraries and frameworks such as Lucene and Guava. It implements several key features of the Elasticsearch architecture, including document storage, retrieval, and querying. The code also includes unit tests and documentation to help developers understand how the system</t>
        </is>
      </c>
      <c r="I240" t="n">
        <v>0.0037</v>
      </c>
      <c r="J240" t="n">
        <v>0.0822</v>
      </c>
      <c r="K240" t="n">
        <v>0.146</v>
      </c>
      <c r="L240" t="inlineStr">
        <is>
          <t>The provided code defines a class named `IndexEngine` that implements the `Engine` interface from the Elasticsearch framework. It provides methods for indexing documents into an index and retrieving them based on their ID. The class also handles document deletion and updates.
The `IndexEngine` class takes several dependencies in its constructor, including a `DirectoryReader`, which manages the Lucene</t>
        </is>
      </c>
      <c r="M240" t="n">
        <v>0.0038</v>
      </c>
      <c r="N240" t="n">
        <v>0.0615</v>
      </c>
      <c r="O240" t="n">
        <v>0.0775</v>
      </c>
    </row>
    <row r="241">
      <c r="A241" t="inlineStr">
        <is>
          <t>crate</t>
        </is>
      </c>
      <c r="B241" t="inlineStr">
        <is>
          <t>server/src/testFixtures/java/org/elasticsearch/index/engine/InternalTestEngine.java</t>
        </is>
      </c>
      <c r="C241">
        <f>HYPERLINK("https://github.com/crate/crate/blob/master/server/src/testFixtures/java/org/elasticsearch/index/engine/InternalTestEngine.java")</f>
        <v/>
      </c>
      <c r="D241" t="inlineStr">
        <is>
          <t>The provided code defines a class named `Engine` that implements the `IndexEngine` interface. It has several methods that perform various operations related to indexing and searching documents in an index.
The constructor takes two parameters: `shardId` and `config`, which represent the ID of the shard and its configuration respectively. The class also has a private field called `segments`</t>
        </is>
      </c>
      <c r="E241" t="n">
        <v>0.0037</v>
      </c>
      <c r="F241" t="n">
        <v>0.0606</v>
      </c>
      <c r="G241" t="n">
        <v>0.0769</v>
      </c>
      <c r="H241" t="inlineStr">
        <is>
          <t>This code defines a class called `Engine` that implements the `java.util.concurrent.ConcurrentHashMap` interface. The `Engine` class provides a map data structure that can be used to store key-value pairs, where each key corresponds to a document ID and each value represents the corresponding document's state. The implementation uses a custom hash function to distribute keys across multiple bu</t>
        </is>
      </c>
      <c r="I241" t="n">
        <v>0.0042</v>
      </c>
      <c r="J241" t="n">
        <v>0.0857</v>
      </c>
      <c r="K241" t="n">
        <v>0.155</v>
      </c>
      <c r="L241" t="inlineStr">
        <is>
          <t>The provided code defines a custom implementation of the `Engine` interface in the Elasticsearch search engine. It provides a map of `IndexWriter` objects that can be used to write documents to different indexes. The `Engine` class also implements several other methods related to indexing and searching.</t>
        </is>
      </c>
      <c r="M241" t="n">
        <v>0.0048</v>
      </c>
      <c r="N241" t="n">
        <v>0.0741</v>
      </c>
      <c r="O241" t="n">
        <v>0.1271</v>
      </c>
    </row>
    <row r="242">
      <c r="A242" t="inlineStr">
        <is>
          <t>crate</t>
        </is>
      </c>
      <c r="B242" t="inlineStr">
        <is>
          <t>server/src/testFixtures/java/org/elasticsearch/index/engine/EngineTestCase.java</t>
        </is>
      </c>
      <c r="C242">
        <f>HYPERLINK("https://github.com/crate/crate/blob/master/server/src/testFixtures/java/org/elasticsearch/index/engine/EngineTestCase.java")</f>
        <v/>
      </c>
      <c r="D242" t="inlineStr">
        <is>
          <t>This code implements a shuffling algorithm that takes a list of integers as input and returns a new list containing the same elements but in a randomized order. The implementation uses the `java.util.Collections` class's `shuffle()` method to perform the actual shuffling. The code also includes some JUnit tests for verifying the correctness of the implementation.</t>
        </is>
      </c>
      <c r="E242" t="n">
        <v>0.0044</v>
      </c>
      <c r="F242" t="n">
        <v>0.09089999999999999</v>
      </c>
      <c r="G242" t="n">
        <v>0.1575</v>
      </c>
      <c r="H242" t="inlineStr">
        <is>
          <t>This code appears to be part of an open source project called Elasticsearch, which is a search and analytics engine for data stored in ElasticSearch indices. The code defines several classes and methods related to indexing and searching data in these indices.
The `Engine` class is the main entry point for interacting with the index, and it provides methods for adding documents, updating them,</t>
        </is>
      </c>
      <c r="I242" t="n">
        <v>0.0034</v>
      </c>
      <c r="J242" t="n">
        <v>0.0556</v>
      </c>
      <c r="K242" t="n">
        <v>0.1103</v>
      </c>
      <c r="L242" t="inlineStr">
        <is>
          <t>The provided code defines a class named `Engine` that implements various methods related to indexing and searching data in Elasticsearch. The class has several dependencies, including `java.util.Collections`, `org.assertj.core.api.Assertions`, and `org.junit.Test`. The class also includes several constants and variables, such as `EMPTY_LIST`, `SH</t>
        </is>
      </c>
      <c r="M242" t="n">
        <v>0.0052</v>
      </c>
      <c r="N242" t="n">
        <v>0.1017</v>
      </c>
      <c r="O242" t="n">
        <v>0.0877</v>
      </c>
    </row>
    <row r="243">
      <c r="A243" t="inlineStr">
        <is>
          <t>crate</t>
        </is>
      </c>
      <c r="B243" t="inlineStr">
        <is>
          <t>server/src/testFixtures/java/org/elasticsearch/index/engine/DocIdAndSeqNo.java</t>
        </is>
      </c>
      <c r="C243">
        <f>HYPERLINK("https://github.com/crate/crate/blob/master/server/src/testFixtures/java/org/elasticsearch/index/engine/DocIdAndSeqNo.java")</f>
        <v/>
      </c>
      <c r="D243" t="inlineStr">
        <is>
          <t>The `DocIdAndSeqNo` class represents a tuple of a document ID, its sequence number, primary term, and version. It is used as a data structure within the Elasticsearch index engine to store information about documents.</t>
        </is>
      </c>
      <c r="E243" t="n">
        <v>0.0055</v>
      </c>
      <c r="F243" t="n">
        <v>0.0476</v>
      </c>
      <c r="G243" t="n">
        <v>0.09429999999999999</v>
      </c>
      <c r="H243" t="inlineStr">
        <is>
          <t>This code defines a Java record class called `DocIdAndSeqNo` that represents a tuple of four values:
* `id`: a string representing the ID of a document
* `seqNo`: a long integer representing the sequence number of a document
* `primaryTerm`: a long integer representing the primary term of a document
* `ver`: a long integer representing the</t>
        </is>
      </c>
      <c r="I243" t="n">
        <v>0.0032</v>
      </c>
      <c r="J243" t="n">
        <v>0.0328</v>
      </c>
      <c r="K243" t="n">
        <v>0.0388</v>
      </c>
      <c r="L243" t="inlineStr">
        <is>
          <t>The `DocIdAndSeqNo` class represents a tuple of document ID, sequence number, primary term, and version of a document in Elasticsearch's index engine. It is used as a return type for various methods that need to retrieve these values from the index.</t>
        </is>
      </c>
      <c r="M243" t="n">
        <v>0.0045</v>
      </c>
      <c r="N243" t="n">
        <v>0.04</v>
      </c>
      <c r="O243" t="n">
        <v>0.0885</v>
      </c>
    </row>
    <row r="244">
      <c r="A244" t="inlineStr">
        <is>
          <t>crate</t>
        </is>
      </c>
      <c r="B244" t="inlineStr">
        <is>
          <t>server/src/testFixtures/java/org/elasticsearch/index/seqno/ReplicationTrackerTestCase.java</t>
        </is>
      </c>
      <c r="C244">
        <f>HYPERLINK("https://github.com/crate/crate/blob/master/server/src/testFixtures/java/org/elasticsearch/index/seqno/ReplicationTrackerTestCase.java")</f>
        <v/>
      </c>
      <c r="D244" t="inlineStr">
        <is>
          <t>This Java code appears to be part of an Elasticsearch index sequence number (seq_no) implementation. It defines several classes and methods related to indexing and routing, including `SeqNoPrimaryTermAssigner`, which assigns primary term values to sequences based on their allocation IDs, and `SequenceNumbersService`, which provides methods for retrieving and updating sequence numbers. The code also includes comments and</t>
        </is>
      </c>
      <c r="E244" t="n">
        <v>0.0038</v>
      </c>
      <c r="F244" t="n">
        <v>0.09089999999999999</v>
      </c>
      <c r="G244" t="n">
        <v>0.1163</v>
      </c>
      <c r="H244" t="inlineStr">
        <is>
          <t>This code appears to be part of an Elasticsearch index shard routing table implementation. It defines several classes and methods related to managing the allocation and routing of shards within an Elasticsearch cluster. The `add` method takes two parameters, `a` and `b`, and returns their sum. The code includes some comments and documentation that provide context about its purpose and usage.</t>
        </is>
      </c>
      <c r="I244" t="n">
        <v>0.0036</v>
      </c>
      <c r="J244" t="n">
        <v>0.08699999999999999</v>
      </c>
      <c r="K244" t="n">
        <v>0.1128</v>
      </c>
      <c r="L244" t="inlineStr">
        <is>
          <t>The provided code defines a class named `PrimaryTermTracker` that tracks the primary term of a shard in an Elasticsearch index. It has methods for retrieving the current primary term, updating the primary term when a new allocation ID is assigned, and checking if a given allocation ID matches the current primary term. The class also has a constructor that takes an instance of `IndexShard</t>
        </is>
      </c>
      <c r="M244" t="n">
        <v>0.0028</v>
      </c>
      <c r="N244" t="n">
        <v>0.0278</v>
      </c>
      <c r="O244" t="n">
        <v>0.0368</v>
      </c>
    </row>
    <row r="245">
      <c r="A245" t="inlineStr">
        <is>
          <t>crate</t>
        </is>
      </c>
      <c r="B245" t="inlineStr">
        <is>
          <t>server/src/testFixtures/java/org/elasticsearch/index/seqno/RetentionLeaseUtils.java</t>
        </is>
      </c>
      <c r="C245">
        <f>HYPERLINK("https://github.com/crate/crate/blob/master/server/src/testFixtures/java/org/elasticsearch/index/seqno/RetentionLeaseUtils.java")</f>
        <v/>
      </c>
      <c r="D245" t="inlineStr">
        <is>
          <t>The `RetentionLeaseUtils` class provides utility methods for working with retention leases in Elasticsearch. It has two main functions:
1. `getMinimumRetainingSequenceNumbers`: This method takes a map of node IDs to their corresponding minimum sequence numbers and returns a new map that only includes the nodes with the lowest sequence number for each ID.
2. `</t>
        </is>
      </c>
      <c r="E245" t="n">
        <v>0.004</v>
      </c>
      <c r="F245" t="n">
        <v>0.06560000000000001</v>
      </c>
      <c r="G245" t="n">
        <v>0.119</v>
      </c>
      <c r="H245" t="inlineStr">
        <is>
          <t>This Java code defines a utility class called `RetentionLeaseUtils` that provides methods for working with retention leases. The class has a private constructor and no public fields, but it does have several static methods that can be used to perform various operations related to retention leases.
The first method defined in the class is `getMinimumRetainingSequenceNumbers`, which</t>
        </is>
      </c>
      <c r="I245" t="n">
        <v>0.0039</v>
      </c>
      <c r="J245" t="n">
        <v>0.0625</v>
      </c>
      <c r="K245" t="n">
        <v>0.1172</v>
      </c>
      <c r="L245" t="inlineStr">
        <is>
          <t>The `RetentionLeaseUtils` class provides utility methods for working with retention leases in Elasticsearch's index sequence number service. It defines several static methods that help manage retention leases, including creating new leases, renewing existing ones, and removing them. These methods take advantage of Java 8 functional programming features such as lambdas and method references to simplify the</t>
        </is>
      </c>
      <c r="M245" t="n">
        <v>0.0033</v>
      </c>
      <c r="N245" t="n">
        <v>0.0615</v>
      </c>
      <c r="O245" t="n">
        <v>0.0781</v>
      </c>
    </row>
    <row r="246">
      <c r="A246" t="inlineStr">
        <is>
          <t>crate</t>
        </is>
      </c>
      <c r="B246" t="inlineStr">
        <is>
          <t>server/src/testFixtures/java/org/elasticsearch/index/store/StoreUtils.java</t>
        </is>
      </c>
      <c r="C246">
        <f>HYPERLINK("https://github.com/crate/crate/blob/master/server/src/testFixtures/java/org/elasticsearch/index/store/StoreUtils.java")</f>
        <v/>
      </c>
      <c r="D246" t="inlineStr">
        <is>
          <t>This code appears to be part of an open source project called Elasticsearch, which is a search and analytics engine for data stored in Lucene indices. The code defines a class named `ElasticsearchIndexStore` that implements the `NodeEnvironment` interface from the Logging API for Java (Log4J). It also imports classes from other parts of the Elasticsearch framework, such</t>
        </is>
      </c>
      <c r="E246" t="n">
        <v>0.0042</v>
      </c>
      <c r="F246" t="n">
        <v>0.0615</v>
      </c>
      <c r="G246" t="n">
        <v>0.155</v>
      </c>
      <c r="H246" t="inlineStr">
        <is>
          <t>This code appears to be part of an open source project called Elasticsearch, which is a search and analytics engine for data stored in Lucene indexes. The code defines a class named `IndexStore` that provides methods for managing the storage of index data on disk. It includes a constructor that takes a `NodeEnvironment` object as a parameter, which represents the environment in which the index</t>
        </is>
      </c>
      <c r="I246" t="n">
        <v>0.0033</v>
      </c>
      <c r="J246" t="n">
        <v>0.0548</v>
      </c>
      <c r="K246" t="n">
        <v>0.1095</v>
      </c>
      <c r="L246" t="inlineStr">
        <is>
          <t>The provided code is part of the Elasticsearch project's index store component. It appears to be responsible for managing data storage within the index, including reading and writing data from disk. The code includes comments that describe the implementation of core algorithms and highlights the complexity of the code as being O(N). Additionally, there are existing comments that provide context about the code's purpose and</t>
        </is>
      </c>
      <c r="M246" t="n">
        <v>0.0033</v>
      </c>
      <c r="N246" t="n">
        <v>0.0789</v>
      </c>
      <c r="O246" t="n">
        <v>0.146</v>
      </c>
    </row>
    <row r="247">
      <c r="A247" t="inlineStr">
        <is>
          <t>crate</t>
        </is>
      </c>
      <c r="B247" t="inlineStr">
        <is>
          <t>server/src/testFixtures/java/org/elasticsearch/index/shard/IndexShardTestCase.java</t>
        </is>
      </c>
      <c r="C247">
        <f>HYPERLINK("https://github.com/crate/crate/blob/master/server/src/testFixtures/java/org/elasticsearch/index/shard/IndexShardTestCase.java")</f>
        <v/>
      </c>
      <c r="D247" t="inlineStr">
        <is>
          <t>The provided code appears to be a Java implementation of a system that performs various operations on data structures. It includes comments explaining the purpose and complexity of each function, as well as a README file that provides an overview of the project's goals and structure. The code size is approximately 1000 lines long.</t>
        </is>
      </c>
      <c r="E247" t="n">
        <v>0.0034</v>
      </c>
      <c r="F247" t="n">
        <v>0.09520000000000001</v>
      </c>
      <c r="G247" t="n">
        <v>0.0794</v>
      </c>
      <c r="H247" t="inlineStr">
        <is>
          <t>This is a Java project that includes several source files, including a main class named `Main` and several utility classes used throughout the program. The project's README file describes it as a "backend software component," and states that its complexity is O(N), where N is the number of elements being processed. It also mentions that the comments in the code provide implementation details for the</t>
        </is>
      </c>
      <c r="I247" t="n">
        <v>0.0037</v>
      </c>
      <c r="J247" t="n">
        <v>0.08</v>
      </c>
      <c r="K247" t="n">
        <v>0.1825</v>
      </c>
      <c r="L247" t="inlineStr">
        <is>
          <t>The provided code implements a system for storing and retrieving data from a database. It uses a combination of SQL and Java to perform various operations such as creating tables, inserting data into tables, and querying the data. The code also includes comments that explain the implementation of the core algorithms used in the system.</t>
        </is>
      </c>
      <c r="M247" t="n">
        <v>0.0044</v>
      </c>
      <c r="N247" t="n">
        <v>0.0635</v>
      </c>
      <c r="O247" t="n">
        <v>0.1575</v>
      </c>
    </row>
    <row r="248">
      <c r="A248" t="inlineStr">
        <is>
          <t>crate</t>
        </is>
      </c>
      <c r="B248" t="inlineStr">
        <is>
          <t>server/src/testFixtures/java/org/elasticsearch/index/shard/RestoreOnlyRepository.java</t>
        </is>
      </c>
      <c r="C248">
        <f>HYPERLINK("https://github.com/crate/crate/blob/master/server/src/testFixtures/java/org/elasticsearch/index/shard/RestoreOnlyRepository.java")</f>
        <v/>
      </c>
      <c r="D248" t="inlineStr">
        <is>
          <t>The code is a Java implementation of various algorithms used in data processing and analysis. It includes implementations of sorting, searching, and other common algorithms. The code has been optimized for performance using techniques such as caching and parallelization. The code also includes documentation and comments to help developers understand the code and implement new features.</t>
        </is>
      </c>
      <c r="E248" t="n">
        <v>0.0033</v>
      </c>
      <c r="F248" t="n">
        <v>0.0625</v>
      </c>
      <c r="G248" t="n">
        <v>0.1172</v>
      </c>
      <c r="H248" t="inlineStr">
        <is>
          <t>This code appears to be a Java implementation of a backend system's core algorithms. It includes comments that describe the purpose of each class and method, as well as the complexity of the code. The code also includes a README file that provides an overview of the project and its goals. The code size is approximately 1000 lines long.</t>
        </is>
      </c>
      <c r="I248" t="n">
        <v>0.0041</v>
      </c>
      <c r="J248" t="n">
        <v>0.1176</v>
      </c>
      <c r="K248" t="n">
        <v>0.1527</v>
      </c>
      <c r="L248" t="inlineStr">
        <is>
          <t>The provided code implements a system that processes data from various sources and provides insights to users. It uses a combination of machine learning models and statistical analysis techniques to identify patterns and trends in the data. The system also includes a user interface that allows users to interact with the system and receive real-time updates on the insights generated. Overall, the system is designed to provide valuable ins</t>
        </is>
      </c>
      <c r="M248" t="n">
        <v>0.0031</v>
      </c>
      <c r="N248" t="n">
        <v>0.0513</v>
      </c>
      <c r="O248" t="n">
        <v>0.1064</v>
      </c>
    </row>
    <row r="249">
      <c r="A249" t="inlineStr">
        <is>
          <t>crate</t>
        </is>
      </c>
      <c r="B249" t="inlineStr">
        <is>
          <t>server/src/testFixtures/java/org/elasticsearch/index/translog/TestTranslog.java</t>
        </is>
      </c>
      <c r="C249">
        <f>HYPERLINK("https://github.com/crate/crate/blob/master/server/src/testFixtures/java/org/elasticsearch/index/translog/TestTranslog.java")</f>
        <v/>
      </c>
      <c r="D249" t="inlineStr">
        <is>
          <t>This code appears to be part of an Elasticsearch project, specifically the `org.elasticsearch.index.translog` package. It defines a class called `Translog`, which implements various methods related to transaction logging. The code also includes some unit tests using the AssertJ library.
The main functionalities of the code seem to be:
* Implementing a check</t>
        </is>
      </c>
      <c r="E249" t="n">
        <v>0.0042</v>
      </c>
      <c r="F249" t="n">
        <v>0.0968</v>
      </c>
      <c r="G249" t="n">
        <v>0.121</v>
      </c>
      <c r="H249" t="inlineStr">
        <is>
          <t>This code implements a translog system for an elastic search index. It provides functions for reading and writing checkpoints, as well as other operations related to managing the translog. The code includes comments that explain its purpose and how it works, and it has been committed to a version control system.</t>
        </is>
      </c>
      <c r="I249" t="n">
        <v>0.0047</v>
      </c>
      <c r="J249" t="n">
        <v>0.1356</v>
      </c>
      <c r="K249" t="n">
        <v>0.1626</v>
      </c>
      <c r="L249" t="inlineStr">
        <is>
          <t>The provided code implements the `Translog` class in the Elasticsearch project. It provides methods for managing transient logs used in the indexing process. The class uses checkpoints to ensure that data is properly persisted across restarts and crashes. The code also includes unit tests using the AssertJ library to verify the correctness of the implementation.</t>
        </is>
      </c>
      <c r="M249" t="n">
        <v>0.004</v>
      </c>
      <c r="N249" t="n">
        <v>0.0635</v>
      </c>
      <c r="O249" t="n">
        <v>0.1181</v>
      </c>
    </row>
    <row r="250">
      <c r="A250" t="inlineStr">
        <is>
          <t>crate</t>
        </is>
      </c>
      <c r="B250" t="inlineStr">
        <is>
          <t>server/src/testFixtures/java/org/elasticsearch/index/translog/TranslogDeletionPolicies.java</t>
        </is>
      </c>
      <c r="C250">
        <f>HYPERLINK("https://github.com/crate/crate/blob/master/server/src/testFixtures/java/org/elasticsearch/index/translog/TranslogDeletionPolicies.java")</f>
        <v/>
      </c>
      <c r="D250" t="inlineStr">
        <is>
          <t>The `TranslogDeletionPolicies` class provides methods for managing translogs, which are used to store temporary changes made to an index before they are committed to the main index. It defines several deletion policies that can be applied to translogs based on their age, size, and other criteria. These policies include:
* `AgeBasedRetentionPolicy`:</t>
        </is>
      </c>
      <c r="E250" t="n">
        <v>0.0036</v>
      </c>
      <c r="F250" t="n">
        <v>0.0345</v>
      </c>
      <c r="G250" t="n">
        <v>0.0813</v>
      </c>
      <c r="H250" t="inlineStr">
        <is>
          <t>This code defines a Java class called `TranslogDeletionPolicies` that implements various methods related to transient log deletion policies. The class is part of the Elasticsearch project's index module and is responsible for managing the lifecycle of transient logs used to store document updates before they are committed to the primary shard's index.
The `add</t>
        </is>
      </c>
      <c r="I250" t="n">
        <v>0.0048</v>
      </c>
      <c r="J250" t="n">
        <v>0.09379999999999999</v>
      </c>
      <c r="K250" t="n">
        <v>0.1984</v>
      </c>
      <c r="L250" t="inlineStr">
        <is>
          <t>The `TranslogDeletionPolicies` class is part of the Elasticsearch index translog system. It provides various deletion policies that can be used to manage the lifecycle of translog files. These policies determine when translog files should be deleted based on factors such as age, size, and number of documents.</t>
        </is>
      </c>
      <c r="M250" t="n">
        <v>0.0039</v>
      </c>
      <c r="N250" t="n">
        <v>0.0364</v>
      </c>
      <c r="O250" t="n">
        <v>0.08400000000000001</v>
      </c>
    </row>
    <row r="251">
      <c r="A251" t="inlineStr">
        <is>
          <t>crate</t>
        </is>
      </c>
      <c r="B251" t="inlineStr">
        <is>
          <t>server/src/testFixtures/java/org/elasticsearch/common/io/PathUtilsForTesting.java</t>
        </is>
      </c>
      <c r="C251">
        <f>HYPERLINK("https://github.com/crate/crate/blob/master/server/src/testFixtures/java/org/elasticsearch/common/io/PathUtilsForTesting.java")</f>
        <v/>
      </c>
      <c r="D251" t="inlineStr">
        <is>
          <t>The code defines a class called `PathUtils` that provides utility methods for working with paths in Java. It uses the `java.nio.file` API to perform operations such as creating directories, reading files, and deleting files. The class also has a constructor that takes a `FileSystem` object as an argument, which allows it to be used with different types of file systems.</t>
        </is>
      </c>
      <c r="E251" t="n">
        <v>0.003</v>
      </c>
      <c r="F251" t="n">
        <v>0.0286</v>
      </c>
      <c r="G251" t="n">
        <v>0.07580000000000001</v>
      </c>
      <c r="H251" t="inlineStr">
        <is>
          <t>This code defines a class named `PathUtils` that exposes some package-private methods from the `java.nio.file.Files` class for internal use within the Elasticsearch project. The class is part of the `org.elasticsearch.common.io` package and is used for implementing various algorithms related to file system operations. The class has no external dependencies and does not perform</t>
        </is>
      </c>
      <c r="I251" t="n">
        <v>0.0041</v>
      </c>
      <c r="J251" t="n">
        <v>0.0882</v>
      </c>
      <c r="K251" t="n">
        <v>0.16</v>
      </c>
      <c r="L251" t="inlineStr">
        <is>
          <t>The provided code defines a class named `PathUtils` that provides utility methods for working with paths in Java. It is part of the `org.elasticsearch.common.io` package and is intended for internal use within the Elasticsearch project. The class exposes some package-private members for testing purposes.</t>
        </is>
      </c>
      <c r="M251" t="n">
        <v>0.0042</v>
      </c>
      <c r="N251" t="n">
        <v>0.0357</v>
      </c>
      <c r="O251" t="n">
        <v>0.0862</v>
      </c>
    </row>
    <row r="252">
      <c r="A252" t="inlineStr">
        <is>
          <t>crate</t>
        </is>
      </c>
      <c r="B252" t="inlineStr">
        <is>
          <t>server/src/testFixtures/java/org/elasticsearch/common/lucene/store/ESIndexInputTestCase.java</t>
        </is>
      </c>
      <c r="C252">
        <f>HYPERLINK("https://github.com/crate/crate/blob/master/server/src/testFixtures/java/org/elasticsearch/common/lucene/store/ESIndexInputTestCase.java")</f>
        <v/>
      </c>
      <c r="D252" t="inlineStr">
        <is>
          <t>This code appears to be a Java implementation of a backend system that uses O(N) complexity to perform various operations. The code includes comments describing its purpose and the complexity of the algorithm used. It also has a README file that provides some basic information about the project and its goals. There have been two commits made to the codebase so far, with the first being the initial commit</t>
        </is>
      </c>
      <c r="E252" t="n">
        <v>0.0031</v>
      </c>
      <c r="F252" t="n">
        <v>0.0769</v>
      </c>
      <c r="G252" t="n">
        <v>0.1418</v>
      </c>
      <c r="H252" t="inlineStr">
        <is>
          <t>This repository contains backend software components that implement core algorithms. The complexity of the code is O(N), where N is the size of the input data. The code has been committed once, and it consists of approximately 1000 lines of code.</t>
        </is>
      </c>
      <c r="I252" t="n">
        <v>0.0064</v>
      </c>
      <c r="J252" t="n">
        <v>0.2</v>
      </c>
      <c r="K252" t="n">
        <v>0.3292</v>
      </c>
      <c r="L252" t="inlineStr">
        <is>
          <t>The provided code implements a system that allows users to search through a large dataset of documents using natural language queries. It uses various machine learning models to analyze the query and determine which documents match the user's intent. The system also includes features such as spell checking, synonym replacement, and sentiment analysis to help users refine their searches. The code is written in Python and utilizes several external</t>
        </is>
      </c>
      <c r="M252" t="n">
        <v>0.0031</v>
      </c>
      <c r="N252" t="n">
        <v>0.0513</v>
      </c>
      <c r="O252" t="n">
        <v>0.1064</v>
      </c>
    </row>
    <row r="253">
      <c r="A253" t="inlineStr">
        <is>
          <t>crate</t>
        </is>
      </c>
      <c r="B253" t="inlineStr">
        <is>
          <t>server/src/testFixtures/java/org/elasticsearch/common/breaker/TestCircuitBreaker.java</t>
        </is>
      </c>
      <c r="C253">
        <f>HYPERLINK("https://github.com/crate/crate/blob/master/server/src/testFixtures/java/org/elasticsearch/common/breaker/TestCircuitBreaker.java")</f>
        <v/>
      </c>
      <c r="D253" t="inlineStr">
        <is>
          <t>The `TestCircuitBreaker` class extends the `NoopCircuitBreaker` class and provides a basic implementation of a circuit breaker that can be used in tests. It has two main methods: `shouldBreak()` which returns true if the circuit breaker should break, and `reset()` which resets the state of the circuit breaker. Additionally, it has a</t>
        </is>
      </c>
      <c r="E253" t="n">
        <v>0.0036</v>
      </c>
      <c r="F253" t="n">
        <v>0.0678</v>
      </c>
      <c r="G253" t="n">
        <v>0.122</v>
      </c>
      <c r="H253" t="inlineStr">
        <is>
          <t>This code defines a custom implementation of the `NoopCircuitBreaker` class from the Elasticsearch library, which provides a mechanism for monitoring and controlling the usage of resources within a system. The implementation includes a custom constructor that takes an `AtomicBoolean` object as a parameter, which is used to determine whether the circuit breaker should be open or closed. When the circuit break</t>
        </is>
      </c>
      <c r="I253" t="n">
        <v>0.0036</v>
      </c>
      <c r="J253" t="n">
        <v>0.08699999999999999</v>
      </c>
      <c r="K253" t="n">
        <v>0.1504</v>
      </c>
      <c r="L253" t="inlineStr">
        <is>
          <t>The `TestCircuitBreaker` class implements the `NoopCircuitBreaker` interface and provides a simple implementation of a circuit breaker that can be used for testing purposes. It has two fields: `shouldBreak`, which is an atomic boolean value indicating whether the circuit breaker should trip, and `tripped`, which is another atomic boolean value indicating whether the circuit break</t>
        </is>
      </c>
      <c r="M253" t="n">
        <v>0.004</v>
      </c>
      <c r="N253" t="n">
        <v>0.0645</v>
      </c>
      <c r="O253" t="n">
        <v>0.119</v>
      </c>
    </row>
    <row r="254">
      <c r="A254" t="inlineStr">
        <is>
          <t>crate</t>
        </is>
      </c>
      <c r="B254" t="inlineStr">
        <is>
          <t>server/src/testFixtures/java/org/elasticsearch/common/util/MockBigArrays.java</t>
        </is>
      </c>
      <c r="C254">
        <f>HYPERLINK("https://github.com/crate/crate/blob/master/server/src/testFixtures/java/org/elasticsearch/common/util/MockBigArrays.java")</f>
        <v/>
      </c>
      <c r="D254" t="inlineStr">
        <is>
          <t>The provided code implements various utility functions related to collections and randomness. It includes methods such as `randomElement`, which returns a random element from a collection, and `shuffle`, which shuffles the elements of a collection using the Fisher-Yates algorithm. Additionally, it provides a `Random` class that generates random numbers based on a seed value. The code also includes unit</t>
        </is>
      </c>
      <c r="E254" t="n">
        <v>0.0037</v>
      </c>
      <c r="F254" t="n">
        <v>0.0882</v>
      </c>
      <c r="G254" t="n">
        <v>0.1145</v>
      </c>
      <c r="H254" t="inlineStr">
        <is>
          <t>This code appears to be part of an open source project called Elasticsearch, which is a search engine that uses Lucene as its indexing library. The code defines several classes and methods related to utilities used throughout the project, including random number generation, collection manipulation, and threading. The README file provides a brief overview of the project's purpose and scope, while the</t>
        </is>
      </c>
      <c r="I254" t="n">
        <v>0.0035</v>
      </c>
      <c r="J254" t="n">
        <v>0.0563</v>
      </c>
      <c r="K254" t="n">
        <v>0.1119</v>
      </c>
      <c r="L254" t="inlineStr">
        <is>
          <t>The provided code defines a utility class called `RandomUtils` that provides various methods for generating random values. It has a single method called `randomSubset`, which takes a collection as input and returns a subset of the elements chosen randomly. The method uses a random seed to ensure reproducibility. The class also includes a constructor that initializes the random seed based on the current time.</t>
        </is>
      </c>
      <c r="M254" t="n">
        <v>0.0028</v>
      </c>
      <c r="N254" t="n">
        <v>0.0278</v>
      </c>
      <c r="O254" t="n">
        <v>0.0735</v>
      </c>
    </row>
    <row r="255">
      <c r="A255" t="inlineStr">
        <is>
          <t>crate</t>
        </is>
      </c>
      <c r="B255" t="inlineStr">
        <is>
          <t>server/src/testFixtures/java/org/elasticsearch/common/util/MockPageCacheRecycler.java</t>
        </is>
      </c>
      <c r="C255">
        <f>HYPERLINK("https://github.com/crate/crate/blob/master/server/src/testFixtures/java/org/elasticsearch/common/util/MockPageCacheRecycler.java")</f>
        <v/>
      </c>
      <c r="D255" t="inlineStr">
        <is>
          <t>This code implements various utility methods for working with arrays, including shuffling, sorting, and creating random permutations. The `shuffle` method takes an array as input and randomly rearranges its elements using the Fisher-Yates algorithm. The `sort` method sorts an array using the quicksort algorithm. The `randomPermutation` method creates a random permutation of</t>
        </is>
      </c>
      <c r="E255" t="n">
        <v>0.0046</v>
      </c>
      <c r="F255" t="n">
        <v>0.0984</v>
      </c>
      <c r="G255" t="n">
        <v>0.1613</v>
      </c>
      <c r="H255" t="inlineStr">
        <is>
          <t>This code appears to be a Java library that provides various utility methods for working with arrays. The `ArrayUtils` class defines several static methods for manipulating arrays, including `copyOf`, `fill`, `shuffle`, and `toObject`. These methods allow users to create copies of arrays, fill them with random values, shuffle their elements, and convert between array types.</t>
        </is>
      </c>
      <c r="I255" t="n">
        <v>0.004</v>
      </c>
      <c r="J255" t="n">
        <v>0.0635</v>
      </c>
      <c r="K255" t="n">
        <v>0.1181</v>
      </c>
      <c r="L255" t="inlineStr">
        <is>
          <t>The provided code defines a utility class called `ArrayUtils` that provides various methods for working with arrays in Java. The class has several methods for manipulating arrays, including `shuffle`, `randomSubset`, and `toObjectArray`. These methods allow users to shuffle an array, select a random subset of elements from an array, and convert an array into an object array, respectively</t>
        </is>
      </c>
      <c r="M255" t="n">
        <v>0.0031</v>
      </c>
      <c r="N255" t="n">
        <v>0.0303</v>
      </c>
      <c r="O255" t="n">
        <v>0.0769</v>
      </c>
    </row>
    <row r="256">
      <c r="A256" t="inlineStr">
        <is>
          <t>crate</t>
        </is>
      </c>
      <c r="B256" t="inlineStr">
        <is>
          <t>server/src/testFixtures/java/org/elasticsearch/common/util/concurrent/TestFutureUtils.java</t>
        </is>
      </c>
      <c r="C256">
        <f>HYPERLINK("https://github.com/crate/crate/blob/master/server/src/testFixtures/java/org/elasticsearch/common/util/concurrent/TestFutureUtils.java")</f>
        <v/>
      </c>
      <c r="D256" t="inlineStr">
        <is>
          <t>This code appears to be a Java implementation of various algorithms used in computer science. The comments indicate that it is part of a larger project related to data analysis and machine learning. The code has been optimized for performance using O(N) complexity, which means that its running time grows linearly with the size of the input. The code includes a README file that provides an overview of</t>
        </is>
      </c>
      <c r="E256" t="n">
        <v>0.0032</v>
      </c>
      <c r="F256" t="n">
        <v>0.0779</v>
      </c>
      <c r="G256" t="n">
        <v>0.1429</v>
      </c>
      <c r="H256" t="inlineStr">
        <is>
          <t>This is a Java project that includes a set of backend software components. The code is licensed under the Apache License, Version 2.0, which means it can be used freely as long as the appropriate copyright notice and license are included. The project has been committed once, resulting in a total of 1000 lines of code.
The main function of the code</t>
        </is>
      </c>
      <c r="I256" t="n">
        <v>0.0039</v>
      </c>
      <c r="J256" t="n">
        <v>0.08450000000000001</v>
      </c>
      <c r="K256" t="n">
        <v>0.1493</v>
      </c>
      <c r="L256" t="inlineStr">
        <is>
          <t>The provided code implements a web application that allows users to create and manage their own personalized dashboards. It uses a combination of frontend and backend technologies, including HTML, CSS, JavaScript, and Java. The code also includes a database management system, which stores user data and dashboard configurations. Overall, the code serves as a foundation for building a scalable and customizable dash</t>
        </is>
      </c>
      <c r="M256" t="n">
        <v>0.0035</v>
      </c>
      <c r="N256" t="n">
        <v>0.0571</v>
      </c>
      <c r="O256" t="n">
        <v>0.1119</v>
      </c>
    </row>
    <row r="257">
      <c r="A257" t="inlineStr">
        <is>
          <t>crate</t>
        </is>
      </c>
      <c r="B257" t="inlineStr">
        <is>
          <t>server/src/testFixtures/java/org/elasticsearch/node/NodeMocksPlugin.java</t>
        </is>
      </c>
      <c r="C257">
        <f>HYPERLINK("https://github.com/crate/crate/blob/master/server/src/testFixtures/java/org/elasticsearch/node/NodeMocksPlugin.java")</f>
        <v/>
      </c>
      <c r="D257" t="inlineStr">
        <is>
          <t>The provided code defines a Java class called `NodeMocksPlugin` that inherits from the `Plugin` interface in the `org.elasticsearch.plugins` package. This class serves as a marker plugin for the `MockNode` class to mock out the `BigArrays` component.</t>
        </is>
      </c>
      <c r="E257" t="n">
        <v>0.0052</v>
      </c>
      <c r="F257" t="n">
        <v>0.0435</v>
      </c>
      <c r="G257" t="n">
        <v>0.0463</v>
      </c>
      <c r="H257" t="inlineStr">
        <is>
          <t>This Java code defines a plugin called `NodeMocksPlugin` that is used as a marker for testing purposes in the Elasticsearch search engine. The plugin does not contain any actual logic but serves only as a placeholder for other plugins to depend on it. It is marked as a test dependency in the project's POM file.</t>
        </is>
      </c>
      <c r="I257" t="n">
        <v>0.0033</v>
      </c>
      <c r="J257" t="n">
        <v>0.0625</v>
      </c>
      <c r="K257" t="n">
        <v>0.07870000000000001</v>
      </c>
      <c r="L257" t="inlineStr">
        <is>
          <t>The provided code defines a Java class called `NodeMocksPlugin` that extends the `Plugin` class from the Elasticsearch framework. It serves as a marker plugin for the `MockNode` class to mock out the `BigArrays` component during testing.</t>
        </is>
      </c>
      <c r="M257" t="n">
        <v>0</v>
      </c>
      <c r="N257" t="n">
        <v>0</v>
      </c>
      <c r="O257" t="n">
        <v>0</v>
      </c>
    </row>
    <row r="258">
      <c r="A258" t="inlineStr">
        <is>
          <t>crate</t>
        </is>
      </c>
      <c r="B258" t="inlineStr">
        <is>
          <t>server/src/testFixtures/java/org/elasticsearch/node/RecoverySettingsChunkSizePlugin.java</t>
        </is>
      </c>
      <c r="C258">
        <f>HYPERLINK("https://github.com/crate/crate/blob/master/server/src/testFixtures/java/org/elasticsearch/node/RecoverySettingsChunkSizePlugin.java")</f>
        <v/>
      </c>
      <c r="D258" t="inlineStr">
        <is>
          <t>The provided code defines a class called `Node` that represents a node in an Elasticsearch cluster. It has several fields and methods related to configuration settings, such as `clusterName`, `dataPath`, `ingestPipeline`, etc. Additionally, it also includes some utility functions like `getOrCreateDirectory`.
The constructor takes two arguments: `Settings` and `Environment`.</t>
        </is>
      </c>
      <c r="E258" t="n">
        <v>0.0037</v>
      </c>
      <c r="F258" t="n">
        <v>0.0702</v>
      </c>
      <c r="G258" t="n">
        <v>0.08260000000000001</v>
      </c>
      <c r="H258" t="inlineStr">
        <is>
          <t>This code appears to be part of an open source project called Elasticsearch, which is a search and analytics engine. The code defines a class named `Node` that represents a node in the Elasticsearch cluster. It has several methods related to managing the node's settings, such as `getSettings()`, `setSetting()`, and `removeSetting()`. Additionally, it also includes some comments</t>
        </is>
      </c>
      <c r="I258" t="n">
        <v>0.0038</v>
      </c>
      <c r="J258" t="n">
        <v>0.0606</v>
      </c>
      <c r="K258" t="n">
        <v>0.1163</v>
      </c>
      <c r="L258" t="inlineStr">
        <is>
          <t>The provided code defines a class named `Node` that represents a node in the Elasticsearch cluster. It has several methods related to managing the node's settings, such as `getSettings()`, `setSettings()`, and `update()`. Additionally, it also includes some utility methods for working with byte sizes, like `parseBytesSizeValue()` and `formatBytesSizeValue()`. Overall,</t>
        </is>
      </c>
      <c r="M258" t="n">
        <v>0.0037</v>
      </c>
      <c r="N258" t="n">
        <v>0.0345</v>
      </c>
      <c r="O258" t="n">
        <v>0.08260000000000001</v>
      </c>
    </row>
    <row r="259">
      <c r="A259" t="inlineStr">
        <is>
          <t>crate</t>
        </is>
      </c>
      <c r="B259" t="inlineStr">
        <is>
          <t>server/src/testFixtures/java/org/elasticsearch/node/MockNode.java</t>
        </is>
      </c>
      <c r="C259">
        <f>HYPERLINK("https://github.com/crate/crate/blob/master/server/src/testFixtures/java/org/elasticsearch/node/MockNode.java")</f>
        <v/>
      </c>
      <c r="D259" t="inlineStr">
        <is>
          <t>This code appears to be part of an Elasticsearch node implementation, specifically the `org.elasticsearch.node` package. It defines a class called `InternalSettingsPreparer`, which has several methods related to preparing internal settings for the node. The main method of interest seems to be `prepareEnvironment()`, which takes a collection of paths as input and returns a new collection containing the same</t>
        </is>
      </c>
      <c r="E259" t="n">
        <v>0.0037</v>
      </c>
      <c r="F259" t="n">
        <v>0.0882</v>
      </c>
      <c r="G259" t="n">
        <v>0.1154</v>
      </c>
      <c r="H259" t="inlineStr">
        <is>
          <t>This code defines a package named `org.elasticsearch.node` that provides a class called `ElasticsearchNode`. The `ElasticsearchNode` class has several methods, including a constructor that takes a path as input and a method called `start()` that starts the node. It also has a method called `stop()` that stops the node and a method called `get</t>
        </is>
      </c>
      <c r="I259" t="n">
        <v>0.0041</v>
      </c>
      <c r="J259" t="n">
        <v>0.0635</v>
      </c>
      <c r="K259" t="n">
        <v>0.08</v>
      </c>
      <c r="L259" t="inlineStr">
        <is>
          <t>The provided Java code defines a class named `ElasticsearchNode` that represents a node in an Elasticsearch cluster. It has several responsibilities, including managing the lifecycle of the node, handling incoming requests, and providing access to various services such as the client API. The code also includes comments describing the purpose of each method and variable, indicating that it implements the core algorithms</t>
        </is>
      </c>
      <c r="M259" t="n">
        <v>0.0039</v>
      </c>
      <c r="N259" t="n">
        <v>0.0571</v>
      </c>
      <c r="O259" t="n">
        <v>0.1119</v>
      </c>
    </row>
    <row r="260">
      <c r="A260" t="inlineStr">
        <is>
          <t>crate</t>
        </is>
      </c>
      <c r="B260" t="inlineStr">
        <is>
          <t>server/src/testFixtures/java/org/elasticsearch/test/RandomObjects.java</t>
        </is>
      </c>
      <c r="C260">
        <f>HYPERLINK("https://github.com/crate/crate/blob/master/server/src/testFixtures/java/org/elasticsearch/test/RandomObjects.java")</f>
        <v/>
      </c>
      <c r="D260" t="inlineStr">
        <is>
          <t>This code defines a class named `ElasticsearchTest` that extends the `RandomizedTesting` class from the `com.carrotsearch.randomizedtesting` package. The class has two methods: `setup()` and `teardown()`. The `setup()` method generates random integers between 1 and 10 using the `randomIntBetween()` method from</t>
        </is>
      </c>
      <c r="E260" t="n">
        <v>0.0056</v>
      </c>
      <c r="F260" t="n">
        <v>0.08160000000000001</v>
      </c>
      <c r="G260" t="n">
        <v>0.1351</v>
      </c>
      <c r="H260" t="inlineStr">
        <is>
          <t>This code appears to be part of an Elasticsearch test suite, specifically the `org.elasticsearch.test` package. It includes a class called `RandomizedTesting`, which provides methods for generating random integers within a given range using the CarrotSearch library. The class also defines a method called `randomIntBetween()` that generates a random integer between two specified values. Additionally</t>
        </is>
      </c>
      <c r="I260" t="n">
        <v>0.0034</v>
      </c>
      <c r="J260" t="n">
        <v>0.0312</v>
      </c>
      <c r="K260" t="n">
        <v>0.0794</v>
      </c>
      <c r="L260" t="inlineStr">
        <is>
          <t>The provided code defines a class named `Test` that extends from `ElasticsearchTestCase`. It appears to be a test case for the `org.elasticsearch.common` package. The class has two methods: `setUp()` and `tearDown()`. The `setUp()` method initializes some variables and creates a random number generator using the `com.carrot</t>
        </is>
      </c>
      <c r="M260" t="n">
        <v>0.004</v>
      </c>
      <c r="N260" t="n">
        <v>0.0351</v>
      </c>
      <c r="O260" t="n">
        <v>0.0847</v>
      </c>
    </row>
    <row r="261">
      <c r="A261" t="inlineStr">
        <is>
          <t>crate</t>
        </is>
      </c>
      <c r="B261" t="inlineStr">
        <is>
          <t>server/src/testFixtures/java/org/elasticsearch/test/FieldMaskingReader.java</t>
        </is>
      </c>
      <c r="C261">
        <f>HYPERLINK("https://github.com/crate/crate/blob/master/server/src/testFixtures/java/org/elasticsearch/test/FieldMaskingReader.java")</f>
        <v/>
      </c>
      <c r="D261" t="inlineStr">
        <is>
          <t>The provided code defines a class called `Test` that extends the `FilterDirectoryReader` class from Lucene's index package. It overrides the `doOpenIfChanged()` method to return a new instance of `FieldFilterLeafReader`, which filters out certain fields from the original reader. This allows us to create a customized version of the reader that only includes certain fields.</t>
        </is>
      </c>
      <c r="E261" t="n">
        <v>0.0034</v>
      </c>
      <c r="F261" t="n">
        <v>0.0317</v>
      </c>
      <c r="G261" t="n">
        <v>0.0397</v>
      </c>
      <c r="H261" t="inlineStr">
        <is>
          <t>This code appears to be part of an open source project called Elasticsearch, which is a search engine based on Apache Lucene. The code defines several classes related to reading and filtering index data from a directory using the Lucene library.
The `FieldFilterLeafReader` class extends the `FilterDirectoryReader` class and overrides its `getTermVectors()` method to filter</t>
        </is>
      </c>
      <c r="I261" t="n">
        <v>0.004</v>
      </c>
      <c r="J261" t="n">
        <v>0.0635</v>
      </c>
      <c r="K261" t="n">
        <v>0.1181</v>
      </c>
      <c r="L261" t="inlineStr">
        <is>
          <t>The provided code defines a custom `DirectoryReader` implementation that filters out certain fields from the underlying Lucene index reader. It extends the `FilterDirectoryReader` class and overrides the `doOpenIfChanged()` method to return a new instance of `FieldFilterLeafReader`, which wraps the original index reader and filters out the specified fields. The resulting reader can be used as a</t>
        </is>
      </c>
      <c r="M261" t="n">
        <v>0.0033</v>
      </c>
      <c r="N261" t="n">
        <v>0.0625</v>
      </c>
      <c r="O261" t="n">
        <v>0.1172</v>
      </c>
    </row>
    <row r="262">
      <c r="A262" t="inlineStr">
        <is>
          <t>crate</t>
        </is>
      </c>
      <c r="B262" t="inlineStr">
        <is>
          <t>server/src/testFixtures/java/org/elasticsearch/test/NodeConfigurationSource.java</t>
        </is>
      </c>
      <c r="C262">
        <f>HYPERLINK("https://github.com/crate/crate/blob/master/server/src/testFixtures/java/org/elasticsearch/test/NodeConfigurationSource.java")</f>
        <v/>
      </c>
      <c r="D262" t="inlineStr">
        <is>
          <t>This code defines a plugin for Elasticsearch that provides test utilities. The `TestPlugin` class implements the `Plugin` interface and provides a single method, `getSettings()`, which returns a collection of settings used by the plugin. The `getSettings()` method returns a singleton instance of the `Settings` class, which is a utility class for working with configuration data in Elasticsearch.</t>
        </is>
      </c>
      <c r="E262" t="n">
        <v>0.0042</v>
      </c>
      <c r="F262" t="n">
        <v>0.09229999999999999</v>
      </c>
      <c r="G262" t="n">
        <v>0.155</v>
      </c>
      <c r="H262" t="inlineStr">
        <is>
          <t>This code defines a plugin for Elasticsearch that provides test support. The plugin implements the `Plugin` interface from the Elasticsearch framework and exposes several methods for interacting with the system.
The main method of interest is `createComponents`, which returns a collection of components that can be used to configure and initialize the plugin. These components include `MockTransportService`, `MockNode`,</t>
        </is>
      </c>
      <c r="I262" t="n">
        <v>0.0041</v>
      </c>
      <c r="J262" t="n">
        <v>0.09089999999999999</v>
      </c>
      <c r="K262" t="n">
        <v>0.1538</v>
      </c>
      <c r="L262" t="inlineStr">
        <is>
          <t>The provided code defines a class named `Test` that implements the `Plugin` interface from the Elasticsearch framework. It provides a simple implementation of the `createComponents()` method, which creates a collection of plugin components based on the given settings. The method first checks if the plugin is enabled, then initializes a new instance of the `ElasticsearchTestServer` class and adds it</t>
        </is>
      </c>
      <c r="M262" t="n">
        <v>0.0037</v>
      </c>
      <c r="N262" t="n">
        <v>0.0597</v>
      </c>
      <c r="O262" t="n">
        <v>0.07630000000000001</v>
      </c>
    </row>
    <row r="263">
      <c r="A263" t="inlineStr">
        <is>
          <t>crate</t>
        </is>
      </c>
      <c r="B263" t="inlineStr">
        <is>
          <t>server/src/testFixtures/java/org/elasticsearch/test/DiffableTestUtils.java</t>
        </is>
      </c>
      <c r="C263">
        <f>HYPERLINK("https://github.com/crate/crate/blob/master/server/src/testFixtures/java/org/elasticsearch/test/DiffableTestUtils.java")</f>
        <v/>
      </c>
      <c r="D263" t="inlineStr">
        <is>
          <t>This Java code appears to be part of an open source project called Elasticsearch. It is a test suite that uses the AssertJ library to perform assertions on the behavior of various methods. The test cases are executed multiple times using a loop, which is controlled by the `NUMBER_OF_TEST_RUNS` constant. The code also imports several other classes from the same package as well</t>
        </is>
      </c>
      <c r="E263" t="n">
        <v>0.0029</v>
      </c>
      <c r="F263" t="n">
        <v>0.027</v>
      </c>
      <c r="G263" t="n">
        <v>0.0741</v>
      </c>
      <c r="H263" t="inlineStr">
        <is>
          <t>This code defines a Java package named `org.elasticsearch.test` that contains a class called `AbstractWireTestCase`. The class implements several methods for testing the functionality of Elasticsearch's wire protocol. It also includes a number of constants and utility functions related to test execution.
The main method of the class is `public void test()` which runs multiple tests using the</t>
        </is>
      </c>
      <c r="I263" t="n">
        <v>0.0045</v>
      </c>
      <c r="J263" t="n">
        <v>0.1176</v>
      </c>
      <c r="K263" t="n">
        <v>0.155</v>
      </c>
      <c r="L263" t="inlineStr">
        <is>
          <t>The provided code is part of a test suite for Elasticsearch, a popular open-source search engine. It appears to be a unit test that verifies the correctness of some implementation details related to the handling of wire protocol messages.
The test case defines several constants used throughout the test, including `NUMBER_OF_TEST_RUNS`, which determines how many times each test</t>
        </is>
      </c>
      <c r="M263" t="n">
        <v>0</v>
      </c>
      <c r="N263" t="n">
        <v>0.0286</v>
      </c>
      <c r="O263" t="n">
        <v>0.0769</v>
      </c>
    </row>
    <row r="264">
      <c r="A264" t="inlineStr">
        <is>
          <t>crate</t>
        </is>
      </c>
      <c r="B264" t="inlineStr">
        <is>
          <t>server/src/testFixtures/java/org/elasticsearch/test/InternalSettingsPlugin.java</t>
        </is>
      </c>
      <c r="C264">
        <f>HYPERLINK("https://github.com/crate/crate/blob/master/server/src/testFixtures/java/org/elasticsearch/test/InternalSettingsPlugin.java")</f>
        <v/>
      </c>
      <c r="D264" t="inlineStr">
        <is>
          <t>The provided code defines a class called `ElasticsearchTest` that extends the `AbstractStreamableTestCase` class from the `org.elasticsearch.test` package. It also imports several other classes from the same package.
The `ElasticsearchTest` class has two methods: `getSettings()` and `createIndex()`. The `getSettings()` method returns</t>
        </is>
      </c>
      <c r="E264" t="n">
        <v>0.0046</v>
      </c>
      <c r="F264" t="n">
        <v>0.04</v>
      </c>
      <c r="G264" t="n">
        <v>0.0446</v>
      </c>
      <c r="H264" t="inlineStr">
        <is>
          <t>This code defines a Java package named `org.elasticsearch.test` that contains various classes and methods related to testing. The package includes a class called `ElasticsearchTest`, which has several static methods for performing different types of tests. These methods include `assertEquals()`, `assertNotNull()`, and `assertTrue()`. Additionally, there is a `Settings` class that provides a</t>
        </is>
      </c>
      <c r="I264" t="n">
        <v>0.0043</v>
      </c>
      <c r="J264" t="n">
        <v>0.06560000000000001</v>
      </c>
      <c r="K264" t="n">
        <v>0.0813</v>
      </c>
      <c r="L264" t="inlineStr">
        <is>
          <t>The provided code defines a class named `ElasticsearchTest` that extends the `AbstractStreamableTestCase` class from the Elasticsearch project. It provides a number of test methods for testing various aspects of the Elasticsearch system, including network communication, data storage, and search functionality.
The `ElasticsearchTest` class has several fields and methods that are used to</t>
        </is>
      </c>
      <c r="M264" t="n">
        <v>0.0035</v>
      </c>
      <c r="N264" t="n">
        <v>0.0667</v>
      </c>
      <c r="O264" t="n">
        <v>0.0806</v>
      </c>
    </row>
    <row r="265">
      <c r="A265" t="inlineStr">
        <is>
          <t>crate</t>
        </is>
      </c>
      <c r="B265" t="inlineStr">
        <is>
          <t>server/src/testFixtures/java/org/elasticsearch/test/BackgroundIndexer.java</t>
        </is>
      </c>
      <c r="C265">
        <f>HYPERLINK("https://github.com/crate/crate/blob/master/server/src/testFixtures/java/org/elasticsearch/test/BackgroundIndexer.java")</f>
        <v/>
      </c>
      <c r="D265" t="inlineStr">
        <is>
          <t>The provided code appears to be a Java class that implements unit tests for a database connection using JDBC. It includes several methods that perform various operations related to connecting to a database, executing SQL queries, and retrieving results.
The `main` method sets up a test environment by creating a new instance of the `TestDatabase` class and calling its `runTests()` method. This</t>
        </is>
      </c>
      <c r="E265" t="n">
        <v>0.0039</v>
      </c>
      <c r="F265" t="n">
        <v>0.0571</v>
      </c>
      <c r="G265" t="n">
        <v>0.1493</v>
      </c>
      <c r="H265" t="inlineStr">
        <is>
          <t>This code appears to be part of an open source project called Elasticsearch, which is a search engine based on Lucene. The code defines a test class that uses JUnit to run tests against a database connection. It prepares a SQL query using a prepared statement, executes it, and then asserts that the results match what was expected. The complexity of the code is O(N</t>
        </is>
      </c>
      <c r="I265" t="n">
        <v>0.0033</v>
      </c>
      <c r="J265" t="n">
        <v>0.0541</v>
      </c>
      <c r="K265" t="n">
        <v>0.1095</v>
      </c>
      <c r="L265" t="inlineStr">
        <is>
          <t>The provided code is part of a test suite for an Elasticsearch project. It establishes a connection to a database using JDBC and executes a SQL query to retrieve data from a table. The results are then asserted against expected values using AssertJ.</t>
        </is>
      </c>
      <c r="M265" t="n">
        <v>0.0043</v>
      </c>
      <c r="N265" t="n">
        <v>0.0392</v>
      </c>
      <c r="O265" t="n">
        <v>0.08699999999999999</v>
      </c>
    </row>
    <row r="266">
      <c r="A266" t="inlineStr">
        <is>
          <t>crate</t>
        </is>
      </c>
      <c r="B266" t="inlineStr">
        <is>
          <t>server/src/testFixtures/java/org/elasticsearch/test/DummyShardLock.java</t>
        </is>
      </c>
      <c r="C266">
        <f>HYPERLINK("https://github.com/crate/crate/blob/master/server/src/testFixtures/java/org/elasticsearch/test/DummyShardLock.java")</f>
        <v/>
      </c>
      <c r="D266" t="inlineStr">
        <is>
          <t>This code defines a `DummyShardLock` class that extends the `ShardLock` interface from Elasticsearch. It provides a no-op implementation of the `ShardLock` methods, which means it does not actually lock any shards during testing. The purpose of this class is to provide a mock implementation of the `ShardLock` interface for use in unit tests.</t>
        </is>
      </c>
      <c r="E266" t="n">
        <v>0.0035</v>
      </c>
      <c r="F266" t="n">
        <v>0.0645</v>
      </c>
      <c r="G266" t="n">
        <v>0.12</v>
      </c>
      <c r="H266" t="inlineStr">
        <is>
          <t>The provided code defines a `DummyShardLock` class that extends the `ShardLock` class from the ElasticSearch project. It provides a no-op implementation of the `ShardLock` interface, which means it does not actually acquire any locks during execution. This is useful for testing purposes as it allows developers to simulate the behavior of the `ShardLock</t>
        </is>
      </c>
      <c r="I266" t="n">
        <v>0.0035</v>
      </c>
      <c r="J266" t="n">
        <v>0.0323</v>
      </c>
      <c r="K266" t="n">
        <v>0.12</v>
      </c>
      <c r="L266" t="inlineStr">
        <is>
          <t>The provided code defines a `DummyShardLock` class that extends the `ShardLock` class from Elasticsearch. It provides a no-op implementation of the `ShardLock` interface, which is used primarily for testing purposes. The class has no public methods and serves as a placeholder for test cases that require a mock shard lock object.</t>
        </is>
      </c>
      <c r="M266" t="n">
        <v>0.0036</v>
      </c>
      <c r="N266" t="n">
        <v>0.0667</v>
      </c>
      <c r="O266" t="n">
        <v>0.122</v>
      </c>
    </row>
    <row r="267">
      <c r="A267" t="inlineStr">
        <is>
          <t>crate</t>
        </is>
      </c>
      <c r="B267" t="inlineStr">
        <is>
          <t>server/src/testFixtures/java/org/elasticsearch/test/MockLogAppender.java</t>
        </is>
      </c>
      <c r="C267">
        <f>HYPERLINK("https://github.com/crate/crate/blob/master/server/src/testFixtures/java/org/elasticsearch/test/MockLogAppender.java")</f>
        <v/>
      </c>
      <c r="D267" t="inlineStr">
        <is>
          <t>This code appears to be part of an open source project called Elasticsearch, which is a search engine based on Apache Lucene. The code defines a class named `Test` that implements some unit tests for the Elasticsearch application.
The class has several methods, including `setUp`, `tearDown`, `testSomething`, and `testOtherThing`. These methods seem to</t>
        </is>
      </c>
      <c r="E267" t="n">
        <v>0.0045</v>
      </c>
      <c r="F267" t="n">
        <v>0.0984</v>
      </c>
      <c r="G267" t="n">
        <v>0.16</v>
      </c>
      <c r="H267" t="inlineStr">
        <is>
          <t>This repository contains Java source code for a backend system that uses Log4J for logging. The code has been annotated with comments explaining its purpose and usage. It includes a package named `org.elasticsearch.test` which appears to be related to testing. The code also imports several other packages, including `java.util`, `java.lang`, and `org.apache.logging</t>
        </is>
      </c>
      <c r="I267" t="n">
        <v>0.0042</v>
      </c>
      <c r="J267" t="n">
        <v>0.0606</v>
      </c>
      <c r="K267" t="n">
        <v>0.121</v>
      </c>
      <c r="L267" t="inlineStr">
        <is>
          <t>The provided code defines a test class named `ElasticsearchTest` that extends the `BaseESRestTestCase` class from the Elasticsearch testing framework. It includes several methods for testing various aspects of Elasticsearch's REST API, including querying documents, indexing data, and searching for specific terms.
The code uses the `assertThat()` method from the AssertJ library</t>
        </is>
      </c>
      <c r="M267" t="n">
        <v>0.0036</v>
      </c>
      <c r="N267" t="n">
        <v>0.0333</v>
      </c>
      <c r="O267" t="n">
        <v>0.0813</v>
      </c>
    </row>
    <row r="268">
      <c r="A268" t="inlineStr">
        <is>
          <t>crate</t>
        </is>
      </c>
      <c r="B268" t="inlineStr">
        <is>
          <t>server/src/testFixtures/java/org/elasticsearch/test/AbstractDiffableWireSerializationTestCase.java</t>
        </is>
      </c>
      <c r="C268">
        <f>HYPERLINK("https://github.com/crate/crate/blob/master/server/src/testFixtures/java/org/elasticsearch/test/AbstractDiffableWireSerializationTestCase.java")</f>
        <v/>
      </c>
      <c r="D268" t="inlineStr">
        <is>
          <t>The provided code defines a class named `Test` that implements the `Diffable` interface from the `org.elasticsearch.cluster` package. It has two methods: `diff()` and `writeTo()`.
The `diff()` method takes another object of the same type as its own argument and returns a `Diff` object representing the differences between the two objects. This method is</t>
        </is>
      </c>
      <c r="E268" t="n">
        <v>0.0045</v>
      </c>
      <c r="F268" t="n">
        <v>0.0635</v>
      </c>
      <c r="G268" t="n">
        <v>0.12</v>
      </c>
      <c r="H268" t="inlineStr">
        <is>
          <t>This Java package `org.elasticsearch.test` contains various classes and interfaces related to testing the Elasticsearch search engine. The main class of interest is `Diff`, which implements the `Diffable` interface and provides methods for comparing two objects and computing their difference. Additionally, there is a `Reader` interface that defines how to read data from a binary stream. Finally, there is a</t>
        </is>
      </c>
      <c r="I268" t="n">
        <v>0.0041</v>
      </c>
      <c r="J268" t="n">
        <v>0.08699999999999999</v>
      </c>
      <c r="K268" t="n">
        <v>0.1145</v>
      </c>
      <c r="L268" t="inlineStr">
        <is>
          <t>The provided code defines a class named `Test` that implements the `Diffable` interface from the `org.elasticsearch.cluster` package. It provides methods for computing differences between two objects of type `T`, which must implement the `Diffable` interface as well. The `Test` class also includes a constructor that takes a `Reader` object as input, which is used to</t>
        </is>
      </c>
      <c r="M268" t="n">
        <v>0.0033</v>
      </c>
      <c r="N268" t="n">
        <v>0.0308</v>
      </c>
      <c r="O268" t="n">
        <v>0.07870000000000001</v>
      </c>
    </row>
    <row r="269">
      <c r="A269" t="inlineStr">
        <is>
          <t>crate</t>
        </is>
      </c>
      <c r="B269" t="inlineStr">
        <is>
          <t>server/src/testFixtures/java/org/elasticsearch/test/PosixPermissionsResetter.java</t>
        </is>
      </c>
      <c r="C269">
        <f>HYPERLINK("https://github.com/crate/crate/blob/master/server/src/testFixtures/java/org/elasticsearch/test/PosixPermissionsResetter.java")</f>
        <v/>
      </c>
      <c r="D269" t="inlineStr">
        <is>
          <t>This code appears to be part of an open source project called Elasticsearch. It is written in Java and defines a class called `FilePermissions` that provides methods for checking and setting file permissions on POSIX systems. The code uses the AssertJ library for assertions and the `java.nio.file` package for working with files and directories.
The `FilePermissions</t>
        </is>
      </c>
      <c r="E269" t="n">
        <v>0.0039</v>
      </c>
      <c r="F269" t="n">
        <v>0.0606</v>
      </c>
      <c r="G269" t="n">
        <v>0.1172</v>
      </c>
      <c r="H269" t="inlineStr">
        <is>
          <t>This code defines a Java package called `org.elasticsearch.test` that provides a set of classes and interfaces related to testing the backend software components of Elasticsearch. The package includes a class called `FileUtils` that has several methods for working with files and directories, including creating new directories, reading and writing files, and checking file attributes such as permissions and timestamps. It also</t>
        </is>
      </c>
      <c r="I269" t="n">
        <v>0.0039</v>
      </c>
      <c r="J269" t="n">
        <v>0.08450000000000001</v>
      </c>
      <c r="K269" t="n">
        <v>0.1504</v>
      </c>
      <c r="L269" t="inlineStr">
        <is>
          <t>The provided code is part of an Elasticsearch test suite, specifically a unit test that verifies the correctness of the `PosixFilePermissions` class. The test case reads a set of POSIX file permissions from a file, converts them into a Java object using the `PosixFilePermissions` constructor, and then checks if the resulting object has the expected values.</t>
        </is>
      </c>
      <c r="M269" t="n">
        <v>0.0033</v>
      </c>
      <c r="N269" t="n">
        <v>0.0312</v>
      </c>
      <c r="O269" t="n">
        <v>0.0781</v>
      </c>
    </row>
    <row r="270">
      <c r="A270" t="inlineStr">
        <is>
          <t>crate</t>
        </is>
      </c>
      <c r="B270" t="inlineStr">
        <is>
          <t>server/src/testFixtures/java/org/elasticsearch/test/TestCustomMetadata.java</t>
        </is>
      </c>
      <c r="C270">
        <f>HYPERLINK("https://github.com/crate/crate/blob/master/server/src/testFixtures/java/org/elasticsearch/test/TestCustomMetadata.java")</f>
        <v/>
      </c>
      <c r="D270" t="inlineStr">
        <is>
          <t>The provided code appears to be a Java class named `Test` that implements the `Function` interface from the `java.util.function` package. It has two methods: `apply()` and `compose()`.
The `apply()` method takes a single argument of type `T`, which represents the input value, and returns a result of type `U`. This method is used to</t>
        </is>
      </c>
      <c r="E270" t="n">
        <v>0.0045</v>
      </c>
      <c r="F270" t="n">
        <v>0.09379999999999999</v>
      </c>
      <c r="G270" t="n">
        <v>0.1587</v>
      </c>
      <c r="H270" t="inlineStr">
        <is>
          <t>This code defines a Java class named `Test` that extends the `AbstractNamedDiffable` abstract class from the `org.elasticsearch.cluster` package. The class has a single method named `apply`, which takes a function as an argument and returns another function that applies the given function to its input. The returned function throws an exception if it receives any non-null value other than</t>
        </is>
      </c>
      <c r="I270" t="n">
        <v>0.0037</v>
      </c>
      <c r="J270" t="n">
        <v>0.0857</v>
      </c>
      <c r="K270" t="n">
        <v>0.1145</v>
      </c>
      <c r="L270" t="inlineStr">
        <is>
          <t>The provided code defines a class named `Test` that extends from `AbstractNamedDiffable`. It has two constructors, one taking no arguments and another taking a single argument of type `String`. The class also implements the `Function` interface.
The class's primary purpose appears to be to provide a simple test case for the `ElasticsearchParseException` class.</t>
        </is>
      </c>
      <c r="M270" t="n">
        <v>0.0041</v>
      </c>
      <c r="N270" t="n">
        <v>0.0645</v>
      </c>
      <c r="O270" t="n">
        <v>0.08</v>
      </c>
    </row>
    <row r="271">
      <c r="A271" t="inlineStr">
        <is>
          <t>crate</t>
        </is>
      </c>
      <c r="B271" t="inlineStr">
        <is>
          <t>server/src/testFixtures/java/org/elasticsearch/test/VersionUtils.java</t>
        </is>
      </c>
      <c r="C271">
        <f>HYPERLINK("https://github.com/crate/crate/blob/master/server/src/testFixtures/java/org/elasticsearch/test/VersionUtils.java")</f>
        <v/>
      </c>
      <c r="D271" t="inlineStr">
        <is>
          <t>This Java code defines a class named `ElasticsearchTest` that implements various utility methods for testing purposes. The class has several static methods that perform different tasks related to randomness, lists, and streams.
The first method, `randomInt()`, generates a random integer between two specified values (inclusive). It uses the `java.util.Random` class to generate</t>
        </is>
      </c>
      <c r="E271" t="n">
        <v>0.0046</v>
      </c>
      <c r="F271" t="n">
        <v>0.0968</v>
      </c>
      <c r="G271" t="n">
        <v>0.1613</v>
      </c>
      <c r="H271" t="inlineStr">
        <is>
          <t>This code appears to be a Java package named `org.elasticsearch.test` that contains various classes and methods related to testing. The package imports several other packages, including `java.util`, `java.lang`, and `java.io`. It also defines some basic data structures such as lists and maps.
The main class in this package is called `TestUtils`, which</t>
        </is>
      </c>
      <c r="I271" t="n">
        <v>0.0042</v>
      </c>
      <c r="J271" t="n">
        <v>0.0615</v>
      </c>
      <c r="K271" t="n">
        <v>0.0806</v>
      </c>
      <c r="L271" t="inlineStr">
        <is>
          <t>The provided code defines a class named `ElasticsearchTest` that extends the `AbstractSearchTestCase` class from the Elasticsearch framework. It provides various methods for testing search functionality, including `assertHits`, `assertTopHits`, and `assertNoFailures`. These methods perform assertions on the results of search queries and provide detailed error messages if any issues are found</t>
        </is>
      </c>
      <c r="M271" t="n">
        <v>0.0037</v>
      </c>
      <c r="N271" t="n">
        <v>0.06900000000000001</v>
      </c>
      <c r="O271" t="n">
        <v>0.041</v>
      </c>
    </row>
    <row r="272">
      <c r="A272" t="inlineStr">
        <is>
          <t>crate</t>
        </is>
      </c>
      <c r="B272" t="inlineStr">
        <is>
          <t>server/src/testFixtures/java/org/elasticsearch/test/AbstractWireTestCase.java</t>
        </is>
      </c>
      <c r="C272">
        <f>HYPERLINK("https://github.com/crate/crate/blob/master/server/src/testFixtures/java/org/elasticsearch/test/AbstractWireTestCase.java")</f>
        <v/>
      </c>
      <c r="D272" t="inlineStr">
        <is>
          <t>This code appears to be part of an open source project called Elasticsearch, which is a search engine based on Lucene. The code defines a class named `ElasticsearchTest` that extends the Java `TestCase` class and provides some utility methods for testing Elasticsearch's functionality.
The `ElasticsearchTest` class has several methods that perform various tests on</t>
        </is>
      </c>
      <c r="E272" t="n">
        <v>0.004</v>
      </c>
      <c r="F272" t="n">
        <v>0.0635</v>
      </c>
      <c r="G272" t="n">
        <v>0.119</v>
      </c>
      <c r="H272" t="inlineStr">
        <is>
          <t>This code implements a test suite for Elasticsearch's backend software components using AssertJ for assertions. The code imports various classes from the `org.elasticsearch` package and defines a single method called `add`, which takes two integers as input and returns their sum. The method is annotated with `@Test` and uses AssertJ's `assertThat` method to verify that the</t>
        </is>
      </c>
      <c r="I272" t="n">
        <v>0.0046</v>
      </c>
      <c r="J272" t="n">
        <v>0.0896</v>
      </c>
      <c r="K272" t="n">
        <v>0.1953</v>
      </c>
      <c r="L272" t="inlineStr">
        <is>
          <t>The provided code defines a test suite for the `Elasticsearch` search engine. It includes several tests that verify the correctness of various aspects of the system, such as query parsing, index creation, and document retrieval. The tests use the `AssertJ` library for assertions and the `Mockito` library for mocking dependencies. The code also includes comments that provide context</t>
        </is>
      </c>
      <c r="M272" t="n">
        <v>0.0031</v>
      </c>
      <c r="N272" t="n">
        <v>0.0303</v>
      </c>
      <c r="O272" t="n">
        <v>0.0769</v>
      </c>
    </row>
    <row r="273">
      <c r="A273" t="inlineStr">
        <is>
          <t>crate</t>
        </is>
      </c>
      <c r="B273" t="inlineStr">
        <is>
          <t>server/src/testFixtures/java/org/elasticsearch/test/TestCluster.java</t>
        </is>
      </c>
      <c r="C273">
        <f>HYPERLINK("https://github.com/crate/crate/blob/master/server/src/testFixtures/java/org/elasticsearch/test/TestCluster.java")</f>
        <v/>
      </c>
      <c r="D273" t="inlineStr">
        <is>
          <t>This code appears to be part of an open source project called Elasticsearch. It defines a class named `ElasticsearchTest` that extends the `BaseESRestTestCase` class from the Crate library. The class contains several methods related to testing Elasticsearch, including `setup`, `teardown`, and `index`.
The `setup` method initializes the test</t>
        </is>
      </c>
      <c r="E273" t="n">
        <v>0.0045</v>
      </c>
      <c r="F273" t="n">
        <v>0.07140000000000001</v>
      </c>
      <c r="G273" t="n">
        <v>0.125</v>
      </c>
      <c r="H273" t="inlineStr">
        <is>
          <t>This code defines a Java package called `org.elasticsearch.test` that contains various classes and methods related to testing. The package includes a few utility functions such as `timeValueSeconds()` and `rarely()`, which are used to perform assertions and test certain conditions. The package also includes a class called `CrateLuceneTestCase`, which extends the JUnit framework'</t>
        </is>
      </c>
      <c r="I273" t="n">
        <v>0.0042</v>
      </c>
      <c r="J273" t="n">
        <v>0.0968</v>
      </c>
      <c r="K273" t="n">
        <v>0.121</v>
      </c>
      <c r="L273" t="inlineStr">
        <is>
          <t>The provided code defines a test class named `ElasticsearchTest` that extends the `BaseESRestTestCase`. It appears to be testing some functionality related to Elasticsearch.
The test method `testSearchWithTimeout` takes two parameters: `query` and `timeout`. It sets up a search request using the `query` parameter and sends it to Elasticsearch. If</t>
        </is>
      </c>
      <c r="M273" t="n">
        <v>0.0045</v>
      </c>
      <c r="N273" t="n">
        <v>0.0702</v>
      </c>
      <c r="O273" t="n">
        <v>0.08260000000000001</v>
      </c>
    </row>
    <row r="274">
      <c r="A274" t="inlineStr">
        <is>
          <t>crate</t>
        </is>
      </c>
      <c r="B274" t="inlineStr">
        <is>
          <t>server/src/testFixtures/java/org/elasticsearch/test/EqualsHashCodeTestUtils.java</t>
        </is>
      </c>
      <c r="C274">
        <f>HYPERLINK("https://github.com/crate/crate/blob/master/server/src/testFixtures/java/org/elasticsearch/test/EqualsHashCodeTestUtils.java")</f>
        <v/>
      </c>
      <c r="D274" t="inlineStr">
        <is>
          <t>This Java code defines a utility class called `ElasticsearchTest` that provides methods for checking and asserting various conditions related to testing Elasticsearch. The class imports several other classes from the same package, including `AssertJ`. It also includes a comment block at the top of the file that specifies the license for the code, which appears to be the Apache License version 2</t>
        </is>
      </c>
      <c r="E274" t="n">
        <v>0.0035</v>
      </c>
      <c r="F274" t="n">
        <v>0.0571</v>
      </c>
      <c r="G274" t="n">
        <v>0.0746</v>
      </c>
      <c r="H274" t="inlineStr">
        <is>
          <t>This code is part of an open source project called Elasticsearch, which is a search and analytics engine for data stored in Lucene indices. The code defines a utility class that provides methods for performing common checks and assertions when testing the functionality of the system. It includes methods such as `assertThat` from AssertJ, which allows for fluent assertion syntax, and `assertEquals`</t>
        </is>
      </c>
      <c r="I274" t="n">
        <v>0.0039</v>
      </c>
      <c r="J274" t="n">
        <v>0.0857</v>
      </c>
      <c r="K274" t="n">
        <v>0.1119</v>
      </c>
      <c r="L274" t="inlineStr">
        <is>
          <t>The provided code defines a utility class named `TestUtils` that provides various methods for testing purposes. It is part of the Elasticsearch project and is used to perform standard checks and assertions during tests.
The class has a single method called `checkIndexHealth`, which takes two arguments: `indexName` and `expectedStatus`. The method performs several checks on the index health</t>
        </is>
      </c>
      <c r="M274" t="n">
        <v>0.0031</v>
      </c>
      <c r="N274" t="n">
        <v>0.0303</v>
      </c>
      <c r="O274" t="n">
        <v>0.0769</v>
      </c>
    </row>
    <row r="275">
      <c r="A275" t="inlineStr">
        <is>
          <t>crate</t>
        </is>
      </c>
      <c r="B275" t="inlineStr">
        <is>
          <t>server/src/testFixtures/java/org/elasticsearch/test/IntegTestCase.java</t>
        </is>
      </c>
      <c r="C275">
        <f>HYPERLINK("https://github.com/crate/crate/blob/master/server/src/testFixtures/java/org/elasticsearch/test/IntegTestCase.java")</f>
        <v/>
      </c>
      <c r="D275" t="inlineStr">
        <is>
          <t>This code appears to be a Java implementation of various algorithms used in data processing and analysis. The code includes comments explaining the purpose and complexity of each algorithm, as well as a README file that provides an overview of the project's goals and structure. The code size is approximately 1000 lines long.</t>
        </is>
      </c>
      <c r="E275" t="n">
        <v>0.0041</v>
      </c>
      <c r="F275" t="n">
        <v>0.0968</v>
      </c>
      <c r="G275" t="n">
        <v>0.16</v>
      </c>
      <c r="H275" t="inlineStr">
        <is>
          <t>This code appears to be a collection of backend software components that implement various algorithms. The code is written in Java and uses the Apache License v2.0. It includes a README file that provides some basic information about the project, including its purpose and any dependencies it requires. The code also includes comments describing the implementation of the core algorithms. Overall, the code seems to be well</t>
        </is>
      </c>
      <c r="I275" t="n">
        <v>0.0038</v>
      </c>
      <c r="J275" t="n">
        <v>0.1053</v>
      </c>
      <c r="K275" t="n">
        <v>0.2158</v>
      </c>
      <c r="L275" t="inlineStr">
        <is>
          <t>The provided code implements a system that allows users to search through a large dataset of documents. It uses a combination of natural language processing techniques and machine learning algorithms to provide accurate and efficient search results. The system also includes features such as faceted search, filtering, and sorting to help users narrow down their searches and explore different aspects of the data. Overall, the goal of the system is</t>
        </is>
      </c>
      <c r="M275" t="n">
        <v>0.0031</v>
      </c>
      <c r="N275" t="n">
        <v>0.0513</v>
      </c>
      <c r="O275" t="n">
        <v>0.1056</v>
      </c>
    </row>
    <row r="276">
      <c r="A276" t="inlineStr">
        <is>
          <t>crate</t>
        </is>
      </c>
      <c r="B276" t="inlineStr">
        <is>
          <t>server/src/testFixtures/java/org/elasticsearch/test/AbstractWireSerializingTestCase.java</t>
        </is>
      </c>
      <c r="C276">
        <f>HYPERLINK("https://github.com/crate/crate/blob/master/server/src/testFixtures/java/org/elasticsearch/test/AbstractWireSerializingTestCase.java")</f>
        <v/>
      </c>
      <c r="D276" t="inlineStr">
        <is>
          <t>This Java code defines an abstract base test case class named `AbstractWireSerializingTestCase` that provides utility methods for testing the serialization and deserialization of objects using the Elasticsearch wire format. The class takes a type parameter `T`, which must implement the `Writeable` interface from the Elasticsearch library.
The `writeTo` method writes the object to a</t>
        </is>
      </c>
      <c r="E276" t="n">
        <v>0.004</v>
      </c>
      <c r="F276" t="n">
        <v>0.0645</v>
      </c>
      <c r="G276" t="n">
        <v>0.1587</v>
      </c>
      <c r="H276" t="inlineStr">
        <is>
          <t>This repository contains backend software components that implement various algorithms used in the Elastic Stack. The code is written in Java and uses the OpenSearch library for testing purposes. The README file provides an overview of the project's purpose and structure, while the complexity metric indicates that the code has a time complexity of O(N), where N represents the number of elements being processed. The</t>
        </is>
      </c>
      <c r="I276" t="n">
        <v>0.0037</v>
      </c>
      <c r="J276" t="n">
        <v>0.1067</v>
      </c>
      <c r="K276" t="n">
        <v>0.1825</v>
      </c>
      <c r="L276" t="inlineStr">
        <is>
          <t>The provided code defines a test case for wire serialization of objects in Elasticsearch. It imports classes from the `org.elasticsearch` package and defines an abstract class called `AbstractWireSerializingTestCase`. The class has two generic type parameters, `T`, which represents the object being tested, and `U`, which represents the writeable implementation of that object.
The</t>
        </is>
      </c>
      <c r="M276" t="n">
        <v>0.0035</v>
      </c>
      <c r="N276" t="n">
        <v>0.0323</v>
      </c>
      <c r="O276" t="n">
        <v>0.08</v>
      </c>
    </row>
    <row r="277">
      <c r="A277" t="inlineStr">
        <is>
          <t>crate</t>
        </is>
      </c>
      <c r="B277" t="inlineStr">
        <is>
          <t>server/src/testFixtures/java/org/elasticsearch/test/NotEqualMessageBuilder.java</t>
        </is>
      </c>
      <c r="C277">
        <f>HYPERLINK("https://github.com/crate/crate/blob/master/server/src/testFixtures/java/org/elasticsearch/test/NotEqualMessageBuilder.java")</f>
        <v/>
      </c>
      <c r="D277" t="inlineStr">
        <is>
          <t>This code appears to be part of a Java project that implements various utility functions for working with strings and collections. The `StringUtils` class defines several methods for manipulating strings, such as `capitalize`, `uncapitalize`, `join`, and `split`. It also includes a method called `toTitleCase` which capitalizes the first letter of each word in a string</t>
        </is>
      </c>
      <c r="E277" t="n">
        <v>0.0044</v>
      </c>
      <c r="F277" t="n">
        <v>0.127</v>
      </c>
      <c r="G277" t="n">
        <v>0.1575</v>
      </c>
      <c r="H277" t="inlineStr">
        <is>
          <t>This code defines a class named `Backend` that has several methods related to building and managing software components. The class takes a list of strings as input and returns a map of string keys to lists of integers values. The method `build()` takes a list of strings as input and returns a map of string keys to lists of integer values. The method `getComponents()` returns a list</t>
        </is>
      </c>
      <c r="I277" t="n">
        <v>0.0036</v>
      </c>
      <c r="J277" t="n">
        <v>0.08</v>
      </c>
      <c r="K277" t="n">
        <v>0.1439</v>
      </c>
      <c r="L277" t="inlineStr">
        <is>
          <t>The code defines a class named `ElasticsearchTest` that implements various methods related to testing Elasticsearch. It imports several packages, including `org.jspecify.annotations`, which is likely used for type annotations. The class has two constructors, each taking a single parameter of type `String`. One constructor initializes a field named `name` with the given value,</t>
        </is>
      </c>
      <c r="M277" t="n">
        <v>0.0035</v>
      </c>
      <c r="N277" t="n">
        <v>0.0323</v>
      </c>
      <c r="O277" t="n">
        <v>0.0806</v>
      </c>
    </row>
    <row r="278">
      <c r="A278" t="inlineStr">
        <is>
          <t>crate</t>
        </is>
      </c>
      <c r="B278" t="inlineStr">
        <is>
          <t>server/src/testFixtures/java/org/elasticsearch/test/MockKeywordPlugin.java</t>
        </is>
      </c>
      <c r="C278">
        <f>HYPERLINK("https://github.com/crate/crate/blob/master/server/src/testFixtures/java/org/elasticsearch/test/MockKeywordPlugin.java")</f>
        <v/>
      </c>
      <c r="D278" t="inlineStr">
        <is>
          <t>This code defines a class called `TestTokenizer` that extends the `Tokenizer` class from Lucene's analysis package. It overrides the `create()` method to return a new instance of the `MockTokenizer` class, which is used to tokenize text. The `MockTokenizer` class is also defined in this file, but it is not shown here.</t>
        </is>
      </c>
      <c r="E278" t="n">
        <v>0.0036</v>
      </c>
      <c r="F278" t="n">
        <v>0.0333</v>
      </c>
      <c r="G278" t="n">
        <v>0.0813</v>
      </c>
      <c r="H278" t="inlineStr">
        <is>
          <t>This code defines a custom tokenizer factory for Elasticsearch that uses the Lucene MockTokenizer implementation. The tokenizer factory class is named `MockTokenizerFactory` and it extends the `TokenizerFactory` interface from the `org.elasticsearch.index.analysis` package. The class provides a constructor that takes no arguments and returns a new instance of the `MockTokenizer`</t>
        </is>
      </c>
      <c r="I278" t="n">
        <v>0.0045</v>
      </c>
      <c r="J278" t="n">
        <v>0.1</v>
      </c>
      <c r="K278" t="n">
        <v>0.124</v>
      </c>
      <c r="L278" t="inlineStr">
        <is>
          <t>The provided code defines a custom tokenizer factory for Elasticsearch's analysis module. It extends the `Tokenizer` class from Lucene and overrides the `create()` method to return a new instance of `MockTokenizer`. The `MockTokenizer` class is used to test the analysis pipeline in Elasticsearch. The factory also includes a constructor that takes a `Reader` object as</t>
        </is>
      </c>
      <c r="M278" t="n">
        <v>0.0033</v>
      </c>
      <c r="N278" t="n">
        <v>0.0625</v>
      </c>
      <c r="O278" t="n">
        <v>0.07870000000000001</v>
      </c>
    </row>
    <row r="279">
      <c r="A279" t="inlineStr">
        <is>
          <t>crate</t>
        </is>
      </c>
      <c r="B279" t="inlineStr">
        <is>
          <t>server/src/testFixtures/java/org/elasticsearch/test/ClusterServiceUtils.java</t>
        </is>
      </c>
      <c r="C279">
        <f>HYPERLINK("https://github.com/crate/crate/blob/master/server/src/testFixtures/java/org/elasticsearch/test/ClusterServiceUtils.java")</f>
        <v/>
      </c>
      <c r="D279" t="inlineStr">
        <is>
          <t>This Java code defines a class named `ElasticsearchTest` that extends the JUnit test framework. The class contains several methods, including a constructor, a method called `setup`, which sets up some variables, and a method called `tearDown`, which tears down those variables. There is also a main method that runs the tests.
The class also imports several other classes</t>
        </is>
      </c>
      <c r="E279" t="n">
        <v>0.0037</v>
      </c>
      <c r="F279" t="n">
        <v>0.0606</v>
      </c>
      <c r="G279" t="n">
        <v>0.1154</v>
      </c>
      <c r="H279" t="inlineStr">
        <is>
          <t>This code defines a package called `org.elasticsearch.test` that provides a JUnit test suite for testing backend software components. The package imports various classes from the Java standard library, including `junit.framework.TestCase`, `java.util.concurrent.CountDownLatch`, and `java.util.concurrent.atomic.AtomicReference`. It also includes a comment block</t>
        </is>
      </c>
      <c r="I279" t="n">
        <v>0.0062</v>
      </c>
      <c r="J279" t="n">
        <v>0.1034</v>
      </c>
      <c r="K279" t="n">
        <v>0.1351</v>
      </c>
      <c r="L279" t="inlineStr">
        <is>
          <t>The provided code defines a test class named `ElasticsearchTest` that extends JUnit's `TestCase`. It imports several packages, including `junit.framework`, `java.util`, and `java.util.concurrent`. The class has two methods: `setUp()` and `tearDown()`. The `setUp()` method initializes some variables, while the `</t>
        </is>
      </c>
      <c r="M279" t="n">
        <v>0.0047</v>
      </c>
      <c r="N279" t="n">
        <v>0.0392</v>
      </c>
      <c r="O279" t="n">
        <v>0.045</v>
      </c>
    </row>
    <row r="280">
      <c r="A280" t="inlineStr">
        <is>
          <t>crate</t>
        </is>
      </c>
      <c r="B280" t="inlineStr">
        <is>
          <t>server/src/testFixtures/java/org/elasticsearch/test/AbstractDiffableSerializationTestCase.java</t>
        </is>
      </c>
      <c r="C280">
        <f>HYPERLINK("https://github.com/crate/crate/blob/master/server/src/testFixtures/java/org/elasticsearch/test/AbstractDiffableSerializationTestCase.java")</f>
        <v/>
      </c>
      <c r="D280" t="inlineStr">
        <is>
          <t>The code defines a class named `Test` that implements the `Diffable` interface from the `org.elasticsearch.cluster` package. It also imports classes from the `java.io` and `org.elasticsearch.common.io.stream` packages.
The `Test` class has a single method named `diff`, which takes two arguments of type `T`</t>
        </is>
      </c>
      <c r="E280" t="n">
        <v>0.0052</v>
      </c>
      <c r="F280" t="n">
        <v>0.0702</v>
      </c>
      <c r="G280" t="n">
        <v>0.0877</v>
      </c>
      <c r="H280" t="inlineStr">
        <is>
          <t>This code defines a Java class named `Test` that implements the `Diffable` interface from the `org.elasticsearch.cluster` package. The class has a single method called `diff`, which takes another object of the same type as its argument and returns a `Diff` object representing the differences between the two objects. The `Diff` object can be used to perform operations such as</t>
        </is>
      </c>
      <c r="I280" t="n">
        <v>0.0041</v>
      </c>
      <c r="J280" t="n">
        <v>0.08699999999999999</v>
      </c>
      <c r="K280" t="n">
        <v>0.1527</v>
      </c>
      <c r="L280" t="inlineStr">
        <is>
          <t>The provided code defines a class named `Test` that implements the `Diffable` interface from the `org.elasticsearch.cluster` package. It also has a dependency on the `java.io.IOException` class from the Java Standard Library.
The `Test` class takes two arguments in its constructor: a `String` representing the name of the test case, and a</t>
        </is>
      </c>
      <c r="M280" t="n">
        <v>0.0043</v>
      </c>
      <c r="N280" t="n">
        <v>0.0635</v>
      </c>
      <c r="O280" t="n">
        <v>0.0813</v>
      </c>
    </row>
    <row r="281">
      <c r="A281" t="inlineStr">
        <is>
          <t>crate</t>
        </is>
      </c>
      <c r="B281" t="inlineStr">
        <is>
          <t>server/src/testFixtures/java/org/elasticsearch/test/ESTestCase.java</t>
        </is>
      </c>
      <c r="C281">
        <f>HYPERLINK("https://github.com/crate/crate/blob/master/server/src/testFixtures/java/org/elasticsearch/test/ESTestCase.java")</f>
        <v/>
      </c>
      <c r="D281" t="inlineStr">
        <is>
          <t>The provided code appears to be a Java class that implements some basic tests for the `org.elasticsearch` package. It uses the `Apache Lucene Test Utils` library to generate random integers and asserts certain conditions using the `AssertJ` library.
The class defines two methods: `setup()` and `tearDown()`, which appear to set up and te</t>
        </is>
      </c>
      <c r="E281" t="n">
        <v>0.0041</v>
      </c>
      <c r="F281" t="n">
        <v>0.0645</v>
      </c>
      <c r="G281" t="n">
        <v>0.12</v>
      </c>
      <c r="H281" t="inlineStr">
        <is>
          <t>This code defines a Java package named `org.elasticsearch.test` that contains classes and methods related to testing the Elasticsearch search engine. The package includes a class called `ElasticsearchTest`, which has a single method called `run`. The `run` method takes no arguments and returns nothing. It also imports several other packages, including `java.io`, `java.</t>
        </is>
      </c>
      <c r="I281" t="n">
        <v>0.0042</v>
      </c>
      <c r="J281" t="n">
        <v>0.0635</v>
      </c>
      <c r="K281" t="n">
        <v>0.0806</v>
      </c>
      <c r="L281" t="inlineStr">
        <is>
          <t>The provided code is part of a test suite for Elasticsearch, a search engine based on Apache Lucene. It defines a class named `ElasticsearchTest` that extends `AbstractStreamableTestCase`. The class contains several methods related to testing the Elasticsearch API, including `testSearch()` and `testIndex()`. These methods perform various actions such as searching for documents, indexing new</t>
        </is>
      </c>
      <c r="M281" t="n">
        <v>0.0034</v>
      </c>
      <c r="N281" t="n">
        <v>0.0323</v>
      </c>
      <c r="O281" t="n">
        <v>0.0794</v>
      </c>
    </row>
    <row r="282">
      <c r="A282" t="inlineStr">
        <is>
          <t>crate</t>
        </is>
      </c>
      <c r="B282" t="inlineStr">
        <is>
          <t>server/src/testFixtures/java/org/elasticsearch/test/MockHttpTransport.java</t>
        </is>
      </c>
      <c r="C282">
        <f>HYPERLINK("https://github.com/crate/crate/blob/master/server/src/testFixtures/java/org/elasticsearch/test/MockHttpTransport.java")</f>
        <v/>
      </c>
      <c r="D282" t="inlineStr">
        <is>
          <t>This code defines a class called `Test` that extends `AbstractLifecycleComponent`. It also imports several other classes from the `org.elasticsearch.common` package, including `BoundTransportAddress` and `TransportService`. The class has a constructor that takes no arguments, and it implements two methods: `start()` and `stop()`. These methods are used to start and stop the component</t>
        </is>
      </c>
      <c r="E282" t="n">
        <v>0.0047</v>
      </c>
      <c r="F282" t="n">
        <v>0.0984</v>
      </c>
      <c r="G282" t="n">
        <v>0.1626</v>
      </c>
      <c r="H282" t="inlineStr">
        <is>
          <t>This code defines a component that implements the `AbstractLifecycleComponent` interface from the `org.elasticsearch.common.component` package. The component has a lifecycle that can be started, stopped, and reloaded, and it provides a `start()` method that returns a `BoundTransportAddress`. The component also imports classes from the `org.elasticsearch.common.transport`</t>
        </is>
      </c>
      <c r="I282" t="n">
        <v>0.0055</v>
      </c>
      <c r="J282" t="n">
        <v>0.1034</v>
      </c>
      <c r="K282" t="n">
        <v>0.1293</v>
      </c>
      <c r="L282" t="inlineStr">
        <is>
          <t>The code defines a class named `Test` that extends `AbstractLifecycleComponent`. It provides a method called `start()` that sets up the transport address and starts the component. The component also has a field named `boundTransportAddress` that stores the bound transport address.</t>
        </is>
      </c>
      <c r="M282" t="n">
        <v>0.0046</v>
      </c>
      <c r="N282" t="n">
        <v>0.0417</v>
      </c>
      <c r="O282" t="n">
        <v>0.0446</v>
      </c>
    </row>
    <row r="283">
      <c r="A283" t="inlineStr">
        <is>
          <t>crate</t>
        </is>
      </c>
      <c r="B283" t="inlineStr">
        <is>
          <t>server/src/testFixtures/java/org/elasticsearch/test/AbstractSerializingTestCase.java</t>
        </is>
      </c>
      <c r="C283">
        <f>HYPERLINK("https://github.com/crate/crate/blob/master/server/src/testFixtures/java/org/elasticsearch/test/AbstractSerializingTestCase.java")</f>
        <v/>
      </c>
      <c r="D283" t="inlineStr">
        <is>
          <t>This Java code appears to be part of an open source project called Elasticsearch, which is a search engine based on Lucene. The code defines a class named `ElasticsearchTest` that implements a test framework for testing Elasticsearch plugins.
The `ElasticsearchTest` class has several methods that perform various tasks related to testing, such as creating mock objects, reading</t>
        </is>
      </c>
      <c r="E283" t="n">
        <v>0.0038</v>
      </c>
      <c r="F283" t="n">
        <v>0.0615</v>
      </c>
      <c r="G283" t="n">
        <v>0.1163</v>
      </c>
      <c r="H283" t="inlineStr">
        <is>
          <t>This code implements a package called `org.elasticsearch.test` that provides various utility functions for testing purposes. The package includes a class called `TestUtils` which has several methods for working with strings, predicates, and writeables. It also includes a method called `getRandomString()` which generates random string values based on a given length and character set. The package also includes</t>
        </is>
      </c>
      <c r="I283" t="n">
        <v>0.0042</v>
      </c>
      <c r="J283" t="n">
        <v>0.1194</v>
      </c>
      <c r="K283" t="n">
        <v>0.155</v>
      </c>
      <c r="L283" t="inlineStr">
        <is>
          <t>The provided code defines a class named `TestUtils` that provides utility methods for testing purposes. It has two public static methods: `assertToXContent()` and `parseSource()`.
The `assertToXContent()` method takes a `Writeable` object as input, serializes it into JSON using the XContent format, and then deserializes it back into another instance of</t>
        </is>
      </c>
      <c r="M283" t="n">
        <v>0.0037</v>
      </c>
      <c r="N283" t="n">
        <v>0.0345</v>
      </c>
      <c r="O283" t="n">
        <v>0.082</v>
      </c>
    </row>
    <row r="284">
      <c r="A284" t="inlineStr">
        <is>
          <t>crate</t>
        </is>
      </c>
      <c r="B284" t="inlineStr">
        <is>
          <t>server/src/testFixtures/java/org/elasticsearch/test/MockIndexEventListener.java</t>
        </is>
      </c>
      <c r="C284">
        <f>HYPERLINK("https://github.com/crate/crate/blob/master/server/src/testFixtures/java/org/elasticsearch/test/MockIndexEventListener.java")</f>
        <v/>
      </c>
      <c r="D284" t="inlineStr">
        <is>
          <t>This Java code defines a class named `ElasticsearchTest` that provides utility methods for testing Elasticsearch clusters. The class has several static methods that perform various tasks related to cluster routing, such as filtering shards based on their state, retrieving the primary shard of a given index, and checking if a node is a master-eligible node. These methods are implemented using</t>
        </is>
      </c>
      <c r="E284" t="n">
        <v>0.0036</v>
      </c>
      <c r="F284" t="n">
        <v>0.058</v>
      </c>
      <c r="G284" t="n">
        <v>0.1515</v>
      </c>
      <c r="H284" t="inlineStr">
        <is>
          <t>This repository contains backend software components that implement various algorithms used in the Elasticsearch search engine. The code is written in Java and uses the Apache License 2.0. It includes a collection of classes and interfaces related to sharding and routing, as well as some utility methods for working with collections and arrays. The main class, `ElasticsearchTest`, provides a simple test case for</t>
        </is>
      </c>
      <c r="I284" t="n">
        <v>0.0038</v>
      </c>
      <c r="J284" t="n">
        <v>0.1111</v>
      </c>
      <c r="K284" t="n">
        <v>0.1852</v>
      </c>
      <c r="L284" t="inlineStr">
        <is>
          <t>The code implements a method that takes in a list of shard routings and returns a collection of shards that can be used as replicas. It achieves this by filtering out any shards that have already been assigned as primary shards, and then selecting the first n - 1 shards from the remaining list, where n is the number of replicas.</t>
        </is>
      </c>
      <c r="M284" t="n">
        <v>0.0036</v>
      </c>
      <c r="N284" t="n">
        <v>0.0588</v>
      </c>
      <c r="O284" t="n">
        <v>0.1504</v>
      </c>
    </row>
    <row r="285">
      <c r="A285" t="inlineStr">
        <is>
          <t>crate</t>
        </is>
      </c>
      <c r="B285" t="inlineStr">
        <is>
          <t>server/src/testFixtures/java/org/elasticsearch/test/IndexSettingsModule.java</t>
        </is>
      </c>
      <c r="C285">
        <f>HYPERLINK("https://github.com/crate/crate/blob/master/server/src/testFixtures/java/org/elasticsearch/test/IndexSettingsModule.java")</f>
        <v/>
      </c>
      <c r="D285" t="inlineStr">
        <is>
          <t>This code defines a class called `ElasticsearchTest` that provides utility methods for testing Elasticsearch clusters. The class has several static methods that perform various tasks related to cluster management, such as creating indices, deleting indices, and updating index settings. It also includes a method for checking if an index exists and another for getting all the existing indices. Additionally, it includes a method for setting</t>
        </is>
      </c>
      <c r="E285" t="n">
        <v>0.0033</v>
      </c>
      <c r="F285" t="n">
        <v>0.0548</v>
      </c>
      <c r="G285" t="n">
        <v>0.073</v>
      </c>
      <c r="H285" t="inlineStr">
        <is>
          <t>This code defines a package named `org.elasticsearch.test` that contains classes related to testing the Elasticsearch search engine. The package includes several classes, including `TestUtils`, which provides utility methods for testing purposes, and `TestCluster`, which manages a cluster of nodes used for testing.
The code also includes comments describing the purpose of each class and method, as</t>
        </is>
      </c>
      <c r="I285" t="n">
        <v>0.0039</v>
      </c>
      <c r="J285" t="n">
        <v>0.0606</v>
      </c>
      <c r="K285" t="n">
        <v>0.1172</v>
      </c>
      <c r="L285" t="inlineStr">
        <is>
          <t>The provided code defines a class named `ElasticsearchTest` that provides utility methods for testing Elasticsearch features. The class has several static methods that perform various tasks related to indexing, searching, and retrieving data from an Elasticsearch cluster. These methods make use of the Java `String`, `Integer`, `Double`, and `Boolean` classes as well as the `java.util</t>
        </is>
      </c>
      <c r="M285" t="n">
        <v>0.0033</v>
      </c>
      <c r="N285" t="n">
        <v>0.0312</v>
      </c>
      <c r="O285" t="n">
        <v>0.07870000000000001</v>
      </c>
    </row>
    <row r="286">
      <c r="A286" t="inlineStr">
        <is>
          <t>crate</t>
        </is>
      </c>
      <c r="B286" t="inlineStr">
        <is>
          <t>server/src/testFixtures/java/org/elasticsearch/test/CorruptionUtils.java</t>
        </is>
      </c>
      <c r="C286">
        <f>HYPERLINK("https://github.com/crate/crate/blob/master/server/src/testFixtures/java/org/elasticsearch/test/CorruptionUtils.java")</f>
        <v/>
      </c>
      <c r="D286" t="inlineStr">
        <is>
          <t>The code defines a class named `ElasticsearchTest` that extends the `AbstractIndexTestCase` class from the `org.elasticsearch.test` package. It provides a test suite for testing the indexing and search capabilities of the Elasticsearch engine.
The class has several methods, including `setup`, `tearDown`, `indexDoc`, and `search`. These</t>
        </is>
      </c>
      <c r="E286" t="n">
        <v>0.0042</v>
      </c>
      <c r="F286" t="n">
        <v>0.037</v>
      </c>
      <c r="G286" t="n">
        <v>0.0431</v>
      </c>
      <c r="H286" t="inlineStr">
        <is>
          <t>This code appears to be part of a Java project that implements various backend software components. The code is well-documented, including a README file that describes the purpose of the repository and its contents. The code also includes comments throughout the implementation of core algorithms.
The code imports several packages, including `java.io`, `java.nio`, and `org.junit`.</t>
        </is>
      </c>
      <c r="I286" t="n">
        <v>0.005</v>
      </c>
      <c r="J286" t="n">
        <v>0.1493</v>
      </c>
      <c r="K286" t="n">
        <v>0.2362</v>
      </c>
      <c r="L286" t="inlineStr">
        <is>
          <t>The code defines a test class named `ElasticsearchTest` that extends the `AbstractStreamableTestCase` class from the `io.crate.lucene` package. It includes several methods for testing various aspects of Elasticsearch's functionality.
The first method, `testReadWrite`, tests the ability to read and write data using a `ByteBuffer`.</t>
        </is>
      </c>
      <c r="M286" t="n">
        <v>0.0043</v>
      </c>
      <c r="N286" t="n">
        <v>0.0741</v>
      </c>
      <c r="O286" t="n">
        <v>0.08699999999999999</v>
      </c>
    </row>
    <row r="287">
      <c r="A287" t="inlineStr">
        <is>
          <t>crate</t>
        </is>
      </c>
      <c r="B287" t="inlineStr">
        <is>
          <t>server/src/testFixtures/java/org/elasticsearch/test/engine/AssertingDirectoryReader.java</t>
        </is>
      </c>
      <c r="C287">
        <f>HYPERLINK("https://github.com/crate/crate/blob/master/server/src/testFixtures/java/org/elasticsearch/test/engine/AssertingDirectoryReader.java")</f>
        <v/>
      </c>
      <c r="D287" t="inlineStr">
        <is>
          <t>This code appears to be a Java implementation of various algorithms related to data structures and operations. It includes classes such as `Node`, `LinkedList`, `Stack`, and `Queue` that represent nodes and linked lists, stacks, and queues respectively. The code also includes methods for inserting, removing, and traversing elements within these data structures. Additionally, there are comments throughout the</t>
        </is>
      </c>
      <c r="E287" t="n">
        <v>0.0037</v>
      </c>
      <c r="F287" t="n">
        <v>0.09089999999999999</v>
      </c>
      <c r="G287" t="n">
        <v>0.1154</v>
      </c>
      <c r="H287" t="inlineStr">
        <is>
          <t>This code implements a set of backend software components that perform various tasks related to data processing and analysis. The code has been written using Java and uses the Apache License v2.0. It includes comments explaining the purpose and implementation of each component, as well as a README file providing an overview of the project's goals and scope. The complexity of the code is O(N</t>
        </is>
      </c>
      <c r="I287" t="n">
        <v>0.004</v>
      </c>
      <c r="J287" t="n">
        <v>0.1053</v>
      </c>
      <c r="K287" t="n">
        <v>0.1825</v>
      </c>
      <c r="L287" t="inlineStr">
        <is>
          <t>The provided code implements a system that processes data from various sources and stores it in a database. It uses a variety of algorithms to perform tasks such as data cleaning, transformation, and aggregation before storing the processed data in a relational database management system (RDBMS). The code also includes comments and documentation explaining the implementation details and providing insights into the code's structure and functionality</t>
        </is>
      </c>
      <c r="M287" t="n">
        <v>0.0036</v>
      </c>
      <c r="N287" t="n">
        <v>0.0533</v>
      </c>
      <c r="O287" t="n">
        <v>0.1087</v>
      </c>
    </row>
    <row r="288">
      <c r="A288" t="inlineStr">
        <is>
          <t>crate</t>
        </is>
      </c>
      <c r="B288" t="inlineStr">
        <is>
          <t>server/src/testFixtures/java/org/elasticsearch/test/engine/ThrowingLeafReaderWrapper.java</t>
        </is>
      </c>
      <c r="C288">
        <f>HYPERLINK("https://github.com/crate/crate/blob/master/server/src/testFixtures/java/org/elasticsearch/test/engine/ThrowingLeafReaderWrapper.java")</f>
        <v/>
      </c>
      <c r="D288" t="inlineStr">
        <is>
          <t>This code appears to be part of an Elasticsearch test suite for engine components. It defines a `MockEngine` class that extends `FilterLeafReader`, which allows it to mock certain aspects of a Lucene index reader. The `MockEngine` class overrides several methods from the `FilterLeafReader` class, including `getBinaryDocValues()`, which returns a new instance of</t>
        </is>
      </c>
      <c r="E288" t="n">
        <v>0.0035</v>
      </c>
      <c r="F288" t="n">
        <v>0.0333</v>
      </c>
      <c r="G288" t="n">
        <v>0.0806</v>
      </c>
      <c r="H288" t="inlineStr">
        <is>
          <t>This code defines a Java class named `TestEngine` that extends the `FilterLeafReader` class from the Lucene library. The class overrides several methods to provide custom implementations of various functions used by the Lucene search engine. These include the `getBinaryDocValues()` method, which returns a `BinaryDocValues` object representing the values of a given field in the index,</t>
        </is>
      </c>
      <c r="I288" t="n">
        <v>0.0033</v>
      </c>
      <c r="J288" t="n">
        <v>0.09520000000000001</v>
      </c>
      <c r="K288" t="n">
        <v>0.1181</v>
      </c>
      <c r="L288" t="inlineStr">
        <is>
          <t>The provided code defines a custom `FilterLeafReader` implementation that extends Lucene's `FilterLeafReader` class. It overrides the `getSortedBinaryDocValues` method to return a new instance of `BinaryDocValues` that provides access to the sorted binary values of a given field. The `BinaryDocValues` object returned by this method can be used to</t>
        </is>
      </c>
      <c r="M288" t="n">
        <v>0</v>
      </c>
      <c r="N288" t="n">
        <v>0.0351</v>
      </c>
      <c r="O288" t="n">
        <v>0.125</v>
      </c>
    </row>
    <row r="289">
      <c r="A289" t="inlineStr">
        <is>
          <t>crate</t>
        </is>
      </c>
      <c r="B289" t="inlineStr">
        <is>
          <t>server/src/testFixtures/java/org/elasticsearch/test/engine/MockEngineFactory.java</t>
        </is>
      </c>
      <c r="C289">
        <f>HYPERLINK("https://github.com/crate/crate/blob/master/server/src/testFixtures/java/org/elasticsearch/test/engine/MockEngineFactory.java")</f>
        <v/>
      </c>
      <c r="D289" t="inlineStr">
        <is>
          <t>The provided code defines a class called `ElasticsearchTestEngine` that extends the `Engine` class from the Lucene library. It provides a custom implementation of the `Engine` interface that can be used for testing purposes. The class takes an instance of the `EngineConfig` class as its constructor argument, which allows it to configure various settings such as the directory where the index data</t>
        </is>
      </c>
      <c r="E289" t="n">
        <v>0</v>
      </c>
      <c r="F289" t="n">
        <v>0.029</v>
      </c>
      <c r="G289" t="n">
        <v>0.0752</v>
      </c>
      <c r="H289" t="inlineStr">
        <is>
          <t>This code implements an engine that extends Lucene's FilterDirectoryReader class and adds some features to it. The package name suggests that it is part of the Elasticsearch project, which is an open-source search engine based on Apache Lucene. The README file describes the purpose of the code as being related to testing engines, but does not provide any further details. The complexity of</t>
        </is>
      </c>
      <c r="I289" t="n">
        <v>0.0038</v>
      </c>
      <c r="J289" t="n">
        <v>0.0822</v>
      </c>
      <c r="K289" t="n">
        <v>0.1481</v>
      </c>
      <c r="L289" t="inlineStr">
        <is>
          <t>The provided code defines a class named `TestEngine` that extends the `Engine` class from the Lucene library. It overrides several methods to provide customized behavior for testing purposes. Specifically, it uses a `FilterDirectoryReader` to wrap around the index reader, which allows for filtering documents based on certain criteria. Additionally, it provides a custom implementation of the `EngineConfig` class</t>
        </is>
      </c>
      <c r="M289" t="n">
        <v>0</v>
      </c>
      <c r="N289" t="n">
        <v>0.0303</v>
      </c>
      <c r="O289" t="n">
        <v>0.0769</v>
      </c>
    </row>
    <row r="290">
      <c r="A290" t="inlineStr">
        <is>
          <t>crate</t>
        </is>
      </c>
      <c r="B290" t="inlineStr">
        <is>
          <t>server/src/testFixtures/java/org/elasticsearch/test/engine/MockEngineSupport.java</t>
        </is>
      </c>
      <c r="C290">
        <f>HYPERLINK("https://github.com/crate/crate/blob/master/server/src/testFixtures/java/org/elasticsearch/test/engine/MockEngineSupport.java")</f>
        <v/>
      </c>
      <c r="D290" t="inlineStr">
        <is>
          <t>The provided code defines a class called `Engine` that implements the `Closeable` interface. It has several fields and methods, including a constructor that takes no arguments, a method called `close()` that throws an `IOException`, and a field called `ran` that is initialized to a random value using the `Random` class. Additionally, there is a nested class called `TestEngine`</t>
        </is>
      </c>
      <c r="E290" t="n">
        <v>0.0037</v>
      </c>
      <c r="F290" t="n">
        <v>0.0606</v>
      </c>
      <c r="G290" t="n">
        <v>0.1154</v>
      </c>
      <c r="H290" t="inlineStr">
        <is>
          <t>This code appears to be part of an open source project called Elasticsearch, which is a search engine based on Lucene. The code defines several classes related to testing the Elasticsearch engine, including a class called `EngineTestCase` that provides a base class for test cases that interact with the engine. The class has methods for creating and closing instances of the engine, as well as methods for</t>
        </is>
      </c>
      <c r="I290" t="n">
        <v>0.0032</v>
      </c>
      <c r="J290" t="n">
        <v>0.0533</v>
      </c>
      <c r="K290" t="n">
        <v>0.1079</v>
      </c>
      <c r="L290" t="inlineStr">
        <is>
          <t>The provided code defines a class named `EngineTestCase` that extends the `ElasticsearchTestCase` class from the Elasticsearch framework. It provides a test case for testing the engine component of Elasticsearch.
The class has several methods, including `setUp`, `tearDown`, `getRandom`, and `randomInstance`. These methods are used to set up the</t>
        </is>
      </c>
      <c r="M290" t="n">
        <v>0.0038</v>
      </c>
      <c r="N290" t="n">
        <v>0.0357</v>
      </c>
      <c r="O290" t="n">
        <v>0.0833</v>
      </c>
    </row>
    <row r="291">
      <c r="A291" t="inlineStr">
        <is>
          <t>crate</t>
        </is>
      </c>
      <c r="B291" t="inlineStr">
        <is>
          <t>server/src/testFixtures/java/org/elasticsearch/test/engine/MockInternalEngine.java</t>
        </is>
      </c>
      <c r="C291">
        <f>HYPERLINK("https://github.com/crate/crate/blob/master/server/src/testFixtures/java/org/elasticsearch/test/engine/MockInternalEngine.java")</f>
        <v/>
      </c>
      <c r="D291" t="inlineStr">
        <is>
          <t>This code appears to be part of an Elasticsearch engine test suite. It defines a `TestEngine` class that extends the `Engine` abstract class and overrides several methods to provide custom behavior during testing. The `TestEngine` class also uses the `FilterDirectoryReader` class from Lucene to filter out certain documents from the index reader.
The main purpose of this code seems</t>
        </is>
      </c>
      <c r="E291" t="n">
        <v>0.0037</v>
      </c>
      <c r="F291" t="n">
        <v>0.0597</v>
      </c>
      <c r="G291" t="n">
        <v>0.1145</v>
      </c>
      <c r="H291" t="inlineStr">
        <is>
          <t>This code implements an engine component that extends Lucene's FilterDirectoryReader class. The EngineConfig interface defines configuration parameters for the engine, including the directory reader and the index settings. The Engine class provides methods for indexing and searching documents.</t>
        </is>
      </c>
      <c r="I291" t="n">
        <v>0.0064</v>
      </c>
      <c r="J291" t="n">
        <v>0.1277</v>
      </c>
      <c r="K291" t="n">
        <v>0.1364</v>
      </c>
      <c r="L291" t="inlineStr">
        <is>
          <t>The provided code defines a custom implementation of the `Engine` class from the Lucene library, which provides a high-performance search engine for indexing and searching large amounts of data. The custom implementation uses the `FilterDirectoryReader` class to filter out documents that match certain criteria before passing them to the underlying Lucene index. The resulting filtered index is then used to create a new instance of</t>
        </is>
      </c>
      <c r="M291" t="n">
        <v>0.0028</v>
      </c>
      <c r="N291" t="n">
        <v>0.0541</v>
      </c>
      <c r="O291" t="n">
        <v>0.1095</v>
      </c>
    </row>
    <row r="292">
      <c r="A292" t="inlineStr">
        <is>
          <t>crate</t>
        </is>
      </c>
      <c r="B292" t="inlineStr">
        <is>
          <t>server/src/testFixtures/java/org/elasticsearch/test/gateway/TestGatewayAllocator.java</t>
        </is>
      </c>
      <c r="C292">
        <f>HYPERLINK("https://github.com/crate/crate/blob/master/server/src/testFixtures/java/org/elasticsearch/test/gateway/TestGatewayAllocator.java")</f>
        <v/>
      </c>
      <c r="D292" t="inlineStr">
        <is>
          <t>The provided code appears to be part of an Elasticsearch test suite for the gateway module. It defines several classes and methods related to testing the gateway's ability to recover shards from nodes that have failed or been removed from the cluster.
The `GatewayAllocator` class is responsible for allocating shards to nodes based on their attributes such as node name, host</t>
        </is>
      </c>
      <c r="E292" t="n">
        <v>0.003</v>
      </c>
      <c r="F292" t="n">
        <v>0.0571</v>
      </c>
      <c r="G292" t="n">
        <v>0.0752</v>
      </c>
      <c r="H292" t="inlineStr">
        <is>
          <t>This code appears to be part of an open source project called Elasticsearch, which is a search engine based on Lucene. The code is written in Java and defines several classes and methods related to the discovery of nodes and shards in a cluster.
The `add` method takes two integers as input and returns their sum. It does not have any comments or documentation, but it seems</t>
        </is>
      </c>
      <c r="I292" t="n">
        <v>0.0032</v>
      </c>
      <c r="J292" t="n">
        <v>0.0533</v>
      </c>
      <c r="K292" t="n">
        <v>0.1079</v>
      </c>
      <c r="L292" t="inlineStr">
        <is>
          <t>The code defines a class named `ElasticsearchTestGateway` that extends the `AbstractGatewayAllocator` class. It provides a custom implementation of the `allocate` method that takes in a `ShardRouting` object and returns a `List` of `DiscoveryNode` objects representing the nodes where the shard should be allocated. The</t>
        </is>
      </c>
      <c r="M292" t="n">
        <v>0.0042</v>
      </c>
      <c r="N292" t="n">
        <v>0.0769</v>
      </c>
      <c r="O292" t="n">
        <v>0.0862</v>
      </c>
    </row>
    <row r="293">
      <c r="A293" t="inlineStr">
        <is>
          <t>crate</t>
        </is>
      </c>
      <c r="B293" t="inlineStr">
        <is>
          <t>server/src/testFixtures/java/org/elasticsearch/test/store/MockFSIndexStore.java</t>
        </is>
      </c>
      <c r="C293">
        <f>HYPERLINK("https://github.com/crate/crate/blob/master/server/src/testFixtures/java/org/elasticsearch/test/store/MockFSIndexStore.java")</f>
        <v/>
      </c>
      <c r="D293" t="inlineStr">
        <is>
          <t>This code appears to be part of an open source project called Elasticsearch, which is a search engine based on Lucene. The code defines a class named `MockDirectoryWrapper` that extends the `Directory` interface from the same package. It also imports several other packages, including `org.apache.logging.log4j`, `org.jspecify.annotations`, and `</t>
        </is>
      </c>
      <c r="E293" t="n">
        <v>0.0045</v>
      </c>
      <c r="F293" t="n">
        <v>0.0667</v>
      </c>
      <c r="G293" t="n">
        <v>0.125</v>
      </c>
      <c r="H293" t="inlineStr">
        <is>
          <t>This code defines a package called `org.elasticsearch.test.store` that provides a set of classes and methods for testing the storage subsystem of Elasticsearch. The package includes a class called `MockDirectoryWrapper`, which implements a mock directory wrapper for testing purposes. The class has several static methods for creating different types of mock directories, such as `newMockFSDirectory()` and</t>
        </is>
      </c>
      <c r="I293" t="n">
        <v>0.0044</v>
      </c>
      <c r="J293" t="n">
        <v>0.09089999999999999</v>
      </c>
      <c r="K293" t="n">
        <v>0.1181</v>
      </c>
      <c r="L293" t="inlineStr">
        <is>
          <t>The provided code is part of a test suite for Elasticsearch's store component. It defines a class named `ElasticsearchTestStore` that extends the base `Store` interface from Elasticsearch. The class provides a custom implementation of the `Store` interface for testing purposes.
The class has several methods that implement the abstract methods defined in the `Store` interface, such</t>
        </is>
      </c>
      <c r="M293" t="n">
        <v>0</v>
      </c>
      <c r="N293" t="n">
        <v>0.0308</v>
      </c>
      <c r="O293" t="n">
        <v>0.0781</v>
      </c>
    </row>
    <row r="294">
      <c r="A294" t="inlineStr">
        <is>
          <t>crate</t>
        </is>
      </c>
      <c r="B294" t="inlineStr">
        <is>
          <t>server/src/testFixtures/java/org/elasticsearch/test/store/MockFSDirectoryFactory.java</t>
        </is>
      </c>
      <c r="C294">
        <f>HYPERLINK("https://github.com/crate/crate/blob/master/server/src/testFixtures/java/org/elasticsearch/test/store/MockFSDirectoryFactory.java")</f>
        <v/>
      </c>
      <c r="D294" t="inlineStr">
        <is>
          <t>This code defines a class called `ElasticsearchTestStore` that extends the Java `Object` class. It has several fields and methods, including a constructor, a `close()` method, and a `writeTo()` method. The `writeTo()` method takes two arguments: a `String` object representing the data to be written, and a `PrintStream` object representing the</t>
        </is>
      </c>
      <c r="E294" t="n">
        <v>0.0044</v>
      </c>
      <c r="F294" t="n">
        <v>0.06900000000000001</v>
      </c>
      <c r="G294" t="n">
        <v>0.082</v>
      </c>
      <c r="H294" t="inlineStr">
        <is>
          <t>This code implements a test framework for Elasticsearch's store component. It provides a way to write unit tests for the store component using JUnit. The code includes a number of utility functions for working with files and streams, as well as a method for printing messages to the console. The complexity of the code is O(N), where N is the size of the input data. The comments</t>
        </is>
      </c>
      <c r="I294" t="n">
        <v>0.0036</v>
      </c>
      <c r="J294" t="n">
        <v>0.1039</v>
      </c>
      <c r="K294" t="n">
        <v>0.1439</v>
      </c>
      <c r="L294" t="inlineStr">
        <is>
          <t>The code defines a class called `ElasticsearchTestStore` that implements the `Closeable` interface. It has a constructor that takes a `String` parameter representing the name of the test store, and a `printStream` field that stores a reference to a `PrintStream`. The class also includes several methods, including a `close()` method that closes the underlying stream,</t>
        </is>
      </c>
      <c r="M294" t="n">
        <v>0.004</v>
      </c>
      <c r="N294" t="n">
        <v>0.0645</v>
      </c>
      <c r="O294" t="n">
        <v>0.0794</v>
      </c>
    </row>
    <row r="295">
      <c r="A295" t="inlineStr">
        <is>
          <t>crate</t>
        </is>
      </c>
      <c r="B295" t="inlineStr">
        <is>
          <t>server/src/testFixtures/java/org/elasticsearch/test/hamcrest/ElasticsearchAssertions.java</t>
        </is>
      </c>
      <c r="C295">
        <f>HYPERLINK("https://github.com/crate/crate/blob/master/server/src/testFixtures/java/org/elasticsearch/test/hamcrest/ElasticsearchAssertions.java")</f>
        <v/>
      </c>
      <c r="D295" t="inlineStr">
        <is>
          <t>This code appears to be part of an open source project called Elasticsearch, which is a search and analytics engine for cloud-scale data sets. The code defines a class named `ElasticsearchTestUtil` that provides utility methods for testing Elasticsearch clusters using AssertJ assertions.
The class has several methods, including `assertClusterHealth`, `assertIndexExists</t>
        </is>
      </c>
      <c r="E295" t="n">
        <v>0.0044</v>
      </c>
      <c r="F295" t="n">
        <v>0.0678</v>
      </c>
      <c r="G295" t="n">
        <v>0.123</v>
      </c>
      <c r="H295" t="inlineStr">
        <is>
          <t>This code defines a package named `org.elasticsearch.test.hamcrest` that provides a set of classes and methods for testing Elasticsearch clusters using AssertJ. The package includes a class called `ClusterHealthResponseMatcher`, which extends the `TypeSafeDiagnosingMatcher` class from the AssertJ library. It also includes a method called `hasStatus</t>
        </is>
      </c>
      <c r="I295" t="n">
        <v>0.005</v>
      </c>
      <c r="J295" t="n">
        <v>0.0727</v>
      </c>
      <c r="K295" t="n">
        <v>0.1293</v>
      </c>
      <c r="L295" t="inlineStr">
        <is>
          <t>The provided code defines a test case for Elasticsearch using AssertJ's `assertThat` method. It imports classes from the `org.elasticsearch.action` package and uses them to create a `ClusterHealthResponse` object. The code then asserts that the response has a yellow status, which indicates that the cluster is healthy but not fully operational yet.</t>
        </is>
      </c>
      <c r="M295" t="n">
        <v>0.0036</v>
      </c>
      <c r="N295" t="n">
        <v>0.0323</v>
      </c>
      <c r="O295" t="n">
        <v>0.0813</v>
      </c>
    </row>
    <row r="296">
      <c r="A296" t="inlineStr">
        <is>
          <t>crate</t>
        </is>
      </c>
      <c r="B296" t="inlineStr">
        <is>
          <t>server/src/testFixtures/java/org/elasticsearch/test/test/ESTestCaseTests.java</t>
        </is>
      </c>
      <c r="C296">
        <f>HYPERLINK("https://github.com/crate/crate/blob/master/server/src/testFixtures/java/org/elasticsearch/test/test/ESTestCaseTests.java")</f>
        <v/>
      </c>
      <c r="D296" t="inlineStr">
        <is>
          <t>This Java code appears to be part of an Elasticsearch test suite. It defines a class called `Test` that has several methods related to testing, such as `assertThat`, `assertEquals`, and `assertTrue`. The class also imports various other classes from the `java.lang` and `java.util` packages.
The code does not appear to contain any functional logic</t>
        </is>
      </c>
      <c r="E296" t="n">
        <v>0.004</v>
      </c>
      <c r="F296" t="n">
        <v>0.09379999999999999</v>
      </c>
      <c r="G296" t="n">
        <v>0.119</v>
      </c>
      <c r="H296" t="inlineStr">
        <is>
          <t>This code appears to be part of an open-source project called Elasticsearch. It is written in Java and defines a class named `Test` that implements various test cases using the AssertJ library. The class has several methods that perform different types of tests, such as checking the equality of objects, testing exceptions, and verifying the output of functions.
The code also includes comments that</t>
        </is>
      </c>
      <c r="I296" t="n">
        <v>0.0037</v>
      </c>
      <c r="J296" t="n">
        <v>0.0822</v>
      </c>
      <c r="K296" t="n">
        <v>0.1471</v>
      </c>
      <c r="L296" t="inlineStr">
        <is>
          <t>The provided code is part of a Java project that implements unit tests for a web application using the AssertJ library. The code defines a test class named `TestClass` that extends the `BaseESRestTestCase` class from the Elasticsearch testing framework.
The `TestClass` class has several methods that perform various assertions against the REST API endpoints exposed by the web application</t>
        </is>
      </c>
      <c r="M296" t="n">
        <v>0.0031</v>
      </c>
      <c r="N296" t="n">
        <v>0.0299</v>
      </c>
      <c r="O296" t="n">
        <v>0.07630000000000001</v>
      </c>
    </row>
    <row r="297">
      <c r="A297" t="inlineStr">
        <is>
          <t>crate</t>
        </is>
      </c>
      <c r="B297" t="inlineStr">
        <is>
          <t>server/src/testFixtures/java/org/elasticsearch/test/test/InternalTestClusterTests.java</t>
        </is>
      </c>
      <c r="C297">
        <f>HYPERLINK("https://github.com/crate/crate/blob/master/server/src/testFixtures/java/org/elasticsearch/test/test/InternalTestClusterTests.java")</f>
        <v/>
      </c>
      <c r="D297" t="inlineStr">
        <is>
          <t>This code appears to be a Java implementation of various algorithms used in a web application's backend. It includes comments explaining the purpose of each algorithm and the complexity of their execution time. The code size is approximately 1000 lines long.</t>
        </is>
      </c>
      <c r="E297" t="n">
        <v>0.0054</v>
      </c>
      <c r="F297" t="n">
        <v>0.12</v>
      </c>
      <c r="G297" t="n">
        <v>0.177</v>
      </c>
      <c r="H297" t="inlineStr">
        <is>
          <t>This code appears to be a Java implementation of a web application's backend. It includes comments that describe the purpose of each class and method, as well as the complexity of the code. The README file provides some background information about the project and its goals. The code size is approximately 1000 lines long. Overall, it seems like this codebase is intended to</t>
        </is>
      </c>
      <c r="I297" t="n">
        <v>0.0034</v>
      </c>
      <c r="J297" t="n">
        <v>0.0833</v>
      </c>
      <c r="K297" t="n">
        <v>0.1111</v>
      </c>
      <c r="L297" t="inlineStr">
        <is>
          <t>The provided code implements the core algorithms for a web application. It handles user authentication, authorization, and data retrieval from a database using SQL queries. The code has a complexity of O(N), with existing comments providing insight into the implementation details. The code size is approximately 1000 lines.</t>
        </is>
      </c>
      <c r="M297" t="n">
        <v>0.005</v>
      </c>
      <c r="N297" t="n">
        <v>0.1053</v>
      </c>
      <c r="O297" t="n">
        <v>0.1667</v>
      </c>
    </row>
    <row r="298">
      <c r="A298" t="inlineStr">
        <is>
          <t>crate</t>
        </is>
      </c>
      <c r="B298" t="inlineStr">
        <is>
          <t>server/src/testFixtures/java/org/elasticsearch/test/test/InternalTestClusterIT.java</t>
        </is>
      </c>
      <c r="C298">
        <f>HYPERLINK("https://github.com/crate/crate/blob/master/server/src/testFixtures/java/org/elasticsearch/test/test/InternalTestClusterIT.java")</f>
        <v/>
      </c>
      <c r="D298" t="inlineStr">
        <is>
          <t>This code appears to be a Java implementation of some kind of test framework for Elasticsearch. It includes several classes and methods that are used to test various aspects of the Elasticsearch system. The main class, `Test`, has a method called `run` that takes a `NodeClient` object as an argument and performs some actions using it. The `NodeClient` is used to interact with</t>
        </is>
      </c>
      <c r="E298" t="n">
        <v>0.0034</v>
      </c>
      <c r="F298" t="n">
        <v>0.08450000000000001</v>
      </c>
      <c r="G298" t="n">
        <v>0.1481</v>
      </c>
      <c r="H298" t="inlineStr">
        <is>
          <t>This code appears to be a Java package containing source code for a test suite for an Elasticsearch application. The package includes several classes that implement various tests for the application's functionality.
The `add` function is defined as a method within the `Test` class, which takes two integer arguments `a` and `b`, and returns their sum. The function does not perform any</t>
        </is>
      </c>
      <c r="I298" t="n">
        <v>0.0035</v>
      </c>
      <c r="J298" t="n">
        <v>0.1127</v>
      </c>
      <c r="K298" t="n">
        <v>0.1493</v>
      </c>
      <c r="L298" t="inlineStr">
        <is>
          <t>The provided code implements a unit test for a NodeClient class within the Elasticsearch project. It uses AssertJ library to assert that the client's settings match those specified in the Settings object.</t>
        </is>
      </c>
      <c r="M298" t="n">
        <v>0.0058</v>
      </c>
      <c r="N298" t="n">
        <v>0.0488</v>
      </c>
      <c r="O298" t="n">
        <v>0.09619999999999999</v>
      </c>
    </row>
    <row r="299">
      <c r="A299" t="inlineStr">
        <is>
          <t>crate</t>
        </is>
      </c>
      <c r="B299" t="inlineStr">
        <is>
          <t>server/src/testFixtures/java/org/elasticsearch/test/test/LoggingListenerTests.java</t>
        </is>
      </c>
      <c r="C299">
        <f>HYPERLINK("https://github.com/crate/crate/blob/master/server/src/testFixtures/java/org/elasticsearch/test/test/LoggingListenerTests.java")</f>
        <v/>
      </c>
      <c r="D299" t="inlineStr">
        <is>
          <t>The provided code appears to be a Java implementation of unit tests for a module called `org.elasticsearch.test`. It uses the AssertJ library for assertions and includes test cases that cover various aspects of the module's functionality. The code also includes comments explaining the purpose of each method and class, as well as commits and code size statistics. Overall, it seems like this code</t>
        </is>
      </c>
      <c r="E299" t="n">
        <v>0.0034</v>
      </c>
      <c r="F299" t="n">
        <v>0.08110000000000001</v>
      </c>
      <c r="G299" t="n">
        <v>0.1852</v>
      </c>
      <c r="H299" t="inlineStr">
        <is>
          <t>This code defines a Java package named `org.elasticsearch.test.test` that contains classes and methods related to testing. The package includes a class called `TestUtils` with several utility methods for testing purposes. It also includes a method called `main` which runs some tests using JUnit. The README file provides information about the purpose of the project and its complexity.</t>
        </is>
      </c>
      <c r="I299" t="n">
        <v>0.0038</v>
      </c>
      <c r="J299" t="n">
        <v>0.0588</v>
      </c>
      <c r="K299" t="n">
        <v>0.1163</v>
      </c>
      <c r="L299" t="inlineStr">
        <is>
          <t>The code defines a test suite for testing the correctness of Elasticsearch's search functionality. It uses the AssertJ library to make assertions about the results of searches. The test cases cover various scenarios such as searching for terms, phrases, and wildcards, as well as testing the relevance of search results based on their score. The tests also check that the search results are returned</t>
        </is>
      </c>
      <c r="M299" t="n">
        <v>0.0028</v>
      </c>
      <c r="N299" t="n">
        <v>0.0548</v>
      </c>
      <c r="O299" t="n">
        <v>0.0735</v>
      </c>
    </row>
    <row r="300">
      <c r="A300" t="inlineStr">
        <is>
          <t>crate</t>
        </is>
      </c>
      <c r="B300" t="inlineStr">
        <is>
          <t>server/src/testFixtures/java/org/elasticsearch/test/disruption/NetworkDisruptionTests.java</t>
        </is>
      </c>
      <c r="C300">
        <f>HYPERLINK("https://github.com/crate/crate/blob/master/server/src/testFixtures/java/org/elasticsearch/test/disruption/NetworkDisruptionTests.java")</f>
        <v/>
      </c>
      <c r="D300" t="inlineStr">
        <is>
          <t>This code appears to be part of an Elasticsearch test framework for simulating network disruptions during tests. It defines a `Disruptor` class that allows specifying different types of disruptions, such as dropping packets or delaying responses. The class also provides methods for checking whether a given disruption has occurred, and for resetting the state of the disrupter after a</t>
        </is>
      </c>
      <c r="E300" t="n">
        <v>0.0037</v>
      </c>
      <c r="F300" t="n">
        <v>0.0597</v>
      </c>
      <c r="G300" t="n">
        <v>0.1145</v>
      </c>
      <c r="H300" t="inlineStr">
        <is>
          <t>This code implements a set data structure that allows elements to be added and removed efficiently. It uses a hash table to store the elements and provides methods for checking whether an element is present in the set, adding an element to the set, and removing an element from the set. The complexity of the operations is given as O(1), which means that they take constant time regardless of the size of</t>
        </is>
      </c>
      <c r="I300" t="n">
        <v>0.0033</v>
      </c>
      <c r="J300" t="n">
        <v>0.0741</v>
      </c>
      <c r="K300" t="n">
        <v>0.1389</v>
      </c>
      <c r="L300" t="inlineStr">
        <is>
          <t>The provided code implements a test case for disruptive behavior in Elasticsearch. It defines a class named `DisruptiveBehaviorTest` that extends from `ESTestCase`. The class contains several methods that simulate different types of disruptions, such as network partitions, node failures, and index corruptions. These methods use assertions to verify the correctness of the system</t>
        </is>
      </c>
      <c r="M300" t="n">
        <v>0.0041</v>
      </c>
      <c r="N300" t="n">
        <v>0.06560000000000001</v>
      </c>
      <c r="O300" t="n">
        <v>0.12</v>
      </c>
    </row>
    <row r="301">
      <c r="A301" t="inlineStr">
        <is>
          <t>crate</t>
        </is>
      </c>
      <c r="B301" t="inlineStr">
        <is>
          <t>server/src/testFixtures/java/org/elasticsearch/test/disruption/SlowClusterStateProcessing.java</t>
        </is>
      </c>
      <c r="C301">
        <f>HYPERLINK("https://github.com/crate/crate/blob/master/server/src/testFixtures/java/org/elasticsearch/test/disruption/SlowClusterStateProcessing.java")</f>
        <v/>
      </c>
      <c r="D301" t="inlineStr">
        <is>
          <t>The provided code defines a class called `Disruptor` that implements a disruptor pattern for handling asynchronous events. It has several methods that allow users to add listeners to the disruptor, start and stop it, and send events through it. The main functionality of the code is to provide a way to handle multiple asynchronous events in a controlled manner, allowing developers to write efficient and</t>
        </is>
      </c>
      <c r="E301" t="n">
        <v>0.0037</v>
      </c>
      <c r="F301" t="n">
        <v>0.0822</v>
      </c>
      <c r="G301" t="n">
        <v>0.1095</v>
      </c>
      <c r="H301" t="inlineStr">
        <is>
          <t>This code defines a class called `Disruptor` that implements a disruptor pattern for handling asynchronous events. The class has several methods, including `start`, which starts the disruptor, `stop`, which stops it, and `addEventHandler`, which adds an event handler to the disruptor. The class also includes a field called `random` of type `Random`,</t>
        </is>
      </c>
      <c r="I301" t="n">
        <v>0.0046</v>
      </c>
      <c r="J301" t="n">
        <v>0.1</v>
      </c>
      <c r="K301" t="n">
        <v>0.121</v>
      </c>
      <c r="L301" t="inlineStr">
        <is>
          <t>The provided code defines a class that implements disruptive behavior during testing. It creates a random delay between 0 and 1 second before executing the listener's `onResponse` method. The delay is calculated using a `Random` object and passed as an argument to the constructor. Additionally, the class provides a shutdown mechanism through a `shutdownNow()` method that sets a</t>
        </is>
      </c>
      <c r="M301" t="n">
        <v>0.0037</v>
      </c>
      <c r="N301" t="n">
        <v>0.0597</v>
      </c>
      <c r="O301" t="n">
        <v>0.1154</v>
      </c>
    </row>
    <row r="302">
      <c r="A302" t="inlineStr">
        <is>
          <t>crate</t>
        </is>
      </c>
      <c r="B302" t="inlineStr">
        <is>
          <t>server/src/testFixtures/java/org/elasticsearch/test/disruption/BlockMasterServiceOnMaster.java</t>
        </is>
      </c>
      <c r="C302">
        <f>HYPERLINK("https://github.com/crate/crate/blob/master/server/src/testFixtures/java/org/elasticsearch/test/disruption/BlockMasterServiceOnMaster.java")</f>
        <v/>
      </c>
      <c r="D302" t="inlineStr">
        <is>
          <t>This code appears to be part of an Elasticsearch project, specifically related to testing disruptions in the cluster state. It defines a class called `DisruptClusterState` that implements the `ClusterStateUpdateTask` interface. The class has several methods, including `applyClusterState`, which updates the cluster state based on the current state and some input parameters. The `on</t>
        </is>
      </c>
      <c r="E302" t="n">
        <v>0.0045</v>
      </c>
      <c r="F302" t="n">
        <v>0.0984</v>
      </c>
      <c r="G302" t="n">
        <v>0.16</v>
      </c>
      <c r="H302" t="inlineStr">
        <is>
          <t>This is a Java package containing backend software components used in Elasticsearch. The package includes classes related to disruptions, which are intentional network partitions that can be injected into the cluster during testing. The package also includes utility functions for working with ClusterStates. Overall, this package appears to be part of the Elasticsearch project's test infrastructure.</t>
        </is>
      </c>
      <c r="I302" t="n">
        <v>0.0039</v>
      </c>
      <c r="J302" t="n">
        <v>0.09229999999999999</v>
      </c>
      <c r="K302" t="n">
        <v>0.1172</v>
      </c>
      <c r="L302" t="inlineStr">
        <is>
          <t>The provided code defines a class named `DisruptingClusterStateTask` that extends the `ClusterStateUpdateTask` class from the Elasticsearch framework. It provides a method called `run()` that takes a `ClusterState` object as input and returns a new `ClusterState` object after applying some disruptions. The class also has a static method called `apply</t>
        </is>
      </c>
      <c r="M302" t="n">
        <v>0.0037</v>
      </c>
      <c r="N302" t="n">
        <v>0.0351</v>
      </c>
      <c r="O302" t="n">
        <v>0.0413</v>
      </c>
    </row>
    <row r="303">
      <c r="A303" t="inlineStr">
        <is>
          <t>crate</t>
        </is>
      </c>
      <c r="B303" t="inlineStr">
        <is>
          <t>server/src/testFixtures/java/org/elasticsearch/test/disruption/DisruptableMockTransport.java</t>
        </is>
      </c>
      <c r="C303">
        <f>HYPERLINK("https://github.com/crate/crate/blob/master/server/src/testFixtures/java/org/elasticsearch/test/disruption/DisruptableMockTransport.java")</f>
        <v/>
      </c>
      <c r="D303" t="inlineStr">
        <is>
          <t>This code appears to be part of an open source project called Elasticsearch, which is a search and analytics engine. The code defines a class named `Disruptor` that implements a disruptor pattern for handling tasks asynchronously. It also includes some utility functions for working with writeables.
The main functionalities of the code seem to be:
* Defining</t>
        </is>
      </c>
      <c r="E303" t="n">
        <v>0.0042</v>
      </c>
      <c r="F303" t="n">
        <v>0.09379999999999999</v>
      </c>
      <c r="G303" t="n">
        <v>0.155</v>
      </c>
      <c r="H303" t="inlineStr">
        <is>
          <t>This is a Java package containing test disruptions for Elasticsearch. The package includes a class called `Disruptor` that provides a way to simulate network failures during tests. It also includes a number of other classes related to testing, such as `NetworkDelay` and `NetworkFailure`. The package has a total of 1000 lines of code.</t>
        </is>
      </c>
      <c r="I303" t="n">
        <v>0.0041</v>
      </c>
      <c r="J303" t="n">
        <v>0.06560000000000001</v>
      </c>
      <c r="K303" t="n">
        <v>0.08</v>
      </c>
      <c r="L303" t="inlineStr">
        <is>
          <t>The provided code defines a class named `Disruptor` that implements the `Supplier` interface from Java's standard library. It provides a method called `get()` that returns an instance of type `T`, where `T` is a generic parameter. The `Disruptor` class has several fields and methods that are used to manage the disruption of requests during testing. These</t>
        </is>
      </c>
      <c r="M303" t="n">
        <v>0.0039</v>
      </c>
      <c r="N303" t="n">
        <v>0.0615</v>
      </c>
      <c r="O303" t="n">
        <v>0.1172</v>
      </c>
    </row>
    <row r="304">
      <c r="A304" t="inlineStr">
        <is>
          <t>crate</t>
        </is>
      </c>
      <c r="B304" t="inlineStr">
        <is>
          <t>server/src/testFixtures/java/org/elasticsearch/test/disruption/SingleNodeDisruption.java</t>
        </is>
      </c>
      <c r="C304">
        <f>HYPERLINK("https://github.com/crate/crate/blob/master/server/src/testFixtures/java/org/elasticsearch/test/disruption/SingleNodeDisruption.java")</f>
        <v/>
      </c>
      <c r="D304" t="inlineStr">
        <is>
          <t>The provided code appears to be part of an open source project called Elasticsearch. It defines a class named `Disruptor` that implements a disruptor pattern for handling tasks asynchronously. The class has several methods for adding, removing, and processing tasks, as well as some utility methods for generating random numbers and logging messages. The code also includes a comment block at the top that</t>
        </is>
      </c>
      <c r="E304" t="n">
        <v>0.0034</v>
      </c>
      <c r="F304" t="n">
        <v>0.0556</v>
      </c>
      <c r="G304" t="n">
        <v>0.1103</v>
      </c>
      <c r="H304" t="inlineStr">
        <is>
          <t>This is a Java package that provides various disruptive testing tools for Elasticsearch. The package includes several classes that implement different types of disruptions, such as network latency, node failure, and index corruption. These disruptions can be used to simulate real-world scenarios where Elasticsearch nodes fail or experience high latency, which can help developers test their applications' resili</t>
        </is>
      </c>
      <c r="I304" t="n">
        <v>0.0037</v>
      </c>
      <c r="J304" t="n">
        <v>0.0896</v>
      </c>
      <c r="K304" t="n">
        <v>0.1538</v>
      </c>
      <c r="L304" t="inlineStr">
        <is>
          <t>The provided code implements a disruptor test class that simulates network partitions and verifies the correctness of the system's response. It uses the Log4J library for logging and the AssertJ library for assertions. The code has a complexity of O(N), where N is the number of nodes in the cluster. The existing comments provide context about the implementation of the core</t>
        </is>
      </c>
      <c r="M304" t="n">
        <v>0.0039</v>
      </c>
      <c r="N304" t="n">
        <v>0.0563</v>
      </c>
      <c r="O304" t="n">
        <v>0.1504</v>
      </c>
    </row>
    <row r="305">
      <c r="A305" t="inlineStr">
        <is>
          <t>crate</t>
        </is>
      </c>
      <c r="B305" t="inlineStr">
        <is>
          <t>server/src/testFixtures/java/org/elasticsearch/test/disruption/BlockClusterStateProcessing.java</t>
        </is>
      </c>
      <c r="C305">
        <f>HYPERLINK("https://github.com/crate/crate/blob/master/server/src/testFixtures/java/org/elasticsearch/test/disruption/BlockClusterStateProcessing.java")</f>
        <v/>
      </c>
      <c r="D305" t="inlineStr">
        <is>
          <t>The code defines a class `Disruptor` that implements a disruptor pattern using Java's `Thread` class. It has two main methods: `start()` and `stop()`. The `start()` method starts the disruptor thread and blocks until it reaches a certain point in its execution, where it then stops itself. The `stop()` method interrupts the disruptor</t>
        </is>
      </c>
      <c r="E305" t="n">
        <v>0.0042</v>
      </c>
      <c r="F305" t="n">
        <v>0.06560000000000001</v>
      </c>
      <c r="G305" t="n">
        <v>0.121</v>
      </c>
      <c r="H305" t="inlineStr">
        <is>
          <t>This is a Java package named `org.elasticsearch.test.disruption` that provides a library for implementing disruptions during testing. The package includes several classes and interfaces that define different types of disruptions, such as network partitions, node failures, and index corruptions. These disruptions can be used to test the resilience of Elasticsearch clusters under various</t>
        </is>
      </c>
      <c r="I305" t="n">
        <v>0.0042</v>
      </c>
      <c r="J305" t="n">
        <v>0.09520000000000001</v>
      </c>
      <c r="K305" t="n">
        <v>0.1613</v>
      </c>
      <c r="L305" t="inlineStr">
        <is>
          <t>The provided code is part of the Elasticsearch project's test disruption module. It implements a class called `NetworkDisruption` that simulates network disruptions during testing. The class has several methods related to setting up and tearing down network disruptions, as well as methods for injecting random network failures into the system.
The class uses the `java</t>
        </is>
      </c>
      <c r="M305" t="n">
        <v>0.004</v>
      </c>
      <c r="N305" t="n">
        <v>0.09379999999999999</v>
      </c>
      <c r="O305" t="n">
        <v>0.1181</v>
      </c>
    </row>
    <row r="306">
      <c r="A306" t="inlineStr">
        <is>
          <t>crate</t>
        </is>
      </c>
      <c r="B306" t="inlineStr">
        <is>
          <t>server/src/testFixtures/java/org/elasticsearch/test/disruption/NetworkDisruption.java</t>
        </is>
      </c>
      <c r="C306">
        <f>HYPERLINK("https://github.com/crate/crate/blob/master/server/src/testFixtures/java/org/elasticsearch/test/disruption/NetworkDisruption.java")</f>
        <v/>
      </c>
      <c r="D306" t="inlineStr">
        <is>
          <t>This code appears to be part of an open source project called "Elasticsearch". It is a Java library that provides various utility classes and methods for testing purposes. The code defines several classes related to disruptions in the system, such as `Disruptable` and `Disruption`, which can be used to simulate failures and errors during testing. Additionally, there are some logging</t>
        </is>
      </c>
      <c r="E306" t="n">
        <v>0.0036</v>
      </c>
      <c r="F306" t="n">
        <v>0.0588</v>
      </c>
      <c r="G306" t="n">
        <v>0.1136</v>
      </c>
      <c r="H306" t="inlineStr">
        <is>
          <t>This code appears to be part of an open source project called Elasticsearch, which is a search engine based on Lucene. The code is written in Java and defines a class named `Disruptor` that implements a disruptor pattern for handling events. The disruptor pattern allows multiple threads to safely publish and consume events from a shared buffer without the need for locks.</t>
        </is>
      </c>
      <c r="I306" t="n">
        <v>0.0039</v>
      </c>
      <c r="J306" t="n">
        <v>0.0857</v>
      </c>
      <c r="K306" t="n">
        <v>0.1493</v>
      </c>
      <c r="L306" t="inlineStr">
        <is>
          <t>The code defines a class named `NetworkDisruption` that implements the `Disruptable` interface from the `com.carrotsearch.randomizedtesting` package. It provides methods for simulating network disruptions during tests using the `RandomPicks` class from the same package. The class also includes a logger instance for logging messages using Log4J.
The `</t>
        </is>
      </c>
      <c r="M306" t="n">
        <v>0.0039</v>
      </c>
      <c r="N306" t="n">
        <v>0.0357</v>
      </c>
      <c r="O306" t="n">
        <v>0.08400000000000001</v>
      </c>
    </row>
    <row r="307">
      <c r="A307" t="inlineStr">
        <is>
          <t>crate</t>
        </is>
      </c>
      <c r="B307" t="inlineStr">
        <is>
          <t>server/src/testFixtures/java/org/elasticsearch/test/disruption/NoOpDisruptionScheme.java</t>
        </is>
      </c>
      <c r="C307">
        <f>HYPERLINK("https://github.com/crate/crate/blob/master/server/src/testFixtures/java/org/elasticsearch/test/disruption/NoOpDisruptionScheme.java")</f>
        <v/>
      </c>
      <c r="D307" t="inlineStr">
        <is>
          <t>The `NoOpDisruptionScheme` class provides a simple implementation of a disruption scheme that does nothing. It implements the `ServiceDisruptionScheme` interface and has no dependencies on other classes.
The `apply` method takes a `TestCluster` object as input and returns immediately without performing any operations. This means that it will not cause any disruptions to</t>
        </is>
      </c>
      <c r="E307" t="n">
        <v>0.0046</v>
      </c>
      <c r="F307" t="n">
        <v>0.0667</v>
      </c>
      <c r="G307" t="n">
        <v>0.121</v>
      </c>
      <c r="H307" t="inlineStr">
        <is>
          <t>This code defines a Java class called `NoOpDisruptionScheme` that implements the `ServiceDisruptionScheme` interface. The class has no implementation, but it provides a stubbed out version of all methods defined in the interface. It also includes some comments describing the purpose of the class and its dependencies. The complexity of the code is estimated as O(N), where N is</t>
        </is>
      </c>
      <c r="I307" t="n">
        <v>0.0041</v>
      </c>
      <c r="J307" t="n">
        <v>0.0896</v>
      </c>
      <c r="K307" t="n">
        <v>0.1154</v>
      </c>
      <c r="L307" t="inlineStr">
        <is>
          <t>The provided code defines a `NoOpDisruptionScheme` class that implements the `ServiceDisruptionScheme` interface. It appears to be responsible for simulating disruptions to services during testing. The class has no public methods, but it does have several private fields and methods related to configuring and executing disruptions.
The code includes comments that provide some context about</t>
        </is>
      </c>
      <c r="M307" t="n">
        <v>0.004</v>
      </c>
      <c r="N307" t="n">
        <v>0.0645</v>
      </c>
      <c r="O307" t="n">
        <v>0.0794</v>
      </c>
    </row>
    <row r="308">
      <c r="A308" t="inlineStr">
        <is>
          <t>crate</t>
        </is>
      </c>
      <c r="B308" t="inlineStr">
        <is>
          <t>server/src/testFixtures/java/org/elasticsearch/test/disruption/ServiceDisruptionScheme.java</t>
        </is>
      </c>
      <c r="C308">
        <f>HYPERLINK("https://github.com/crate/crate/blob/master/server/src/testFixtures/java/org/elasticsearch/test/disruption/ServiceDisruptionScheme.java")</f>
        <v/>
      </c>
      <c r="D308" t="inlineStr">
        <is>
          <t>This code defines an interface called `ServiceDisruptionScheme` that represents a disruptive scheme applied to a test cluster. The interface has a single method called `applyToCluster`, which takes a `TestCluster` object as its argument and applies the disruption scheme to it. The method returns nothing.
The class also imports several other classes from the `io.</t>
        </is>
      </c>
      <c r="E308" t="n">
        <v>0.004</v>
      </c>
      <c r="F308" t="n">
        <v>0.0645</v>
      </c>
      <c r="G308" t="n">
        <v>0.0794</v>
      </c>
      <c r="H308" t="inlineStr">
        <is>
          <t>This code defines an interface called `ServiceDisruptionScheme` that represents a strategy for disrupting services within a test cluster. The interface has a single method called `applyToCluster()` that takes a `TestCluster` object as input and applies the disruption scheme to it. The method returns nothing.
The README file describes the purpose of the repository and</t>
        </is>
      </c>
      <c r="I308" t="n">
        <v>0.004</v>
      </c>
      <c r="J308" t="n">
        <v>0.0645</v>
      </c>
      <c r="K308" t="n">
        <v>0.0794</v>
      </c>
      <c r="L308" t="inlineStr">
        <is>
          <t>The code defines an interface called `ServiceDisruptionScheme` that represents a disruptive strategy for testing Elasticsearch clusters. It has a single method called `applyToCluster()` that takes a `TestCluster` object as input and applies the disruptive scheme to the cluster. The class is annotated with Apache License version 2.0 and includes comments about the project</t>
        </is>
      </c>
      <c r="M308" t="n">
        <v>0.0035</v>
      </c>
      <c r="N308" t="n">
        <v>0.0323</v>
      </c>
      <c r="O308" t="n">
        <v>0.04</v>
      </c>
    </row>
    <row r="309">
      <c r="A309" t="inlineStr">
        <is>
          <t>crate</t>
        </is>
      </c>
      <c r="B309" t="inlineStr">
        <is>
          <t>server/src/testFixtures/java/org/elasticsearch/test/junit/annotations/TestLogging.java</t>
        </is>
      </c>
      <c r="C309">
        <f>HYPERLINK("https://github.com/crate/crate/blob/master/server/src/testFixtures/java/org/elasticsearch/test/junit/annotations/TestLogging.java")</f>
        <v/>
      </c>
      <c r="D309" t="inlineStr">
        <is>
          <t>This Java annotation library provides a way to mark test methods as being part of a larger integration test suite. The `IntegrationTest` annotation can be applied to a method that returns void and takes no parameters. When a method annotated with `@IntegrationTest` is run, it will automatically register itself with the JUnit test runner so that it can be executed along with other tests in the</t>
        </is>
      </c>
      <c r="E309" t="n">
        <v>0.0033</v>
      </c>
      <c r="F309" t="n">
        <v>0.0541</v>
      </c>
      <c r="G309" t="n">
        <v>0.1087</v>
      </c>
      <c r="H309" t="inlineStr">
        <is>
          <t>This Java package `org.elasticsearch.test.junit.annotations` contains annotations used for testing purposes in Elasticsearch. The package includes the following classes:
* `TestAnnotation`: Annotation class that can be applied to test methods to indicate their purpose and other metadata.
* `TestClass`: Annotation class that can be applied to test classes to indicate their purpose and</t>
        </is>
      </c>
      <c r="I309" t="n">
        <v>0.0042</v>
      </c>
      <c r="J309" t="n">
        <v>0.0645</v>
      </c>
      <c r="K309" t="n">
        <v>0.121</v>
      </c>
      <c r="L309" t="inlineStr">
        <is>
          <t>The provided code defines a Java annotation named `TestAnnotation` that can be used to mark test methods in JUnit tests. It specifies the name of the test method, the expected result, and other metadata such as the test category and description. The annotation is defined using the `@interface` keyword and has several attributes that can be set using the `value()` method. The annotation is annot</t>
        </is>
      </c>
      <c r="M309" t="n">
        <v>0.0028</v>
      </c>
      <c r="N309" t="n">
        <v>0.0274</v>
      </c>
      <c r="O309" t="n">
        <v>0.073</v>
      </c>
    </row>
    <row r="310">
      <c r="A310" t="inlineStr">
        <is>
          <t>crate</t>
        </is>
      </c>
      <c r="B310" t="inlineStr">
        <is>
          <t>server/src/testFixtures/java/org/elasticsearch/test/junit/annotations/Network.java</t>
        </is>
      </c>
      <c r="C310">
        <f>HYPERLINK("https://github.com/crate/crate/blob/master/server/src/testFixtures/java/org/elasticsearch/test/junit/annotations/Network.java")</f>
        <v/>
      </c>
      <c r="D310" t="inlineStr">
        <is>
          <t>This Java annotation class `TestGroup` is used to define test groups for JUnit tests. It allows developers to group related tests together based on their characteristics such as performance, stability, or compatibility. The `@Inherited` annotation indicates that the test group can be inherited from parent classes or interfaces. The `@Retention` annotation specifies that the test group should be retained at runtime,</t>
        </is>
      </c>
      <c r="E310" t="n">
        <v>0.003</v>
      </c>
      <c r="F310" t="n">
        <v>0.029</v>
      </c>
      <c r="G310" t="n">
        <v>0.0752</v>
      </c>
      <c r="H310" t="inlineStr">
        <is>
          <t>This Java package `org.elasticsearch.test.junit.annotations` contains annotations used for testing purposes in Elasticsearch. The package includes the `@TestGroup` annotation, which is used to define test groups for randomized testing. The annotation has several parameters that can be set, including `name`, `description`, `enabledByDefault`, and `tags`. It also provides methods for</t>
        </is>
      </c>
      <c r="I310" t="n">
        <v>0.0045</v>
      </c>
      <c r="J310" t="n">
        <v>0.0667</v>
      </c>
      <c r="K310" t="n">
        <v>0.125</v>
      </c>
      <c r="L310" t="inlineStr">
        <is>
          <t>The code defines a custom annotation named `TestGroup` that can be used to annotate JUnit test classes. It extends the `com.carrotsearch.randomizedtesting.annotations.TestGroup` annotation from the `com.carrotsearch.randomizedtesting` library. The `@TestGroup` annotation allows users to specify a group name for their tests, which can then</t>
        </is>
      </c>
      <c r="M310" t="n">
        <v>0</v>
      </c>
      <c r="N310" t="n">
        <v>0</v>
      </c>
      <c r="O310" t="n">
        <v>0.0439</v>
      </c>
    </row>
    <row r="311">
      <c r="A311" t="inlineStr">
        <is>
          <t>crate</t>
        </is>
      </c>
      <c r="B311" t="inlineStr">
        <is>
          <t>server/src/testFixtures/java/org/elasticsearch/test/junit/listeners/LoggingListener.java</t>
        </is>
      </c>
      <c r="C311">
        <f>HYPERLINK("https://github.com/crate/crate/blob/master/server/src/testFixtures/java/org/elasticsearch/test/junit/listeners/LoggingListener.java")</f>
        <v/>
      </c>
      <c r="D311" t="inlineStr">
        <is>
          <t>The provided code defines a JUnit test listener that logs messages using Log4J. It imports classes from the `org.apache.logging.log4j` package and uses the `LogManager` class to create a logger instance. The `onTestStarted` method is called when a test starts, and it logs a message using the logger instance. The `onTestFinished</t>
        </is>
      </c>
      <c r="E311" t="n">
        <v>0.0037</v>
      </c>
      <c r="F311" t="n">
        <v>0.0328</v>
      </c>
      <c r="G311" t="n">
        <v>0.082</v>
      </c>
      <c r="H311" t="inlineStr">
        <is>
          <t>This Java package `org.elasticsearch.test.junit.listeners` appears to contain JUnit test listeners used for testing purposes. The package includes a single class named `ElasticsearchTestListener`, which implements the `TestListener` interface from JUnit. The class logs messages using Log4J's `LogManager`. It also defines several constants related to logging levels</t>
        </is>
      </c>
      <c r="I311" t="n">
        <v>0.0049</v>
      </c>
      <c r="J311" t="n">
        <v>0.06900000000000001</v>
      </c>
      <c r="K311" t="n">
        <v>0.1282</v>
      </c>
      <c r="L311" t="inlineStr">
        <is>
          <t>The code defines a JUnit test listener that logs messages using Log4J. It imports classes from the `org.elasticsearch.common.logging` package and uses the `LogManager` class to get a logger instance. The logger is then used to log messages at different levels, including debug, info, warn, and error. The code also includes comments describing the purpose of each method</t>
        </is>
      </c>
      <c r="M311" t="n">
        <v>0.0032</v>
      </c>
      <c r="N311" t="n">
        <v>0.0294</v>
      </c>
      <c r="O311" t="n">
        <v>0.0775</v>
      </c>
    </row>
    <row r="312">
      <c r="A312" t="inlineStr">
        <is>
          <t>crate</t>
        </is>
      </c>
      <c r="B312" t="inlineStr">
        <is>
          <t>server/src/testFixtures/java/org/elasticsearch/test/junit/listeners/ReproduceInfoPrinter.java</t>
        </is>
      </c>
      <c r="C312">
        <f>HYPERLINK("https://github.com/crate/crate/blob/master/server/src/testFixtures/java/org/elasticsearch/test/junit/listeners/ReproduceInfoPrinter.java")</f>
        <v/>
      </c>
      <c r="D312" t="inlineStr">
        <is>
          <t>This code appears to be part of a Java library for testing purposes. It defines a class called `ElasticsearchJUnitListener` that implements the `TestListener` interface from JUnit. The class has several methods related to test execution, such as `started`, `finished`, and `failed`. It also has some utility methods for getting and setting system properties.</t>
        </is>
      </c>
      <c r="E312" t="n">
        <v>0.0045</v>
      </c>
      <c r="F312" t="n">
        <v>0.0984</v>
      </c>
      <c r="G312" t="n">
        <v>0.16</v>
      </c>
      <c r="H312" t="inlineStr">
        <is>
          <t>This Java package `org.elasticsearch.test.junit.listeners` contains JUnit test listeners that provide various features such as iteration support, randomization, and reporting. The package includes several classes, each of which implements a different listener interface.
The main class, `IterationListener`, provides iteration support by setting system properties based on the current iteration number. It also</t>
        </is>
      </c>
      <c r="I312" t="n">
        <v>0.0047</v>
      </c>
      <c r="J312" t="n">
        <v>0.0635</v>
      </c>
      <c r="K312" t="n">
        <v>0.122</v>
      </c>
      <c r="L312" t="inlineStr">
        <is>
          <t>The provided code defines a JUnit test listener that modifies system properties before running tests. It uses the `com.carrotsearch.randomizedtesting` library to set the `SYSPROP_ITERATIONS` and `SYSPROP_PREFIX` properties based on the current iteration number and prefix string, respectively. These properties are used by other parts of the code to</t>
        </is>
      </c>
      <c r="M312" t="n">
        <v>0.0038</v>
      </c>
      <c r="N312" t="n">
        <v>0.0333</v>
      </c>
      <c r="O312" t="n">
        <v>0.0833</v>
      </c>
    </row>
    <row r="313">
      <c r="A313" t="inlineStr">
        <is>
          <t>crate</t>
        </is>
      </c>
      <c r="B313" t="inlineStr">
        <is>
          <t>server/src/testFixtures/java/org/elasticsearch/test/transport/MockTransportService.java</t>
        </is>
      </c>
      <c r="C313">
        <f>HYPERLINK("https://github.com/crate/crate/blob/master/server/src/testFixtures/java/org/elasticsearch/test/transport/MockTransportService.java")</f>
        <v/>
      </c>
      <c r="D313" t="inlineStr">
        <is>
          <t>This code appears to be part of an open source project called Elasticsearch, which is a search engine based on Lucene. The code defines a class named `MockTransportService` that extends the `TransportService` interface from the same package. It overrides some methods of the superclass to provide mock implementations that can be used for testing purposes.
The constructor takes two arguments: a</t>
        </is>
      </c>
      <c r="E313" t="n">
        <v>0.003</v>
      </c>
      <c r="F313" t="n">
        <v>0.058</v>
      </c>
      <c r="G313" t="n">
        <v>0.1128</v>
      </c>
      <c r="H313" t="inlineStr">
        <is>
          <t>This code appears to be a Java library that provides various utility methods for testing purposes. The package name suggests that it is part of the Elasticsearch project, but there is no mention of Elasticsearch in the README.
The code defines several classes and interfaces related to transportation, including `TransportConnection`, `TransportChannel`, and `TransportRequest`. These classes seem to be used</t>
        </is>
      </c>
      <c r="I313" t="n">
        <v>0.0037</v>
      </c>
      <c r="J313" t="n">
        <v>0.0597</v>
      </c>
      <c r="K313" t="n">
        <v>0.1145</v>
      </c>
      <c r="L313" t="inlineStr">
        <is>
          <t>The provided code defines a class named `TestTransport` that extends the `Transport` class from Elasticsearch. It provides methods for sending requests and receiving responses over a network connection. The class also includes several utility methods for working with HTTP headers and cookies.
The `sendRequest()` method sends a request to a remote server using the specified URL, HTTP method, and request body. It</t>
        </is>
      </c>
      <c r="M313" t="n">
        <v>0.0029</v>
      </c>
      <c r="N313" t="n">
        <v>0.0286</v>
      </c>
      <c r="O313" t="n">
        <v>0.0746</v>
      </c>
    </row>
    <row r="314">
      <c r="A314" t="inlineStr">
        <is>
          <t>crate</t>
        </is>
      </c>
      <c r="B314" t="inlineStr">
        <is>
          <t>server/src/testFixtures/java/org/elasticsearch/test/transport/StubbableConnectionManager.java</t>
        </is>
      </c>
      <c r="C314">
        <f>HYPERLINK("https://github.com/crate/crate/blob/master/server/src/testFixtures/java/org/elasticsearch/test/transport/StubbableConnectionManager.java")</f>
        <v/>
      </c>
      <c r="D314" t="inlineStr">
        <is>
          <t>This code appears to be part of an open source project called Elasticsearch, which is a search engine based on Apache Lucene. The code defines a class named `MockTransportService` that extends the `TransportService` class from the same package. It overrides some methods of the parent class to provide mock implementations of transport-related functionality.
The constructor of the `MockTransportService</t>
        </is>
      </c>
      <c r="E314" t="n">
        <v>0.0031</v>
      </c>
      <c r="F314" t="n">
        <v>0.0896</v>
      </c>
      <c r="G314" t="n">
        <v>0.1154</v>
      </c>
      <c r="H314" t="inlineStr">
        <is>
          <t>This code defines a Java package named `org.elasticsearch.test.transport` that provides a set of classes and interfaces related to transportation in Elasticsearch. The package includes a class called `TransportService` that implements the `Transport` interface and provides methods for sending requests over the network. It also includes a class called `MockTransportService` that extends `TransportService` and provides</t>
        </is>
      </c>
      <c r="I314" t="n">
        <v>0.0045</v>
      </c>
      <c r="J314" t="n">
        <v>0.09229999999999999</v>
      </c>
      <c r="K314" t="n">
        <v>0.119</v>
      </c>
      <c r="L314" t="inlineStr">
        <is>
          <t>The provided code defines a class named `MockTransportService` that extends the `TransportService` class from the Elasticsearch framework. It provides a mock implementation of the transport service, which allows developers to test their applications without relying on a real transport service.
The constructor initializes several fields, including a map of action listeners, a map of request handlers, and a map of</t>
        </is>
      </c>
      <c r="M314" t="n">
        <v>0.003</v>
      </c>
      <c r="N314" t="n">
        <v>0.0588</v>
      </c>
      <c r="O314" t="n">
        <v>0.1136</v>
      </c>
    </row>
    <row r="315">
      <c r="A315" t="inlineStr">
        <is>
          <t>crate</t>
        </is>
      </c>
      <c r="B315" t="inlineStr">
        <is>
          <t>server/src/testFixtures/java/org/elasticsearch/test/transport/MockTransport.java</t>
        </is>
      </c>
      <c r="C315">
        <f>HYPERLINK("https://github.com/crate/crate/blob/master/server/src/testFixtures/java/org/elasticsearch/test/transport/MockTransport.java")</f>
        <v/>
      </c>
      <c r="D315" t="inlineStr">
        <is>
          <t>This code appears to be a Java implementation of a transport layer for a test framework. It defines several classes related to sending and receiving messages between nodes in a cluster. The main class, `Transport`, has methods for sending and receiving messages, as well as handling errors and exceptions. There are also some utility classes that provide various functionalities such as logging and exception handling.
The complexity of</t>
        </is>
      </c>
      <c r="E315" t="n">
        <v>0.0032</v>
      </c>
      <c r="F315" t="n">
        <v>0.1053</v>
      </c>
      <c r="G315" t="n">
        <v>0.1429</v>
      </c>
      <c r="H315" t="inlineStr">
        <is>
          <t>This code appears to be part of an open source project called Elasticsearch, which is a search and analytics engine for cloud-scale web applications. The code defines a class that implements a transport protocol used by Elasticsearch for communication between nodes in a cluster. The class has several methods, including `add`, which adds two integers together, and `remove`, which removes a node from the cluster</t>
        </is>
      </c>
      <c r="I315" t="n">
        <v>0.0037</v>
      </c>
      <c r="J315" t="n">
        <v>0.08110000000000001</v>
      </c>
      <c r="K315" t="n">
        <v>0.146</v>
      </c>
      <c r="L315" t="inlineStr">
        <is>
          <t>The provided code defines a class named `TransportConnectionManager` that manages connections between nodes in an Elasticsearch cluster. It uses a concurrent hash map data structure to store connection objects, which allows for efficient lookups and updates of these objects. The class also includes methods for connecting to other nodes, disconnecting from them, and sending messages over those connections. Additionally, it has a constructor</t>
        </is>
      </c>
      <c r="M315" t="n">
        <v>0.0029</v>
      </c>
      <c r="N315" t="n">
        <v>0.0282</v>
      </c>
      <c r="O315" t="n">
        <v>0.0741</v>
      </c>
    </row>
    <row r="316">
      <c r="A316" t="inlineStr">
        <is>
          <t>crate</t>
        </is>
      </c>
      <c r="B316" t="inlineStr">
        <is>
          <t>server/src/testFixtures/java/org/elasticsearch/test/transport/CapturingTransport.java</t>
        </is>
      </c>
      <c r="C316">
        <f>HYPERLINK("https://github.com/crate/crate/blob/master/server/src/testFixtures/java/org/elasticsearch/test/transport/CapturingTransport.java")</f>
        <v/>
      </c>
      <c r="D316" t="inlineStr">
        <is>
          <t>This Java code defines a class called `TransportService` that provides a transport service for sending requests and receiving responses between nodes in an Elasticsearch cluster. The class has several methods for handling incoming requests, such as `handleIncomingRequest`, which processes a request from another node in the cluster and sends a response back if necessary. It also has a method called `sendResponse` that sends a</t>
        </is>
      </c>
      <c r="E316" t="n">
        <v>0.0034</v>
      </c>
      <c r="F316" t="n">
        <v>0.0556</v>
      </c>
      <c r="G316" t="n">
        <v>0.0735</v>
      </c>
      <c r="H316" t="inlineStr">
        <is>
          <t>This code defines a class called `Transport` that provides methods for sending messages between nodes in a cluster. The class has several methods, including `sendRequest`, `sendResponse`, `receiveRequest`, and `receiveResponse`. These methods allow different types of messages to be sent and received over a network connection. Additionally, the class includes a constructor that takes a collection of nodes as input</t>
        </is>
      </c>
      <c r="I316" t="n">
        <v>0.0037</v>
      </c>
      <c r="J316" t="n">
        <v>0.0597</v>
      </c>
      <c r="K316" t="n">
        <v>0.07630000000000001</v>
      </c>
      <c r="L316" t="inlineStr">
        <is>
          <t>The provided code defines a class named `TransportClient` that extends the `Elasticsearch Transport Client`. It provides a simple way to send requests to Elasticsearch nodes using the transport protocol. The client supports multiple nodes, load balancing, and request retries. It also includes a method to close the connection to all nodes.
The class has several fields, including `nodes`,</t>
        </is>
      </c>
      <c r="M316" t="n">
        <v>0.0031</v>
      </c>
      <c r="N316" t="n">
        <v>0.0303</v>
      </c>
      <c r="O316" t="n">
        <v>0.0769</v>
      </c>
    </row>
    <row r="317">
      <c r="A317" t="inlineStr">
        <is>
          <t>crate</t>
        </is>
      </c>
      <c r="B317" t="inlineStr">
        <is>
          <t>server/src/testFixtures/java/org/elasticsearch/test/transport/StubbableTransport.java</t>
        </is>
      </c>
      <c r="C317">
        <f>HYPERLINK("https://github.com/crate/crate/blob/master/server/src/testFixtures/java/org/elasticsearch/test/transport/StubbableTransport.java")</f>
        <v/>
      </c>
      <c r="D317" t="inlineStr">
        <is>
          <t>This Java code defines a class named `MockTransportService` that extends the `TransportService` interface from the Elasticsearch framework. The class provides a mock implementation of the transport service, which allows developers to test their applications without actually sending requests over the network.
The constructor takes two arguments: a `Settings` object and a `ThreadPool` object. It initializes several instance variables,</t>
        </is>
      </c>
      <c r="E317" t="n">
        <v>0.0037</v>
      </c>
      <c r="F317" t="n">
        <v>0.09089999999999999</v>
      </c>
      <c r="G317" t="n">
        <v>0.1154</v>
      </c>
      <c r="H317" t="inlineStr">
        <is>
          <t>This code appears to be part of an open source project called Elasticsearch, which is a search and analytics engine. The code defines a class named `TransportClient` that provides a client interface for connecting to Elasticsearch clusters. It also includes some utility methods for working with HTTP requests and responses.
The code imports several packages, including `java.io`, `java.net`,</t>
        </is>
      </c>
      <c r="I317" t="n">
        <v>0.0037</v>
      </c>
      <c r="J317" t="n">
        <v>0.0588</v>
      </c>
      <c r="K317" t="n">
        <v>0.1154</v>
      </c>
      <c r="L317" t="inlineStr">
        <is>
          <t>The provided code defines a class named `MockTransportService` that extends the `TransportService` class from the Elasticsearch framework. It overrides several methods to provide mock implementations of transport-related functionality.
The primary purpose of this class appears to be testing purposes, as it allows developers to create mock instances of the `TransportService` class without having to worry about the complexities of</t>
        </is>
      </c>
      <c r="M317" t="n">
        <v>0</v>
      </c>
      <c r="N317" t="n">
        <v>0.0588</v>
      </c>
      <c r="O317" t="n">
        <v>0.07630000000000001</v>
      </c>
    </row>
    <row r="318">
      <c r="A318" t="inlineStr">
        <is>
          <t>crate</t>
        </is>
      </c>
      <c r="B318" t="inlineStr">
        <is>
          <t>server/src/testFixtures/java/org/elasticsearch/test/transport/FakeTransport.java</t>
        </is>
      </c>
      <c r="C318">
        <f>HYPERLINK("https://github.com/crate/crate/blob/master/server/src/testFixtures/java/org/elasticsearch/test/transport/FakeTransport.java")</f>
        <v/>
      </c>
      <c r="D318" t="inlineStr">
        <is>
          <t>This Java code defines a class named `MockTransportService` that extends the `TransportService` class from the Elasticsearch library. The purpose of this class is to provide a mock implementation of the transport service used by Elasticsearch for communication between nodes.
The constructor takes two arguments: a list of discovery nodes and a listener object. It then initializes some instance variables and calls the `</t>
        </is>
      </c>
      <c r="E318" t="n">
        <v>0.0034</v>
      </c>
      <c r="F318" t="n">
        <v>0.0857</v>
      </c>
      <c r="G318" t="n">
        <v>0.1481</v>
      </c>
      <c r="H318" t="inlineStr">
        <is>
          <t>This code defines a Java package called `org.elasticsearch.test.transport` that provides various utility classes and methods for testing Elasticsearch's transport layer. The package includes several classes, including `TransportClient`, which is used to create client connections to other nodes in the cluster, and `TransportService`, which manages the communication between nodes. The package also includes some helper classes like</t>
        </is>
      </c>
      <c r="I318" t="n">
        <v>0.0039</v>
      </c>
      <c r="J318" t="n">
        <v>0.0588</v>
      </c>
      <c r="K318" t="n">
        <v>0.1172</v>
      </c>
      <c r="L318" t="inlineStr">
        <is>
          <t>The code defines a class named `MockTransportService` that extends the `TransportService` class from Elasticsearch's transport module. It overrides several methods related to sending requests and responses between nodes in the cluster. Specifically, it provides mock implementations of the following methods:
* `sendRequest`: Sends a request to another node in the cluster.
* `sendResponse`:</t>
        </is>
      </c>
      <c r="M318" t="n">
        <v>0.0035</v>
      </c>
      <c r="N318" t="n">
        <v>0.0667</v>
      </c>
      <c r="O318" t="n">
        <v>0.08</v>
      </c>
    </row>
    <row r="319">
      <c r="A319" t="inlineStr">
        <is>
          <t>crate</t>
        </is>
      </c>
      <c r="B319" t="inlineStr">
        <is>
          <t>server/src/testFixtures/java/org/elasticsearch/indices/analysis/AnalysisFactoryTestCase.java</t>
        </is>
      </c>
      <c r="C319">
        <f>HYPERLINK("https://github.com/crate/crate/blob/master/server/src/testFixtures/java/org/elasticsearch/indices/analysis/AnalysisFactoryTestCase.java")</f>
        <v/>
      </c>
      <c r="D319" t="inlineStr">
        <is>
          <t>This Java code defines a class named `Analysis` that implements the `IndicesAnalysisService` interface from the Elasticsearch framework. The class provides a map of analysis components, which can be used to analyze text data.
The constructor initializes the map with some default values, including a stopwords filter and a stemmer. It also adds a custom analyzer based on the</t>
        </is>
      </c>
      <c r="E319" t="n">
        <v>0.0041</v>
      </c>
      <c r="F319" t="n">
        <v>0.09089999999999999</v>
      </c>
      <c r="G319" t="n">
        <v>0.1538</v>
      </c>
      <c r="H319" t="inlineStr">
        <is>
          <t>This code defines a Java package called `org.elasticsearch.indices.analysis` that provides a set of classes and interfaces related to text analysis. The package includes several classes that implement various text analysis algorithms, such as tokenization, stemming, and lemmatization. It also includes a class called `AnalysisModule` that registers these implementations with the Elasticsearch framework.</t>
        </is>
      </c>
      <c r="I319" t="n">
        <v>0.0042</v>
      </c>
      <c r="J319" t="n">
        <v>0.09520000000000001</v>
      </c>
      <c r="K319" t="n">
        <v>0.121</v>
      </c>
      <c r="L319" t="inlineStr">
        <is>
          <t>The provided code defines a class named `AnalysisModule` that extends the `AbstractModule` class from the Guice dependency injection framework. It provides a method called `configure()` which is used to configure the module's bindings. Specifically, it creates two bindings: one for the `IndicesAnalysisService` interface and another for the `AnalysisRegistry` implementation. These</t>
        </is>
      </c>
      <c r="M319" t="n">
        <v>0.0037</v>
      </c>
      <c r="N319" t="n">
        <v>0.0678</v>
      </c>
      <c r="O319" t="n">
        <v>0.082</v>
      </c>
    </row>
    <row r="320">
      <c r="A320" t="inlineStr">
        <is>
          <t>crate</t>
        </is>
      </c>
      <c r="B320" t="inlineStr">
        <is>
          <t>server/src/testFixtures/java/org/elasticsearch/indices/breaker/NoneCircuitBreakerService.java</t>
        </is>
      </c>
      <c r="C320">
        <f>HYPERLINK("https://github.com/crate/crate/blob/master/server/src/testFixtures/java/org/elasticsearch/indices/breaker/NoneCircuitBreakerService.java")</f>
        <v/>
      </c>
      <c r="D320" t="inlineStr">
        <is>
          <t>This code implements a Circuit Breaker class that can be used to prevent excessive resource usage in Elasticsearch. The class has methods for checking if the breaker is open, resetting the breaker, and incrementing the breaker's count. It also includes a Noop implementation of the Circuit Breaker interface.</t>
        </is>
      </c>
      <c r="E320" t="n">
        <v>0.005</v>
      </c>
      <c r="F320" t="n">
        <v>0.1053</v>
      </c>
      <c r="G320" t="n">
        <v>0.1667</v>
      </c>
      <c r="H320" t="inlineStr">
        <is>
          <t>This code implements a Circuit Breaker pattern for controlling resource usage in an Elasticsearch application. The `CircuitBreaker` class provides methods for checking whether the circuit breaker has been tripped, resetting the breaker, and incrementing the count of used resources. If the count exceeds a certain threshold, the circuit breaker trips and throws a `CircuitBre</t>
        </is>
      </c>
      <c r="I320" t="n">
        <v>0.0045</v>
      </c>
      <c r="J320" t="n">
        <v>0.0968</v>
      </c>
      <c r="K320" t="n">
        <v>0.1587</v>
      </c>
      <c r="L320" t="inlineStr">
        <is>
          <t>The provided code defines a class named `ElasticsearchCircuitBreaker` that extends the `CircuitBreaker` class from the `org.elasticsearch.common.breaker` package. It overrides several methods related to circuit breaking, including `addEstimateBytes()`, `getUsed()` and `getLimit()`. These methods determine whether the breaker has enough capacity</t>
        </is>
      </c>
      <c r="M320" t="n">
        <v>0.0047</v>
      </c>
      <c r="N320" t="n">
        <v>0.04</v>
      </c>
      <c r="O320" t="n">
        <v>0.045</v>
      </c>
    </row>
    <row r="321">
      <c r="A321" t="inlineStr">
        <is>
          <t>crate</t>
        </is>
      </c>
      <c r="B321" t="inlineStr">
        <is>
          <t>server/src/testFixtures/java/org/elasticsearch/indices/recovery/AsyncRecoveryTarget.java</t>
        </is>
      </c>
      <c r="C321">
        <f>HYPERLINK("https://github.com/crate/crate/blob/master/server/src/testFixtures/java/org/elasticsearch/indices/recovery/AsyncRecoveryTarget.java")</f>
        <v/>
      </c>
      <c r="D321" t="inlineStr">
        <is>
          <t>This Java code appears to be part of an Elasticsearch project, specifically the `Recovery` module. It defines several classes related to recovering indices from other nodes during a cluster restart or recovery process. The main class, `IndexFileRequest`, represents a request to read an index file from another node during recovery. It takes a listener as a parameter and calls it when the operation completes</t>
        </is>
      </c>
      <c r="E321" t="n">
        <v>0.0034</v>
      </c>
      <c r="F321" t="n">
        <v>0.0833</v>
      </c>
      <c r="G321" t="n">
        <v>0.1103</v>
      </c>
      <c r="H321" t="inlineStr">
        <is>
          <t>This code appears to be part of an open source project called Elasticsearch, which is a search engine based on Apache Lucene. The code defines a class named `RecoverySourceHandler` that implements the `RecoverySource` interface. It has several methods, including a constructor, an `open()` method, a `close()` method, and a `transfer() method`.</t>
        </is>
      </c>
      <c r="I321" t="n">
        <v>0.0047</v>
      </c>
      <c r="J321" t="n">
        <v>0.1017</v>
      </c>
      <c r="K321" t="n">
        <v>0.1626</v>
      </c>
      <c r="L321" t="inlineStr">
        <is>
          <t>The provided code implements the recovery process for indices in Elasticsearch. It involves recovering segments from a peer shard in another node, which can be done through a series of actions. The code uses the Lucene library to handle segment recovery and the Elasticsearch action listener interface to manage asynchronous actions. The overall purpose of the code is to ensure that data is properly recovered after a failure or restart</t>
        </is>
      </c>
      <c r="M321" t="n">
        <v>0.0031</v>
      </c>
      <c r="N321" t="n">
        <v>0.0513</v>
      </c>
      <c r="O321" t="n">
        <v>0.1056</v>
      </c>
    </row>
    <row r="322">
      <c r="A322" t="inlineStr">
        <is>
          <t>crate</t>
        </is>
      </c>
      <c r="B322" t="inlineStr">
        <is>
          <t>server/src/testFixtures/java/org/elasticsearch/transport/TestResponse.java</t>
        </is>
      </c>
      <c r="C322">
        <f>HYPERLINK("https://github.com/crate/crate/blob/master/server/src/testFixtures/java/org/elasticsearch/transport/TestResponse.java")</f>
        <v/>
      </c>
      <c r="D322" t="inlineStr">
        <is>
          <t>This Java code defines a `TestResponse` class that extends the `TransportResponse` abstract class from the Elasticsearch transport module. The class has two constructors, one that takes no arguments and another that takes a `StreamInput` object as its argument. It also implements the `writeTo()` method from the `TransportResponse` interface, which writes the response data to a `StreamOutput</t>
        </is>
      </c>
      <c r="E322" t="n">
        <v>0.0043</v>
      </c>
      <c r="F322" t="n">
        <v>0.09379999999999999</v>
      </c>
      <c r="G322" t="n">
        <v>0.1172</v>
      </c>
      <c r="H322" t="inlineStr">
        <is>
          <t>The provided code defines a Java class called `TestResponse` that extends another class called `TransportResponse`. It implements the `writeTo()` method from the `Streamable` interface, which writes the response data to a given output stream. The `readFrom()` method reads the response data from a given input stream. The class also has some static methods for creating instances of the response object.</t>
        </is>
      </c>
      <c r="I322" t="n">
        <v>0.003</v>
      </c>
      <c r="J322" t="n">
        <v>0.0294</v>
      </c>
      <c r="K322" t="n">
        <v>0.0379</v>
      </c>
      <c r="L322" t="inlineStr">
        <is>
          <t>The provided code defines a `TestResponse` class that extends the `TransportResponse` class from Elasticsearch's transport package. It provides a custom implementation of the `readFrom` method to read data from a given input stream, as well as the `writeTo` method to write data to a given output stream. The class also includes some basic validation checks to ensure that the response is</t>
        </is>
      </c>
      <c r="M322" t="n">
        <v>0</v>
      </c>
      <c r="N322" t="n">
        <v>0.0286</v>
      </c>
      <c r="O322" t="n">
        <v>0.0376</v>
      </c>
    </row>
    <row r="323">
      <c r="A323" t="inlineStr">
        <is>
          <t>crate</t>
        </is>
      </c>
      <c r="B323" t="inlineStr">
        <is>
          <t>server/src/testFixtures/java/org/elasticsearch/transport/TestProfiles.java</t>
        </is>
      </c>
      <c r="C323">
        <f>HYPERLINK("https://github.com/crate/crate/blob/master/server/src/testFixtures/java/org/elasticsearch/transport/TestProfiles.java")</f>
        <v/>
      </c>
      <c r="D323" t="inlineStr">
        <is>
          <t>This code appears to be a Java implementation of various algorithms used in the development of a web application's back end. The comments in the code provide details about the purpose of each algorithm and its complexity. Some of the algorithms implemented include sorting, searching, and data structure manipulation. The code size is approximately 1000 lines long.</t>
        </is>
      </c>
      <c r="E323" t="n">
        <v>0.0038</v>
      </c>
      <c r="F323" t="n">
        <v>0.09089999999999999</v>
      </c>
      <c r="G323" t="n">
        <v>0.155</v>
      </c>
      <c r="H323" t="inlineStr">
        <is>
          <t>This repository contains backend software components that implement core algorithms. The complexity of the code is O(N), where N represents the number of elements being processed. The code has been committed once, resulting in a total of 1000 lines of code.</t>
        </is>
      </c>
      <c r="I323" t="n">
        <v>0.0059</v>
      </c>
      <c r="J323" t="n">
        <v>0.16</v>
      </c>
      <c r="K323" t="n">
        <v>0.2793</v>
      </c>
      <c r="L323" t="inlineStr">
        <is>
          <t>The provided code implements a system that processes data from various sources and stores them in a centralized database. It uses a combination of algorithms and techniques to ensure efficient processing and accurate results. The code has been optimized for performance using techniques such as caching and parallelization, and it includes extensive comments and documentation to facilitate maintenance and future development.</t>
        </is>
      </c>
      <c r="M323" t="n">
        <v>0.0036</v>
      </c>
      <c r="N323" t="n">
        <v>0.058</v>
      </c>
      <c r="O323" t="n">
        <v>0.1128</v>
      </c>
    </row>
    <row r="324">
      <c r="A324" t="inlineStr">
        <is>
          <t>crate</t>
        </is>
      </c>
      <c r="B324" t="inlineStr">
        <is>
          <t>server/src/testFixtures/java/org/elasticsearch/transport/TestRequest.java</t>
        </is>
      </c>
      <c r="C324">
        <f>HYPERLINK("https://github.com/crate/crate/blob/master/server/src/testFixtures/java/org/elasticsearch/transport/TestRequest.java")</f>
        <v/>
      </c>
      <c r="D324" t="inlineStr">
        <is>
          <t>The provided code defines a `TestRequest` class that implements the `TransportRequest` interface from the `org.elasticsearch.transport` package. It has two constructors, each taking a `StreamInput` parameter, which allows it to be constructed from a stream of bytes. Additionally, it provides a method called `writeTo()` that writes its contents to a `StreamOutput`.</t>
        </is>
      </c>
      <c r="E324" t="n">
        <v>0.0037</v>
      </c>
      <c r="F324" t="n">
        <v>0.0333</v>
      </c>
      <c r="G324" t="n">
        <v>0.041</v>
      </c>
      <c r="H324" t="inlineStr">
        <is>
          <t>The provided code implements a request object called `TestRequest` that can be used to send requests over a transport protocol such as HTTP or TCP. It defines a constructor that takes a `StreamInput` parameter, which represents the input stream from which the request data will be read. Additionally, it provides methods for serializing and deserializing the request data to and from a `StreamOutput`.</t>
        </is>
      </c>
      <c r="I324" t="n">
        <v>0.0034</v>
      </c>
      <c r="J324" t="n">
        <v>0.0563</v>
      </c>
      <c r="K324" t="n">
        <v>0.1111</v>
      </c>
      <c r="L324" t="inlineStr">
        <is>
          <t>The provided code defines a custom request called `TestRequest` that is used to test the transport layer in Elasticsearch. It inherits from the `TransportRequest` abstract class and overrides some of its methods to provide custom behavior. The request takes two parameters: a `StreamInput` object and a `StreamOutput` object. When executed, it reads data from the input stream and writes</t>
        </is>
      </c>
      <c r="M324" t="n">
        <v>0.0031</v>
      </c>
      <c r="N324" t="n">
        <v>0.0299</v>
      </c>
      <c r="O324" t="n">
        <v>0.07630000000000001</v>
      </c>
    </row>
    <row r="325">
      <c r="A325" t="inlineStr">
        <is>
          <t>crate</t>
        </is>
      </c>
      <c r="B325" t="inlineStr">
        <is>
          <t>server/src/testFixtures/java/org/elasticsearch/transport/AbstractSimpleTransportTestCase.java</t>
        </is>
      </c>
      <c r="C325">
        <f>HYPERLINK("https://github.com/crate/crate/blob/master/server/src/testFixtures/java/org/elasticsearch/transport/AbstractSimpleTransportTestCase.java")</f>
        <v/>
      </c>
      <c r="D325" t="inlineStr">
        <is>
          <t>The code defines an abstract class named `Transport` that provides a foundation for implementing transport protocols used by Elasticsearch. It has several methods related to node discovery, connection management, and message handling. The class also includes some utility functions for testing purposes.</t>
        </is>
      </c>
      <c r="E325" t="n">
        <v>0.0044</v>
      </c>
      <c r="F325" t="n">
        <v>0.08</v>
      </c>
      <c r="G325" t="n">
        <v>0.1316</v>
      </c>
      <c r="H325" t="inlineStr">
        <is>
          <t>This code defines a class called `Transport` that provides methods for sending messages between nodes in an Elasticsearch cluster. The class has several abstract methods that must be implemented by subclasses, such as `sendRequest()` and `handleResponse()`. It also includes some utility methods for testing purposes, like `assertNoFailures()`.
The README file describes the purpose of the repository and</t>
        </is>
      </c>
      <c r="I325" t="n">
        <v>0.0038</v>
      </c>
      <c r="J325" t="n">
        <v>0.09229999999999999</v>
      </c>
      <c r="K325" t="n">
        <v>0.1163</v>
      </c>
      <c r="L325" t="inlineStr">
        <is>
          <t>The provided code defines an abstract class named `Transport` that provides methods for sending requests over a transport layer. It also includes some utility functions for testing purposes.
The class has two constructors, one of which takes a `DiscoveryNode` object as a parameter, while the other takes no parameters. Both constructors call a private method called `_init`.
The `_</t>
        </is>
      </c>
      <c r="M325" t="n">
        <v>0</v>
      </c>
      <c r="N325" t="n">
        <v>0.0303</v>
      </c>
      <c r="O325" t="n">
        <v>0.0382</v>
      </c>
    </row>
    <row r="326">
      <c r="A326" t="inlineStr">
        <is>
          <t>crate</t>
        </is>
      </c>
      <c r="B326" t="inlineStr">
        <is>
          <t>server/src/testFixtures/java/org/elasticsearch/transport/TestTransportChannel.java</t>
        </is>
      </c>
      <c r="C326">
        <f>HYPERLINK("https://github.com/crate/crate/blob/master/server/src/testFixtures/java/org/elasticsearch/transport/TestTransportChannel.java")</f>
        <v/>
      </c>
      <c r="D326" t="inlineStr">
        <is>
          <t>This is a Java implementation of a custom `TestTransportChannel` class that extends the `TransportChannel` interface from the Elasticsearch transport package. The class has a single constructor that takes an `ActionListener&lt;TransportResponse&gt;` as its argument. It also defines two methods: `sendRequest()` and `getLocalNodeId()`.
The `sendRequest()` method sends a request over the</t>
        </is>
      </c>
      <c r="E326" t="n">
        <v>0.0045</v>
      </c>
      <c r="F326" t="n">
        <v>0.1034</v>
      </c>
      <c r="G326" t="n">
        <v>0.124</v>
      </c>
      <c r="H326" t="inlineStr">
        <is>
          <t>This is a Java implementation of a transport channel for sending messages between nodes in an Elasticsearch cluster. The `TestTransportChannel` class provides a basic implementation of the `TransportChannel` interface, which allows it to be used as a substitute for the real transport channel in unit tests. It takes an action listener as a parameter in its constructor and uses it to notify the caller when a message has</t>
        </is>
      </c>
      <c r="I326" t="n">
        <v>0.0032</v>
      </c>
      <c r="J326" t="n">
        <v>0.0789</v>
      </c>
      <c r="K326" t="n">
        <v>0.1429</v>
      </c>
      <c r="L326" t="inlineStr">
        <is>
          <t>The provided code defines a `TestTransportChannel` class that implements the `TransportChannel` interface. It has a single field, `liste`, which is an instance of `ActionListener`. The class provides no methods, as it is only used for testing purposes.</t>
        </is>
      </c>
      <c r="M326" t="n">
        <v>0.005</v>
      </c>
      <c r="N326" t="n">
        <v>0.0444</v>
      </c>
      <c r="O326" t="n">
        <v>0.0917</v>
      </c>
    </row>
    <row r="327">
      <c r="A327" t="inlineStr">
        <is>
          <t>crate</t>
        </is>
      </c>
      <c r="B327" t="inlineStr">
        <is>
          <t>server/src/testFixtures/java/org/elasticsearch/cluster/MockInternalClusterInfoService.java</t>
        </is>
      </c>
      <c r="C327">
        <f>HYPERLINK("https://github.com/crate/crate/blob/master/server/src/testFixtures/java/org/elasticsearch/cluster/MockInternalClusterInfoService.java")</f>
        <v/>
      </c>
      <c r="D327" t="inlineStr">
        <is>
          <t>The provided code appears to be part of an open source project called Elasticsearch. It defines a class named `Cluster` that has several methods related to cluster management and discovery.
The `Cluster` class has a constructor that takes a list of nodes as input and initializes its state based on that list. It also has a method called `start()` that starts the cluster and</t>
        </is>
      </c>
      <c r="E327" t="n">
        <v>0.0028</v>
      </c>
      <c r="F327" t="n">
        <v>0.0278</v>
      </c>
      <c r="G327" t="n">
        <v>0.0735</v>
      </c>
      <c r="H327" t="inlineStr">
        <is>
          <t>This code defines a Java package called `org.elasticsearch.cluster` that provides classes and interfaces related to clustering. The package includes several classes such as `ClusterState`, `RoutingTable`, and `ShardIterator`. These classes provide methods for managing cluster state, routing requests to nodes, and iterating over shards.
The package also includes a class called</t>
        </is>
      </c>
      <c r="I327" t="n">
        <v>0.0044</v>
      </c>
      <c r="J327" t="n">
        <v>0.0667</v>
      </c>
      <c r="K327" t="n">
        <v>0.082</v>
      </c>
      <c r="L327" t="inlineStr">
        <is>
          <t>The provided code defines a class named `ClusterState` that represents the state of an Elasticsearch cluster. It has several methods for updating the cluster state based on incoming events from other nodes in the cluster. These events can be of different types, such as node joins, leaves, or changes in shard allocation. The `ClusterState` object also provides access to various pieces of metadata</t>
        </is>
      </c>
      <c r="M327" t="n">
        <v>0</v>
      </c>
      <c r="N327" t="n">
        <v>0</v>
      </c>
      <c r="O327" t="n">
        <v>0</v>
      </c>
    </row>
    <row r="328">
      <c r="A328" t="inlineStr">
        <is>
          <t>crate</t>
        </is>
      </c>
      <c r="B328" t="inlineStr">
        <is>
          <t>server/src/testFixtures/java/org/elasticsearch/cluster/ESAllocationTestCase.java</t>
        </is>
      </c>
      <c r="C328">
        <f>HYPERLINK("https://github.com/crate/crate/blob/master/server/src/testFixtures/java/org/elasticsearch/cluster/ESAllocationTestCase.java")</f>
        <v/>
      </c>
      <c r="D328" t="inlineStr">
        <is>
          <t>This code appears to be part of an ElasticSearch cluster management system. It defines a class called `Cluster` that represents a collection of nodes within an ElasticSearch cluster. The class has several methods for managing the state of the cluster, such as adding new nodes, removing existing nodes, and updating the state of shards within the cluster. The code also includes some utility functions</t>
        </is>
      </c>
      <c r="E328" t="n">
        <v>0.0034</v>
      </c>
      <c r="F328" t="n">
        <v>0.0556</v>
      </c>
      <c r="G328" t="n">
        <v>0.1103</v>
      </c>
      <c r="H328" t="inlineStr">
        <is>
          <t>This code implements a system that manages cluster routing states. It uses the Java programming language and has been optimized for performance using techniques such as memoization and caching. The code is well-documented and includes comments explaining its functionality and implementation details. The README file provides an overview of the project's purpose and structure, while the commits log tracks changes made to the code</t>
        </is>
      </c>
      <c r="I328" t="n">
        <v>0.0072</v>
      </c>
      <c r="J328" t="n">
        <v>0.1081</v>
      </c>
      <c r="K328" t="n">
        <v>0.1471</v>
      </c>
      <c r="L328" t="inlineStr">
        <is>
          <t>The provided code defines a class named `ClusterService` that provides various methods for managing the state of an Elasticsearch cluster. It has several responsibilities, including:
* Maintaining a list of shards and their current states
* Updating the state of shards based on changes in the cluster configuration
* Notifying listeners about changes in the cluster state</t>
        </is>
      </c>
      <c r="M328" t="n">
        <v>0.0032</v>
      </c>
      <c r="N328" t="n">
        <v>0.0323</v>
      </c>
      <c r="O328" t="n">
        <v>0.0388</v>
      </c>
    </row>
    <row r="329">
      <c r="A329" t="inlineStr">
        <is>
          <t>crate</t>
        </is>
      </c>
      <c r="B329" t="inlineStr">
        <is>
          <t>server/src/testFixtures/java/org/elasticsearch/cluster/routing/ShardRoutingHelper.java</t>
        </is>
      </c>
      <c r="C329">
        <f>HYPERLINK("https://github.com/crate/crate/blob/master/server/src/testFixtures/java/org/elasticsearch/cluster/routing/ShardRoutingHelper.java")</f>
        <v/>
      </c>
      <c r="D329" t="inlineStr">
        <is>
          <t>This Java code defines a class named `TestHelper` that provides a way to access package-private methods and fields of other classes within the same package. The class has no public constructors, but it does have static factory methods that return instances of other classes. These instances can be used to call package-private methods and get package-private values from other classes.
The class also</t>
        </is>
      </c>
      <c r="E329" t="n">
        <v>0.0034</v>
      </c>
      <c r="F329" t="n">
        <v>0.0541</v>
      </c>
      <c r="G329" t="n">
        <v>0.1111</v>
      </c>
      <c r="H329" t="inlineStr">
        <is>
          <t>The provided code defines a Java class named `TestHelper` that provides access to package-private APIs for testing purposes. It imports several classes from the `org.elasticsearch.cluster.routing` package, including `RecoverySource`, which is used to handle recovery operations during cluster restarts. The class also includes a main method that can be used to run tests against the package-</t>
        </is>
      </c>
      <c r="I329" t="n">
        <v>0</v>
      </c>
      <c r="J329" t="n">
        <v>0</v>
      </c>
      <c r="K329" t="n">
        <v>0.0394</v>
      </c>
      <c r="L329" t="inlineStr">
        <is>
          <t>The provided code defines a Java class named `TestableRoutingService` that provides test access to package-private APIs within the `org.elasticsearch.cluster.routing` package. It imports several classes from the same package, including `RecoverySource`, which is used to create snapshot recovery sources. The class also has a constructor that takes a `RecoverySource` object as</t>
        </is>
      </c>
      <c r="M329" t="n">
        <v>0</v>
      </c>
      <c r="N329" t="n">
        <v>0</v>
      </c>
      <c r="O329" t="n">
        <v>0.041</v>
      </c>
    </row>
    <row r="330">
      <c r="A330" t="inlineStr">
        <is>
          <t>crate</t>
        </is>
      </c>
      <c r="B330" t="inlineStr">
        <is>
          <t>server/src/testFixtures/java/org/elasticsearch/cluster/routing/TestShardRouting.java</t>
        </is>
      </c>
      <c r="C330">
        <f>HYPERLINK("https://github.com/crate/crate/blob/master/server/src/testFixtures/java/org/elasticsearch/cluster/routing/TestShardRouting.java")</f>
        <v/>
      </c>
      <c r="D330" t="inlineStr">
        <is>
          <t>The provided code defines a class called `Routing` that implements the `org.elasticsearch.cluster.routing.Routing` interface. It has several methods that are used to perform routing operations such as assigning shards to nodes, rebalancing, and recovering failed shards. The class also includes some utility functions for generating random strings and integers.
The main method</t>
        </is>
      </c>
      <c r="E330" t="n">
        <v>0.0043</v>
      </c>
      <c r="F330" t="n">
        <v>0.09520000000000001</v>
      </c>
      <c r="G330" t="n">
        <v>0.122</v>
      </c>
      <c r="H330" t="inlineStr">
        <is>
          <t>This code implements various algorithms used in the Elasticsearch cluster routing system. The code is written in Java and uses the Crate Lucene library for testing purposes. It defines several classes and methods related to routing, including `ShardRouting`, `IndexRoutingTable`, and `ClusterState`. The code also includes comments explaining the purpose of each class and method, as well as the</t>
        </is>
      </c>
      <c r="I330" t="n">
        <v>0.0041</v>
      </c>
      <c r="J330" t="n">
        <v>0.09089999999999999</v>
      </c>
      <c r="K330" t="n">
        <v>0.1538</v>
      </c>
      <c r="L330" t="inlineStr">
        <is>
          <t>The provided code defines a class named `RoutingTable` that represents a routing table in Elasticsearch. It has several methods for adding, removing, and retrieving entries from the routing table, as well as methods for checking if the routing table is empty or full. Additionally, there are comments throughout the code explaining the purpose of each method and providing some context about the implementation details. Overall</t>
        </is>
      </c>
      <c r="M330" t="n">
        <v>0.0028</v>
      </c>
      <c r="N330" t="n">
        <v>0.0274</v>
      </c>
      <c r="O330" t="n">
        <v>0.073</v>
      </c>
    </row>
    <row r="331">
      <c r="A331" t="inlineStr">
        <is>
          <t>crate</t>
        </is>
      </c>
      <c r="B331" t="inlineStr">
        <is>
          <t>server/src/testFixtures/java/org/elasticsearch/snapshots/AbstractSnapshotIntegTestCase.java</t>
        </is>
      </c>
      <c r="C331">
        <f>HYPERLINK("https://github.com/crate/crate/blob/master/server/src/testFixtures/java/org/elasticsearch/snapshots/AbstractSnapshotIntegTestCase.java")</f>
        <v/>
      </c>
      <c r="D331" t="inlineStr">
        <is>
          <t>This Java code appears to be part of an Elasticsearch snapshotting system. It defines a class called `Snapshot` that represents a single snapshot of data in the Elasticsearch cluster. The class has several methods, including `create`, which creates a new snapshot, and `delete`, which deletes an existing snapshot. The code also includes some unit tests using the JUnit framework. Overall,</t>
        </is>
      </c>
      <c r="E331" t="n">
        <v>0.0036</v>
      </c>
      <c r="F331" t="n">
        <v>0.0588</v>
      </c>
      <c r="G331" t="n">
        <v>0.1136</v>
      </c>
      <c r="H331" t="inlineStr">
        <is>
          <t>This code appears to be part of an open source project called Elasticsearch, which is a search and analytics engine for data stored in a distributed index. The code defines a package named `org.elasticsearch.snapshots` that provides classes and methods related to snapshots, which are backups of indices used to restore data in case of failure or corruption.</t>
        </is>
      </c>
      <c r="I331" t="n">
        <v>0.0038</v>
      </c>
      <c r="J331" t="n">
        <v>0.0597</v>
      </c>
      <c r="K331" t="n">
        <v>0.1163</v>
      </c>
      <c r="L331" t="inlineStr">
        <is>
          <t>The provided code implements a snapshot feature for Elasticsearch, which allows users to create backups of their data and restore them later. It uses the Java programming language and the Elasticsearch API. The code includes unit tests using the AssertJ library to ensure that the snapshot feature works correctly.</t>
        </is>
      </c>
      <c r="M331" t="n">
        <v>0.0045</v>
      </c>
      <c r="N331" t="n">
        <v>0.0702</v>
      </c>
      <c r="O331" t="n">
        <v>0.124</v>
      </c>
    </row>
    <row r="332">
      <c r="A332" t="inlineStr">
        <is>
          <t>crate</t>
        </is>
      </c>
      <c r="B332" t="inlineStr">
        <is>
          <t>server/src/testFixtures/java/org/elasticsearch/snapshots/mockstore/BlobStoreWrapper.java</t>
        </is>
      </c>
      <c r="C332">
        <f>HYPERLINK("https://github.com/crate/crate/blob/master/server/src/testFixtures/java/org/elasticsearch/snapshots/mockstore/BlobStoreWrapper.java")</f>
        <v/>
      </c>
      <c r="D332" t="inlineStr">
        <is>
          <t>This Java code defines a mock implementation of the `BlobStore` interface from the Elasticsearch project. The `MockBlobStore` class provides a simple in-memory implementation of the `BlobStore` interface, which allows users to interact with blob data stored in memory.
The `MockBlobStore` constructor takes two parameters: `BlobPath path` and `</t>
        </is>
      </c>
      <c r="E332" t="n">
        <v>0.0045</v>
      </c>
      <c r="F332" t="n">
        <v>0.1071</v>
      </c>
      <c r="G332" t="n">
        <v>0.125</v>
      </c>
      <c r="H332" t="inlineStr">
        <is>
          <t>This code defines a class called `MockSnapshotRepository` that implements the `BlobStore` interface from the Elasticsearch project. It provides a mock implementation of a snapshot repository, which allows developers to test their Elasticsearch applications without relying on actual snapshots. The class has several methods, including `getBlobContainer`, `createBlob`, `deleteBlob`, and `</t>
        </is>
      </c>
      <c r="I332" t="n">
        <v>0.0049</v>
      </c>
      <c r="J332" t="n">
        <v>0.1071</v>
      </c>
      <c r="K332" t="n">
        <v>0.124</v>
      </c>
      <c r="L332" t="inlineStr">
        <is>
          <t>The provided code defines a class named `MockSnapshotRepository` that extends the abstract class `AbstractSnapshotRepository`. It implements the methods necessary to interact with a snapshot store using the `BlobStore` interface from the Elasticsearch library. The class takes two parameters upon instantiation: `BlobStore` and `BlobPath`, which represent the underlying storage mechanism and the path where snapsh</t>
        </is>
      </c>
      <c r="M332" t="n">
        <v>0.004</v>
      </c>
      <c r="N332" t="n">
        <v>0.0645</v>
      </c>
      <c r="O332" t="n">
        <v>0.119</v>
      </c>
    </row>
    <row r="333">
      <c r="A333" t="inlineStr">
        <is>
          <t>crate</t>
        </is>
      </c>
      <c r="B333" t="inlineStr">
        <is>
          <t>server/src/testFixtures/java/org/elasticsearch/snapshots/mockstore/MockRepository.java</t>
        </is>
      </c>
      <c r="C333">
        <f>HYPERLINK("https://github.com/crate/crate/blob/master/server/src/testFixtures/java/org/elasticsearch/snapshots/mockstore/MockRepository.java")</f>
        <v/>
      </c>
      <c r="D333" t="inlineStr">
        <is>
          <t>This Java code appears to be part of a mock snapshot store implementation for Elasticsearch. It defines several classes and interfaces related to reading and writing snapshots, including `MockSnapshot`, `MockRepository`, and `MockFile`. The code also includes some utility methods for working with files and directories.
The main class in this codebase seems to be `MockSnapshot`, which represents a</t>
        </is>
      </c>
      <c r="E333" t="n">
        <v>0.0037</v>
      </c>
      <c r="F333" t="n">
        <v>0.09089999999999999</v>
      </c>
      <c r="G333" t="n">
        <v>0.1538</v>
      </c>
      <c r="H333" t="inlineStr">
        <is>
          <t>This code appears to be part of an Elasticsearch snapshot mock store implementation. It defines several classes and methods related to reading and writing snapshots from disk, as well as calculating hashes using MessageDigest. The code also includes comments and documentation that describe its purpose and provide some context for understanding how it works. Overall, it seems like this code is responsible for implementing the low-</t>
        </is>
      </c>
      <c r="I333" t="n">
        <v>0.0033</v>
      </c>
      <c r="J333" t="n">
        <v>0.08110000000000001</v>
      </c>
      <c r="K333" t="n">
        <v>0.1449</v>
      </c>
      <c r="L333" t="inlineStr">
        <is>
          <t>The provided code defines a class named `MockSnapshotStore` that implements the `SnapshotStore` interface from the ElasticSearch library. It provides methods for creating, deleting, and restoring snapshots, as well as reading and writing snapshot metadata.
The class has several important functionalities:
* It uses the `java.security.MessageDigest` class to calculate</t>
        </is>
      </c>
      <c r="M333" t="n">
        <v>0.0045</v>
      </c>
      <c r="N333" t="n">
        <v>0.0702</v>
      </c>
      <c r="O333" t="n">
        <v>0.125</v>
      </c>
    </row>
    <row r="334">
      <c r="A334" t="inlineStr">
        <is>
          <t>crate</t>
        </is>
      </c>
      <c r="B334" t="inlineStr">
        <is>
          <t>server/src/testFixtures/java/org/elasticsearch/snapshots/mockstore/BlobContainerWrapper.java</t>
        </is>
      </c>
      <c r="C334">
        <f>HYPERLINK("https://github.com/crate/crate/blob/master/server/src/testFixtures/java/org/elasticsearch/snapshots/mockstore/BlobContainerWrapper.java")</f>
        <v/>
      </c>
      <c r="D334" t="inlineStr">
        <is>
          <t>This code appears to be part of an open source project called Elasticsearch, which is a search and analytics engine for data stored in Lucene indices. The code defines a class called `MockStore` that extends the `BlobContainer` interface from the Elasticsearch library. It also imports several other classes from the same package as well as classes from the Java standard library.
The</t>
        </is>
      </c>
      <c r="E334" t="n">
        <v>0.0035</v>
      </c>
      <c r="F334" t="n">
        <v>0.0571</v>
      </c>
      <c r="G334" t="n">
        <v>0.1119</v>
      </c>
      <c r="H334" t="inlineStr">
        <is>
          <t>This code defines a class called `MockStore` that implements the `BlobContainer` interface from the Elasticsearch project. The class provides methods for reading and writing blobs (i.e., files) to a mock store. The implementation uses a map data structure to represent the contents of the mock store, where each key corresponds to a blob's name and value is the blob'</t>
        </is>
      </c>
      <c r="I334" t="n">
        <v>0.0041</v>
      </c>
      <c r="J334" t="n">
        <v>0.08699999999999999</v>
      </c>
      <c r="K334" t="n">
        <v>0.1527</v>
      </c>
      <c r="L334" t="inlineStr">
        <is>
          <t>The provided code defines a class called `MockSnapshotStore` that implements the `SnapshotStore` interface from Elasticsearch. It provides methods for storing and retrieving snapshots, as well as deleting them. The class also includes a constructor that takes a `BlobContainer` object as input.
The `MockSnapshotStore` class is designed to be used in unit tests, where</t>
        </is>
      </c>
      <c r="M334" t="n">
        <v>0.0041</v>
      </c>
      <c r="N334" t="n">
        <v>0.06560000000000001</v>
      </c>
      <c r="O334" t="n">
        <v>0.12</v>
      </c>
    </row>
    <row r="335">
      <c r="A335" t="inlineStr">
        <is>
          <t>crate</t>
        </is>
      </c>
      <c r="B335" t="inlineStr">
        <is>
          <t>server/src/testFixtures/java/org/elasticsearch/threadpool/TestThreadPool.java</t>
        </is>
      </c>
      <c r="C335">
        <f>HYPERLINK("https://github.com/crate/crate/blob/master/server/src/testFixtures/java/org/elasticsearch/threadpool/TestThreadPool.java")</f>
        <v/>
      </c>
      <c r="D335" t="inlineStr">
        <is>
          <t>The `TestThreadPool` class is a custom thread pool implementation that provides a simple way to create and manage threads in Java applications. It inherits from the `ThreadPool` abstract class and overrides some of its methods to provide custom behavior.
The constructor takes two parameters: `name`, which is a string representing the name of the thread pool, and `settings`, which is a `</t>
        </is>
      </c>
      <c r="E335" t="n">
        <v>0.0029</v>
      </c>
      <c r="F335" t="n">
        <v>0.058</v>
      </c>
      <c r="G335" t="n">
        <v>0.0746</v>
      </c>
      <c r="H335" t="inlineStr">
        <is>
          <t>This code defines a custom thread pool implementation called `TestThreadPool` that inherits from the `ThreadPool` abstract class in the Elasticsearch library. The constructor takes a `Settings` object and a `Node` object as arguments, which are used to configure the thread pool's settings and node instance, respectively.
The `TestThreadPool` class overrides several methods from its parent class</t>
        </is>
      </c>
      <c r="I335" t="n">
        <v>0.0039</v>
      </c>
      <c r="J335" t="n">
        <v>0.09229999999999999</v>
      </c>
      <c r="K335" t="n">
        <v>0.1563</v>
      </c>
      <c r="L335" t="inlineStr">
        <is>
          <t>The `TestThreadPool` class is a custom implementation of the `ThreadPool` interface that provides a test environment for testing thread pools. It allows developers to create and manage their own threads using the `Thread` class, as well as provide settings and configuration options through the `Settings` object. Additionally, it includes methods for starting and stopping threads, as well as providing access to the underlying thread</t>
        </is>
      </c>
      <c r="M335" t="n">
        <v>0.0028</v>
      </c>
      <c r="N335" t="n">
        <v>0.0556</v>
      </c>
      <c r="O335" t="n">
        <v>0.1103</v>
      </c>
    </row>
    <row r="336">
      <c r="A336" t="inlineStr">
        <is>
          <t>crate</t>
        </is>
      </c>
      <c r="B336" t="inlineStr">
        <is>
          <t>server/src/main/java/io/crate/Streamer.java</t>
        </is>
      </c>
      <c r="C336">
        <f>HYPERLINK("https://github.com/crate/crate/blob/master/server/src/main/java/io/crate/Streamer.java")</f>
        <v/>
      </c>
      <c r="D336" t="inlineStr">
        <is>
          <t>This code appears to be a Java implementation of a backend system's core algorithms. It includes comments describing the purpose of each class and method, as well as a README file that provides some background information about the project. The code itself consists of several classes and methods, including constructors, getters, setters, and other utility functions. Overall, it seems like this code</t>
        </is>
      </c>
      <c r="E336" t="n">
        <v>0.0039</v>
      </c>
      <c r="F336" t="n">
        <v>0.1127</v>
      </c>
      <c r="G336" t="n">
        <v>0.1493</v>
      </c>
      <c r="H336" t="inlineStr">
        <is>
          <t>This is a Java project that includes source files for a web application's backend. The project has a README file that describes its purpose as a collection of backend components. It also lists the complexity of the code as O(N), which means it grows linearly with the size of the input data set. There are comments throughout the code explaining how certain features were implemented. The project</t>
        </is>
      </c>
      <c r="I336" t="n">
        <v>0.0027</v>
      </c>
      <c r="J336" t="n">
        <v>0.0519</v>
      </c>
      <c r="K336" t="n">
        <v>0.036</v>
      </c>
      <c r="L336" t="inlineStr">
        <is>
          <t>The provided code implements the backend of a web application using Java. It appears to be a RESTful API that handles requests and responses, possibly for data retrieval or modification. The code uses Apache's HTTP client library to send HTTP requests and receive responses. The code also includes comments and documentation related to the implementation of core algorithms.</t>
        </is>
      </c>
      <c r="M336" t="n">
        <v>0.0041</v>
      </c>
      <c r="N336" t="n">
        <v>0.0597</v>
      </c>
      <c r="O336" t="n">
        <v>0.1538</v>
      </c>
    </row>
    <row r="337">
      <c r="A337" t="inlineStr">
        <is>
          <t>crate</t>
        </is>
      </c>
      <c r="B337" t="inlineStr">
        <is>
          <t>server/src/main/java/io/crate/Constants.java</t>
        </is>
      </c>
      <c r="C337">
        <f>HYPERLINK("https://github.com/crate/crate/blob/master/server/src/main/java/io/crate/Constants.java")</f>
        <v/>
      </c>
      <c r="D337" t="inlineStr">
        <is>
          <t>This code appears to be a Java implementation of a data structure called a trie, which is a type of tree that is commonly used for efficient searching and storing strings. The code defines a class called `Trie` that has several methods for inserting, retrieving, and deleting strings from the trie. It also includes a method for counting the number of nodes in the trie. The</t>
        </is>
      </c>
      <c r="E337" t="n">
        <v>0.0033</v>
      </c>
      <c r="F337" t="n">
        <v>0.08110000000000001</v>
      </c>
      <c r="G337" t="n">
        <v>0.1449</v>
      </c>
      <c r="H337" t="inlineStr">
        <is>
          <t>This repository contains backend software components that implement core algorithms. The complexity of the code is O(N), where N represents the number of elements being processed. The code was initially committed and has since been developed further. The size of the code is approximately 1000 lines long.</t>
        </is>
      </c>
      <c r="I337" t="n">
        <v>0.0055</v>
      </c>
      <c r="J337" t="n">
        <v>0.1786</v>
      </c>
      <c r="K337" t="n">
        <v>0.3126</v>
      </c>
      <c r="L337" t="inlineStr">
        <is>
          <t>The provided code implements a system for processing data from various sources. It uses a combination of algorithms and techniques to analyze and transform the data into a format that can be easily consumed by other systems. The code is written in Java and makes use of several third-party libraries, including Guava and Jackson. The overall complexity of the code is O(N), where N represents the number of</t>
        </is>
      </c>
      <c r="M337" t="n">
        <v>0.0032</v>
      </c>
      <c r="N337" t="n">
        <v>0.0513</v>
      </c>
      <c r="O337" t="n">
        <v>0.1071</v>
      </c>
    </row>
    <row r="338">
      <c r="A338" t="inlineStr">
        <is>
          <t>crate</t>
        </is>
      </c>
      <c r="B338" t="inlineStr">
        <is>
          <t>server/src/main/java/io/crate/time/StrictISODateTimeFormat.java</t>
        </is>
      </c>
      <c r="C338">
        <f>HYPERLINK("https://github.com/crate/crate/blob/master/server/src/main/java/io/crate/time/StrictISODateTimeFormat.java")</f>
        <v/>
      </c>
      <c r="D338" t="inlineStr">
        <is>
          <t>This Java code defines a class called `CrateTime` that implements the `java.util.Date` interface. It provides methods for parsing and formatting dates using Joda Time library. The class also has a static method called `getSupportedFields()` which returns a set of supported date fields.
The code imports several packages from the Joda Time library, including `org.</t>
        </is>
      </c>
      <c r="E338" t="n">
        <v>0.0045</v>
      </c>
      <c r="F338" t="n">
        <v>0.09379999999999999</v>
      </c>
      <c r="G338" t="n">
        <v>0.1587</v>
      </c>
      <c r="H338" t="inlineStr">
        <is>
          <t>This code defines a package called `io.crate.time` that provides utilities for working with time data. The package includes several classes and interfaces related to Joda Time, including a `DateTimeFieldType` class that represents different types of date and time fields, as well as a `DateTimeFormat` class that formats dates and times according to a given pattern. Additionally, there is</t>
        </is>
      </c>
      <c r="I338" t="n">
        <v>0.0037</v>
      </c>
      <c r="J338" t="n">
        <v>0.0588</v>
      </c>
      <c r="K338" t="n">
        <v>0.1154</v>
      </c>
      <c r="L338" t="inlineStr">
        <is>
          <t>The code defines a class named `Time` that provides methods for working with time values represented as integers. It uses Joda Time library to perform calculations and formatting. The class has two static methods: `now()` which returns the current time as an integer value, and `parse()` which takes a string representation of a date and time and parses it into an integer value. Additionally,</t>
        </is>
      </c>
      <c r="M338" t="n">
        <v>0.0028</v>
      </c>
      <c r="N338" t="n">
        <v>0.0278</v>
      </c>
      <c r="O338" t="n">
        <v>0.0735</v>
      </c>
    </row>
    <row r="339">
      <c r="A339" t="inlineStr">
        <is>
          <t>crate</t>
        </is>
      </c>
      <c r="B339" t="inlineStr">
        <is>
          <t>server/src/main/java/io/crate/execution/package-info.java</t>
        </is>
      </c>
      <c r="C339">
        <f>HYPERLINK("https://github.com/crate/crate/blob/master/server/src/main/java/io/crate/execution/package-info.java")</f>
        <v/>
      </c>
      <c r="D339" t="inlineStr">
        <is>
          <t>The code implements various algorithms used in the development of backend software components. It has a complexity of O(N), where N represents the number of elements being processed. The implementation is well-documented, with comments explaining the purpose of each function and its inputs and outputs. There have been two commits to the repository since its initial creation, with the first containing the basic framework for the project'</t>
        </is>
      </c>
      <c r="E339" t="n">
        <v>0.0036</v>
      </c>
      <c r="F339" t="n">
        <v>0.1039</v>
      </c>
      <c r="G339" t="n">
        <v>0.1439</v>
      </c>
      <c r="H339" t="inlineStr">
        <is>
          <t>This code appears to be a Java implementation of a set of backend software components. The README file describes the project as containing "core algorithms," which suggests that the code implements some kind of algorithm or data structure. The complexity of the code is described as being O(N), where N represents the size of the input data. The comments in the code indicate that the code was written by</t>
        </is>
      </c>
      <c r="I339" t="n">
        <v>0.0035</v>
      </c>
      <c r="J339" t="n">
        <v>0.0769</v>
      </c>
      <c r="K339" t="n">
        <v>0.1064</v>
      </c>
      <c r="L339" t="inlineStr">
        <is>
          <t>The provided code implements a system that allows users to search and filter data from a database. It uses a variety of techniques such as indexing, caching, and parallel processing to optimize performance. The code also includes comments explaining the implementation of core algorithms and provides a detailed overview of the system's architecture.</t>
        </is>
      </c>
      <c r="M339" t="n">
        <v>0.0045</v>
      </c>
      <c r="N339" t="n">
        <v>0.0968</v>
      </c>
      <c r="O339" t="n">
        <v>0.16</v>
      </c>
    </row>
    <row r="340">
      <c r="A340" t="inlineStr">
        <is>
          <t>crate</t>
        </is>
      </c>
      <c r="B340" t="inlineStr">
        <is>
          <t>server/src/main/java/io/crate/execution/IncrementalPageBucketReceiver.java</t>
        </is>
      </c>
      <c r="C340">
        <f>HYPERLINK("https://github.com/crate/crate/blob/master/server/src/main/java/io/crate/execution/IncrementalPageBucketReceiver.java")</f>
        <v/>
      </c>
      <c r="D340" t="inlineStr">
        <is>
          <t>This code appears to be a Java implementation of a system that processes data using various algorithms. The code includes comments explaining the purpose of each class and method, as well as the complexity of the algorithm used. It also mentions that the code has been optimized for performance and scalability. Overall, it seems like this code could be useful for implementing complex data processing systems.</t>
        </is>
      </c>
      <c r="E340" t="n">
        <v>0.0033</v>
      </c>
      <c r="F340" t="n">
        <v>0.08110000000000001</v>
      </c>
      <c r="G340" t="n">
        <v>0.1449</v>
      </c>
      <c r="H340" t="inlineStr">
        <is>
          <t>This repository contains backend software components that implement core algorithms. The complexity of the code is O(N), where N represents the number of elements being processed. The code has been committed once, resulting in a total of 1000 lines of code.</t>
        </is>
      </c>
      <c r="I340" t="n">
        <v>0.0059</v>
      </c>
      <c r="J340" t="n">
        <v>0.16</v>
      </c>
      <c r="K340" t="n">
        <v>0.2793</v>
      </c>
      <c r="L340" t="inlineStr">
        <is>
          <t>The provided code implements the core algorithms for a software system that handles data processing tasks. It processes large amounts of data efficiently using various techniques such as parallelism and caching. The code has been optimized for performance and memory usage, making it suitable for production environments.</t>
        </is>
      </c>
      <c r="M340" t="n">
        <v>0.0055</v>
      </c>
      <c r="N340" t="n">
        <v>0.1091</v>
      </c>
      <c r="O340" t="n">
        <v>0.2101</v>
      </c>
    </row>
    <row r="341">
      <c r="A341" t="inlineStr">
        <is>
          <t>crate</t>
        </is>
      </c>
      <c r="B341" t="inlineStr">
        <is>
          <t>server/src/main/java/io/crate/execution/TransportExecutorModule.java</t>
        </is>
      </c>
      <c r="C341">
        <f>HYPERLINK("https://github.com/crate/crate/blob/master/server/src/main/java/io/crate/execution/TransportExecutorModule.java")</f>
        <v/>
      </c>
      <c r="D341" t="inlineStr">
        <is>
          <t>The provided code appears to be a Java implementation of various algorithms related to data structures and operations. It includes comments explaining the purpose of each algorithm and its complexity. The code size is approximately 1000 lines long.</t>
        </is>
      </c>
      <c r="E341" t="n">
        <v>0.0049</v>
      </c>
      <c r="F341" t="n">
        <v>0.08699999999999999</v>
      </c>
      <c r="G341" t="n">
        <v>0.09089999999999999</v>
      </c>
      <c r="H341" t="inlineStr">
        <is>
          <t>This code appears to be a Java project containing a set of classes that implement various backend software components. The code has been annotated with comments describing its purpose and structure, as well as providing some basic documentation in the README file.
The code defines several classes, each representing a different component of the system. These classes contain methods that perform various tasks related to the implementation of the</t>
        </is>
      </c>
      <c r="I341" t="n">
        <v>0.0035</v>
      </c>
      <c r="J341" t="n">
        <v>0.0779</v>
      </c>
      <c r="K341" t="n">
        <v>0.1418</v>
      </c>
      <c r="L341" t="inlineStr">
        <is>
          <t>The provided code implements various algorithms related to data processing and analysis, primarily using the Python programming language. It appears to be part of a larger project that involves implementing backend software components. The code has been optimized for performance, with a time complexity of O(N), where N represents the size of the input dataset. The existing comments provide insight into the implementation details, including the use of core algorithms</t>
        </is>
      </c>
      <c r="M341" t="n">
        <v>0.0037</v>
      </c>
      <c r="N341" t="n">
        <v>0.0759</v>
      </c>
      <c r="O341" t="n">
        <v>0.1761</v>
      </c>
    </row>
    <row r="342">
      <c r="A342" t="inlineStr">
        <is>
          <t>crate</t>
        </is>
      </c>
      <c r="B342" t="inlineStr">
        <is>
          <t>server/src/main/java/io/crate/execution/MultiPhaseExecutor.java</t>
        </is>
      </c>
      <c r="C342">
        <f>HYPERLINK("https://github.com/crate/crate/blob/master/server/src/main/java/io/crate/execution/MultiPhaseExecutor.java")</f>
        <v/>
      </c>
      <c r="D342" t="inlineStr">
        <is>
          <t>This code appears to be a Java implementation of some sort of algorithm, possibly related to data processing or analysis. The code includes comments that describe its purpose and complexity, as well as the licensing terms under which it was released. It also includes a README file that provides further details about the project's goals and structure. Overall, this code seems to be a significant piece</t>
        </is>
      </c>
      <c r="E342" t="n">
        <v>0.0033</v>
      </c>
      <c r="F342" t="n">
        <v>0.08</v>
      </c>
      <c r="G342" t="n">
        <v>0.1087</v>
      </c>
      <c r="H342" t="inlineStr">
        <is>
          <t>This code appears to be a Python implementation of a backend system that uses a complex algorithm to perform calculations. The code has been optimized for performance using Big-O notation, which means that its complexity is proportional to the size of the input data set. The code also includes comments describing the purpose of each function and the overall structure of the program. There have been several commits made to the codebase</t>
        </is>
      </c>
      <c r="I342" t="n">
        <v>0.003</v>
      </c>
      <c r="J342" t="n">
        <v>0.0988</v>
      </c>
      <c r="K342" t="n">
        <v>0.2192</v>
      </c>
      <c r="L342" t="inlineStr">
        <is>
          <t>The provided code implements a system that allows users to search and retrieve data from a database. It uses a combination of SQL queries and JavaScript code to perform searches and display results. The code also includes comments explaining the implementation of core algorithms and provides a README file with information about the project's purpose and structure.</t>
        </is>
      </c>
      <c r="M342" t="n">
        <v>0.0042</v>
      </c>
      <c r="N342" t="n">
        <v>0.09089999999999999</v>
      </c>
      <c r="O342" t="n">
        <v>0.155</v>
      </c>
    </row>
    <row r="343">
      <c r="A343" t="inlineStr">
        <is>
          <t>crate</t>
        </is>
      </c>
      <c r="B343" t="inlineStr">
        <is>
          <t>server/src/main/java/io/crate/execution/engine/InitializationTracker.java</t>
        </is>
      </c>
      <c r="C343">
        <f>HYPERLINK("https://github.com/crate/crate/blob/master/server/src/main/java/io/crate/execution/engine/InitializationTracker.java")</f>
        <v/>
      </c>
      <c r="D343" t="inlineStr">
        <is>
          <t>The provided code appears to be a Java implementation of a backend system, containing various components such as data structures, algorithms, and utility functions. It seems to be designed to handle large amounts of data and perform complex computations efficiently. The code includes comments explaining its purpose and usage, as well as a README file that provides some basic information about the project. Overall, it appears to</t>
        </is>
      </c>
      <c r="E343" t="n">
        <v>0.0027</v>
      </c>
      <c r="F343" t="n">
        <v>0.08</v>
      </c>
      <c r="G343" t="n">
        <v>0.07190000000000001</v>
      </c>
      <c r="H343" t="inlineStr">
        <is>
          <t>This repository contains backend software components that implement core algorithms. The complexity of the code is O(N), where N represents the size of the input data. The code has been committed once, resulting in a total of 1000 lines of code.</t>
        </is>
      </c>
      <c r="I343" t="n">
        <v>0.0059</v>
      </c>
      <c r="J343" t="n">
        <v>0.16</v>
      </c>
      <c r="K343" t="n">
        <v>0.2793</v>
      </c>
      <c r="L343" t="inlineStr">
        <is>
          <t>The code implements various functions related to data processing and analysis. It appears to be part of a larger system that handles real-time data ingestion and computation. The code uses the Apache License and has been modified from an initial version.</t>
        </is>
      </c>
      <c r="M343" t="n">
        <v>0.0054</v>
      </c>
      <c r="N343" t="n">
        <v>0.12</v>
      </c>
      <c r="O343" t="n">
        <v>0.1327</v>
      </c>
    </row>
    <row r="344">
      <c r="A344" t="inlineStr">
        <is>
          <t>crate</t>
        </is>
      </c>
      <c r="B344" t="inlineStr">
        <is>
          <t>server/src/main/java/io/crate/execution/engine/NodeOperationTreeGenerator.java</t>
        </is>
      </c>
      <c r="C344">
        <f>HYPERLINK("https://github.com/crate/crate/blob/master/server/src/main/java/io/crate/execution/engine/NodeOperationTreeGenerator.java")</f>
        <v/>
      </c>
      <c r="D344" t="inlineStr">
        <is>
          <t>This code appears to be a Java implementation of some sort of algorithm, possibly related to data processing or analysis. The comments indicate that it is part of a larger system, but do not provide any further details about its purpose or intended usage. The complexity of the code is O(N), which means that its running time increases as the size of the input grows linearly. There are no other</t>
        </is>
      </c>
      <c r="E344" t="n">
        <v>0.0026</v>
      </c>
      <c r="F344" t="n">
        <v>0.0506</v>
      </c>
      <c r="G344" t="n">
        <v>0.1056</v>
      </c>
      <c r="H344" t="inlineStr">
        <is>
          <t>This is a Java project containing backend software components that implement various algorithms. The code is licensed under the Apache License, which allows for its use, modification, and distribution subject to certain conditions. The project has been committed once, and it currently consists of approximately 1000 lines of code. The complexity of the code is O(N), where N represents the number of elements being</t>
        </is>
      </c>
      <c r="I344" t="n">
        <v>0.0037</v>
      </c>
      <c r="J344" t="n">
        <v>0.1096</v>
      </c>
      <c r="K344" t="n">
        <v>0.1471</v>
      </c>
      <c r="L344" t="inlineStr">
        <is>
          <t>The provided code implements a system that generates reports based on data from various sources. It uses a combination of algorithms and techniques to process and analyze the data, and then produces visualizations and summaries of the results. The code is written in Java and makes use of third-party libraries such as Apache Commons and Spring Data.</t>
        </is>
      </c>
      <c r="M344" t="n">
        <v>0.0038</v>
      </c>
      <c r="N344" t="n">
        <v>0.0606</v>
      </c>
      <c r="O344" t="n">
        <v>0.1163</v>
      </c>
    </row>
    <row r="345">
      <c r="A345" t="inlineStr">
        <is>
          <t>crate</t>
        </is>
      </c>
      <c r="B345" t="inlineStr">
        <is>
          <t>server/src/main/java/io/crate/execution/engine/JobLauncher.java</t>
        </is>
      </c>
      <c r="C345">
        <f>HYPERLINK("https://github.com/crate/crate/blob/master/server/src/main/java/io/crate/execution/engine/JobLauncher.java")</f>
        <v/>
      </c>
      <c r="D345" t="inlineStr">
        <is>
          <t>The code implements various algorithms related to computing and manipulating data structures such as arrays, linked lists, stacks, queues, trees, graphs, and more. It also includes comments explaining the purpose and complexity of each algorithm.</t>
        </is>
      </c>
      <c r="E345" t="n">
        <v>0.0063</v>
      </c>
      <c r="F345" t="n">
        <v>0.093</v>
      </c>
      <c r="G345" t="n">
        <v>0.0935</v>
      </c>
      <c r="H345" t="inlineStr">
        <is>
          <t>This code implements various backend software components that perform core algorithms. The complexity of the code is O(N), where N is the size of the input data. The code has been committed once, and it consists of approximately 1000 lines of code. The README file provides a brief overview of the project's purpose and scope, as well as some basic information about</t>
        </is>
      </c>
      <c r="I345" t="n">
        <v>0.0044</v>
      </c>
      <c r="J345" t="n">
        <v>0.1111</v>
      </c>
      <c r="K345" t="n">
        <v>0.1866</v>
      </c>
      <c r="L345" t="inlineStr">
        <is>
          <t>The provided code implements a system that processes data from various sources and stores them in a database. It uses a combination of algorithms and techniques to ensure efficient processing and accurate results. The code has been optimized for performance using techniques such as caching and parallelization. The system also includes features for monitoring and troubleshooting purposes.</t>
        </is>
      </c>
      <c r="M345" t="n">
        <v>0.0038</v>
      </c>
      <c r="N345" t="n">
        <v>0.0615</v>
      </c>
      <c r="O345" t="n">
        <v>0.1163</v>
      </c>
    </row>
    <row r="346">
      <c r="A346" t="inlineStr">
        <is>
          <t>crate</t>
        </is>
      </c>
      <c r="B346" t="inlineStr">
        <is>
          <t>server/src/main/java/io/crate/execution/engine/PhasesTaskFactory.java</t>
        </is>
      </c>
      <c r="C346">
        <f>HYPERLINK("https://github.com/crate/crate/blob/master/server/src/main/java/io/crate/execution/engine/PhasesTaskFactory.java")</f>
        <v/>
      </c>
      <c r="D346" t="inlineStr">
        <is>
          <t>The provided code appears to be a Java implementation of various algorithms used in the development of a web application's back end. The code includes comments describing its purpose and complexity, as well as a README file that provides some context about the project and its goals. The code size is relatively small, indicating that it may be a simple implementation of a few key algorithms. Overall, the</t>
        </is>
      </c>
      <c r="E346" t="n">
        <v>0.0027</v>
      </c>
      <c r="F346" t="n">
        <v>0.0519</v>
      </c>
      <c r="G346" t="n">
        <v>0.1071</v>
      </c>
      <c r="H346" t="inlineStr">
        <is>
          <t>This code appears to be part of a larger software project that includes multiple files and components. It defines a function called `add` which takes two arguments `a` and `b`, performs some computation, and returns their sum. The function is defined using Python syntax and has no external dependencies.
The README file provides some context about the purpose of the code and its intended usage</t>
        </is>
      </c>
      <c r="I346" t="n">
        <v>0.0037</v>
      </c>
      <c r="J346" t="n">
        <v>0.1096</v>
      </c>
      <c r="K346" t="n">
        <v>0.146</v>
      </c>
      <c r="L346" t="inlineStr">
        <is>
          <t>The provided code implements a system for processing large amounts of data using a combination of machine learning algorithms and statistical techniques. It takes as input a set of data points and produces as output a set of predictions based on the patterns learned from the training data. The code uses a variety of libraries and frameworks, including NumPy, SciPy, and TensorFlow, to perform the necessary computations.</t>
        </is>
      </c>
      <c r="M346" t="n">
        <v>0.0032</v>
      </c>
      <c r="N346" t="n">
        <v>0.0533</v>
      </c>
      <c r="O346" t="n">
        <v>0.1079</v>
      </c>
    </row>
    <row r="347">
      <c r="A347" t="inlineStr">
        <is>
          <t>crate</t>
        </is>
      </c>
      <c r="B347" t="inlineStr">
        <is>
          <t>server/src/main/java/io/crate/execution/engine/InterceptingRowConsumer.java</t>
        </is>
      </c>
      <c r="C347">
        <f>HYPERLINK("https://github.com/crate/crate/blob/master/server/src/main/java/io/crate/execution/engine/InterceptingRowConsumer.java")</f>
        <v/>
      </c>
      <c r="D347" t="inlineStr">
        <is>
          <t>This code appears to be a Java implementation of a collection of algorithms used in various applications. The code is well-documented, with comments explaining the purpose of each method and class. It also includes a README file that provides some basic information about the project and its goals.
The code defines several classes, including `Algorithm`, which represents a generic algorithm, and `Con</t>
        </is>
      </c>
      <c r="E347" t="n">
        <v>0.0035</v>
      </c>
      <c r="F347" t="n">
        <v>0.08450000000000001</v>
      </c>
      <c r="G347" t="n">
        <v>0.1493</v>
      </c>
      <c r="H347" t="inlineStr">
        <is>
          <t>This repository contains backend software components that implement core algorithms. The complexity of the code is O(N), where N is the number of elements being processed. The code has been committed once, and it consists of approximately 1000 lines of code. The README file provides a brief overview of the project's purpose and scope, as well as some basic instructions on how</t>
        </is>
      </c>
      <c r="I347" t="n">
        <v>0.0042</v>
      </c>
      <c r="J347" t="n">
        <v>0.1389</v>
      </c>
      <c r="K347" t="n">
        <v>0.2776</v>
      </c>
      <c r="L347" t="inlineStr">
        <is>
          <t>The provided code implements a system that performs various operations related to data processing and analysis. It takes in input data from various sources, processes it using various algorithms, and produces output data that can be used for further analysis or visualization. The code also includes comments and documentation that explain the overall architecture and provide details about the implementation of certain features.</t>
        </is>
      </c>
      <c r="M347" t="n">
        <v>0.0034</v>
      </c>
      <c r="N347" t="n">
        <v>0.0563</v>
      </c>
      <c r="O347" t="n">
        <v>0.1111</v>
      </c>
    </row>
    <row r="348">
      <c r="A348" t="inlineStr">
        <is>
          <t>crate</t>
        </is>
      </c>
      <c r="B348" t="inlineStr">
        <is>
          <t>server/src/main/java/io/crate/execution/engine/PagingUnsupportedResultListener.java</t>
        </is>
      </c>
      <c r="C348">
        <f>HYPERLINK("https://github.com/crate/crate/blob/master/server/src/main/java/io/crate/execution/engine/PagingUnsupportedResultListener.java")</f>
        <v/>
      </c>
      <c r="D348" t="inlineStr">
        <is>
          <t>This code appears to be a Java implementation of some kind of algorithm, possibly related to data processing or analysis. The comments suggest that it is intended to be used as part of a larger system, but do not provide any further details about its purpose or function. The code itself consists of several classes and methods, each with a single responsibility, and there are no apparent errors or bugs. Overall</t>
        </is>
      </c>
      <c r="E348" t="n">
        <v>0.003</v>
      </c>
      <c r="F348" t="n">
        <v>0.1013</v>
      </c>
      <c r="G348" t="n">
        <v>0.1399</v>
      </c>
      <c r="H348" t="inlineStr">
        <is>
          <t>The code implements a system that performs some kind of computation using data from multiple sources. It appears to be written in Java and uses the Apache License v2.0. The README provides some basic information about the project, including its purpose and the complexity of the implementation. The comments provide further details about the implementation, including the use of certain algorithms. There have been several commits to the</t>
        </is>
      </c>
      <c r="I348" t="n">
        <v>0.0032</v>
      </c>
      <c r="J348" t="n">
        <v>0.0519</v>
      </c>
      <c r="K348" t="n">
        <v>0.1071</v>
      </c>
      <c r="L348" t="inlineStr">
        <is>
          <t>The provided code implements a web application that provides a user interface for managing data stored in a database. It uses a combination of HTML, CSS, and JavaScript to create a responsive layout and interactive elements. The code also includes server-side rendering using Node.js and Express.js, which allows for dynamic content generation based on user input. Overall, the code appears to be well</t>
        </is>
      </c>
      <c r="M348" t="n">
        <v>0.0034</v>
      </c>
      <c r="N348" t="n">
        <v>0.0541</v>
      </c>
      <c r="O348" t="n">
        <v>0.1111</v>
      </c>
    </row>
    <row r="349">
      <c r="A349" t="inlineStr">
        <is>
          <t>crate</t>
        </is>
      </c>
      <c r="B349" t="inlineStr">
        <is>
          <t>server/src/main/java/io/crate/execution/engine/BucketForwarder.java</t>
        </is>
      </c>
      <c r="C349">
        <f>HYPERLINK("https://github.com/crate/crate/blob/master/server/src/main/java/io/crate/execution/engine/BucketForwarder.java")</f>
        <v/>
      </c>
      <c r="D349" t="inlineStr">
        <is>
          <t>The provided code appears to be a Java implementation of a set of algorithms used for various purposes, such as sorting, searching, and data processing. It includes comments explaining the purpose of each class and method, as well as the complexity and size of the code. The README file provides a high-level overview of the project's goals and structure, while the LICENSE</t>
        </is>
      </c>
      <c r="E349" t="n">
        <v>0.0029</v>
      </c>
      <c r="F349" t="n">
        <v>0.0556</v>
      </c>
      <c r="G349" t="n">
        <v>0.1119</v>
      </c>
      <c r="H349" t="inlineStr">
        <is>
          <t>This repository contains backend software components that implement core algorithms. The complexity of the code is O(N), where N is the number of elements being processed. The code has been committed once, resulting in a total of 1000 lines of code.</t>
        </is>
      </c>
      <c r="I349" t="n">
        <v>0.0059</v>
      </c>
      <c r="J349" t="n">
        <v>0.16</v>
      </c>
      <c r="K349" t="n">
        <v>0.2793</v>
      </c>
      <c r="L349" t="inlineStr">
        <is>
          <t>The provided code implements a system that allows users to search for and retrieve data from a database. The system uses a combination of natural language processing and machine learning algorithms to understand the user's query and return relevant results. The code also includes features such as spell checking and suggestions for improving search accuracy. Overall, the system is designed to provide a convenient and efficient way for users to find</t>
        </is>
      </c>
      <c r="M349" t="n">
        <v>0.003</v>
      </c>
      <c r="N349" t="n">
        <v>0.05</v>
      </c>
      <c r="O349" t="n">
        <v>0.1049</v>
      </c>
    </row>
    <row r="350">
      <c r="A350" t="inlineStr">
        <is>
          <t>crate</t>
        </is>
      </c>
      <c r="B350" t="inlineStr">
        <is>
          <t>server/src/main/java/io/crate/execution/engine/FirstColumnConsumers.java</t>
        </is>
      </c>
      <c r="C350">
        <f>HYPERLINK("https://github.com/crate/crate/blob/master/server/src/main/java/io/crate/execution/engine/FirstColumnConsumers.java")</f>
        <v/>
      </c>
      <c r="D350" t="inlineStr">
        <is>
          <t>This code appears to be a Java implementation of various algorithms used in data processing and analysis. The code is well-documented and includes comments explaining the purpose and complexity of each algorithm. It also includes a README file that describes the overall purpose of the project and provides some basic information about the code's structure and organization. Overall, it seems like this code could be useful as</t>
        </is>
      </c>
      <c r="E350" t="n">
        <v>0.0032</v>
      </c>
      <c r="F350" t="n">
        <v>0.0779</v>
      </c>
      <c r="G350" t="n">
        <v>0.1439</v>
      </c>
      <c r="H350" t="inlineStr">
        <is>
          <t>This code appears to be a Python implementation of a web application's backend logic. It includes several files, including `app.py`, which defines the main entry point of the application, and `models.py`, which contains classes that represent database models used by the application. The code also includes a `requirements.txt` file, which specifies dependencies needed to run the application,</t>
        </is>
      </c>
      <c r="I350" t="n">
        <v>0.0042</v>
      </c>
      <c r="J350" t="n">
        <v>0.08699999999999999</v>
      </c>
      <c r="K350" t="n">
        <v>0.1938</v>
      </c>
      <c r="L350" t="inlineStr">
        <is>
          <t>The provided code is a server-side application written in Java that serves as the backend component of a web application. It handles user authentication and authorization, manages data storage and retrieval, and provides APIs for other parts of the system to interact with the database.</t>
        </is>
      </c>
      <c r="M350" t="n">
        <v>0.0041</v>
      </c>
      <c r="N350" t="n">
        <v>0.037</v>
      </c>
      <c r="O350" t="n">
        <v>0.08550000000000001</v>
      </c>
    </row>
    <row r="351">
      <c r="A351" t="inlineStr">
        <is>
          <t>crate</t>
        </is>
      </c>
      <c r="B351" t="inlineStr">
        <is>
          <t>server/src/main/java/io/crate/execution/engine/CorrelatedJoinProjector.java</t>
        </is>
      </c>
      <c r="C351">
        <f>HYPERLINK("https://github.com/crate/crate/blob/master/server/src/main/java/io/crate/execution/engine/CorrelatedJoinProjector.java")</f>
        <v/>
      </c>
      <c r="D351" t="inlineStr">
        <is>
          <t>This code appears to be a Java implementation of various algorithms used in computer science. The comments indicate that it is intended to provide a comprehensive set of tools for solving complex problems in a variety of domains. The complexity of the code is O(N), which means that its running time increases as the size of the input increases linearly. There are no external dependencies, and the code has been</t>
        </is>
      </c>
      <c r="E351" t="n">
        <v>0.0031</v>
      </c>
      <c r="F351" t="n">
        <v>0.0759</v>
      </c>
      <c r="G351" t="n">
        <v>0.1408</v>
      </c>
      <c r="H351" t="inlineStr">
        <is>
          <t>This code appears to be a collection of backend software components that implement various algorithms. The complexity of the code is O(N), where N is the size of the input data set. The code includes comments explaining the implementation of the core algorithms, as well as a note about the initial commit of the codebase. The code size is approximately 1000 lines long. Overall,</t>
        </is>
      </c>
      <c r="I351" t="n">
        <v>0.0037</v>
      </c>
      <c r="J351" t="n">
        <v>0.1096</v>
      </c>
      <c r="K351" t="n">
        <v>0.1471</v>
      </c>
      <c r="L351" t="inlineStr">
        <is>
          <t>The provided code implements a set of functions that perform various tasks related to data processing and analysis. It appears to be part of a larger system that involves multiple modules working together to achieve a common goal. The code uses a variety of programming constructs and techniques, including object-oriented programming, functional programming, and data structures such as arrays and hash tables. The code also includes comments and documentation</t>
        </is>
      </c>
      <c r="M351" t="n">
        <v>0.0031</v>
      </c>
      <c r="N351" t="n">
        <v>0.0769</v>
      </c>
      <c r="O351" t="n">
        <v>0.1418</v>
      </c>
    </row>
    <row r="352">
      <c r="A352" t="inlineStr">
        <is>
          <t>crate</t>
        </is>
      </c>
      <c r="B352" t="inlineStr">
        <is>
          <t>server/src/main/java/io/crate/execution/engine/collect/PKLookupOperation.java</t>
        </is>
      </c>
      <c r="C352">
        <f>HYPERLINK("https://github.com/crate/crate/blob/master/server/src/main/java/io/crate/execution/engine/collect/PKLookupOperation.java")</f>
        <v/>
      </c>
      <c r="D352" t="inlineStr">
        <is>
          <t>This code appears to be a Java implementation of a system that performs various algorithms related to computing complexity. The code includes comments explaining the purpose of each algorithm and the assumptions made about the input data. It also includes a README file that provides an overview of the project's goals and objectives. The code size is approximately 1000 lines long.</t>
        </is>
      </c>
      <c r="E352" t="n">
        <v>0.0036</v>
      </c>
      <c r="F352" t="n">
        <v>0.0857</v>
      </c>
      <c r="G352" t="n">
        <v>0.1128</v>
      </c>
      <c r="H352" t="inlineStr">
        <is>
          <t>This code appears to be a Java implementation of a web application's backend. The code includes comments that describe its purpose and provide details about the complexity and size of the code. It also includes a README file that provides further context and information about the project. The code itself consists of several classes and methods that implement various features of the web application, such as user authentication and data retr</t>
        </is>
      </c>
      <c r="I352" t="n">
        <v>0.003</v>
      </c>
      <c r="J352" t="n">
        <v>0.075</v>
      </c>
      <c r="K352" t="n">
        <v>0.1049</v>
      </c>
      <c r="L352" t="inlineStr">
        <is>
          <t>The provided code implements a system that allows users to search for and retrieve data from a database. It uses a combination of SQL queries and Python scripts to perform various tasks such as data cleaning, preprocessing, and feature engineering. The overall goal of the system is to provide a user-friendly interface for exploratory data analysis and machine learning model development.</t>
        </is>
      </c>
      <c r="M352" t="n">
        <v>0.0036</v>
      </c>
      <c r="N352" t="n">
        <v>0.0571</v>
      </c>
      <c r="O352" t="n">
        <v>0.1128</v>
      </c>
    </row>
    <row r="353">
      <c r="A353" t="inlineStr">
        <is>
          <t>crate</t>
        </is>
      </c>
      <c r="B353" t="inlineStr">
        <is>
          <t>server/src/main/java/io/crate/execution/engine/collect/ShardCollectorProvider.java</t>
        </is>
      </c>
      <c r="C353">
        <f>HYPERLINK("https://github.com/crate/crate/blob/master/server/src/main/java/io/crate/execution/engine/collect/ShardCollectorProvider.java")</f>
        <v/>
      </c>
      <c r="D353" t="inlineStr">
        <is>
          <t>The provided code appears to be a Java implementation of various algorithms used in computer science, specifically those related to graph theory and data structures. It includes comments explaining the purpose and complexity of each algorithm, as well as a README file that describes the overall project and its goals. The code size is approximately 1000 lines long.</t>
        </is>
      </c>
      <c r="E353" t="n">
        <v>0.0031</v>
      </c>
      <c r="F353" t="n">
        <v>0.0606</v>
      </c>
      <c r="G353" t="n">
        <v>0.1154</v>
      </c>
      <c r="H353" t="inlineStr">
        <is>
          <t>This code appears to be a Java implementation of a backend system, containing various components that perform core algorithms. The complexity of the code is O(N), where N is the size of the input data set. The code has been committed once, and it consists of approximately 1000 lines of code. It includes comments explaining the purpose and implementation of each component.</t>
        </is>
      </c>
      <c r="I353" t="n">
        <v>0.0039</v>
      </c>
      <c r="J353" t="n">
        <v>0.1127</v>
      </c>
      <c r="K353" t="n">
        <v>0.1493</v>
      </c>
      <c r="L353" t="inlineStr">
        <is>
          <t>The provided code implements a system that processes data from various sources and performs calculations based on those data. It uses a combination of algorithms and techniques to achieve its goals, including sorting, filtering, and aggregating data. The code has been optimized for performance, with a focus on reducing computational complexity while maintaining readability and maintainability.</t>
        </is>
      </c>
      <c r="M353" t="n">
        <v>0.0039</v>
      </c>
      <c r="N353" t="n">
        <v>0.0625</v>
      </c>
      <c r="O353" t="n">
        <v>0.1172</v>
      </c>
    </row>
    <row r="354">
      <c r="A354" t="inlineStr">
        <is>
          <t>crate</t>
        </is>
      </c>
      <c r="B354" t="inlineStr">
        <is>
          <t>server/src/main/java/io/crate/execution/engine/collect/GroupByOptimizedIterator.java</t>
        </is>
      </c>
      <c r="C354">
        <f>HYPERLINK("https://github.com/crate/crate/blob/master/server/src/main/java/io/crate/execution/engine/collect/GroupByOptimizedIterator.java")</f>
        <v/>
      </c>
      <c r="D354" t="inlineStr">
        <is>
          <t>The code implements a set of backend software components that perform various tasks related to data processing and analysis. It appears to be written in Java and uses the Apache License version 2.0. The code has been committed once and its size is approximately 1000 lines. The complexity of the code is O(N), which means it grows linearly with the input size N. There</t>
        </is>
      </c>
      <c r="E354" t="n">
        <v>0.0037</v>
      </c>
      <c r="F354" t="n">
        <v>0.0541</v>
      </c>
      <c r="G354" t="n">
        <v>0.1471</v>
      </c>
      <c r="H354" t="inlineStr">
        <is>
          <t>This code appears to be a Java implementation of a web application's backend, which includes various features such as user authentication, data storage, and API endpoints. The code has been optimized for performance using techniques like caching and lazy loading. The code also includes comments that explain the purpose and usage of different parts of the codebase. Overall, it seems like this codebase could be used</t>
        </is>
      </c>
      <c r="I354" t="n">
        <v>0.0033</v>
      </c>
      <c r="J354" t="n">
        <v>0.08</v>
      </c>
      <c r="K354" t="n">
        <v>0.1449</v>
      </c>
      <c r="L354" t="inlineStr">
        <is>
          <t>The provided code is a Java implementation of a web server that serves HTTP requests and performs various tasks such as routing, handling user authentication, and serving static files. It uses a modular architecture with separate modules for each concern, allowing for easy maintenance and extension.</t>
        </is>
      </c>
      <c r="M354" t="n">
        <v>0.004</v>
      </c>
      <c r="N354" t="n">
        <v>0.0741</v>
      </c>
      <c r="O354" t="n">
        <v>0.1695</v>
      </c>
    </row>
    <row r="355">
      <c r="A355" t="inlineStr">
        <is>
          <t>crate</t>
        </is>
      </c>
      <c r="B355" t="inlineStr">
        <is>
          <t>server/src/main/java/io/crate/execution/engine/collect/ValueAndInputRow.java</t>
        </is>
      </c>
      <c r="C355">
        <f>HYPERLINK("https://github.com/crate/crate/blob/master/server/src/main/java/io/crate/execution/engine/collect/ValueAndInputRow.java")</f>
        <v/>
      </c>
      <c r="D355" t="inlineStr">
        <is>
          <t>The provided code appears to be a Java implementation of various algorithms used in the development of a web application. The code includes classes and methods that perform different tasks such as data processing, data storage, and user authentication. The complexity of the code is O(N), indicating that it has a linear relationship between its input size and output size. The comments within the code provide insight into the purpose and</t>
        </is>
      </c>
      <c r="E355" t="n">
        <v>0.0026</v>
      </c>
      <c r="F355" t="n">
        <v>0.05</v>
      </c>
      <c r="G355" t="n">
        <v>0.1049</v>
      </c>
      <c r="H355" t="inlineStr">
        <is>
          <t>This code appears to be a collection of backend software components that implement various algorithms. The complexity of the code is O(N), where N represents the number of elements being processed. The code includes comments describing the implementation of the core algorithms. There has been one initial commit to the codebase. The total size of the code is approximately 1000 lines.</t>
        </is>
      </c>
      <c r="I355" t="n">
        <v>0.0039</v>
      </c>
      <c r="J355" t="n">
        <v>0.1143</v>
      </c>
      <c r="K355" t="n">
        <v>0.1504</v>
      </c>
      <c r="L355" t="inlineStr">
        <is>
          <t>The provided code implements various functions related to data processing and analysis. It appears to be part of a larger system that includes multiple modules, each responsible for different aspects of the process. The code uses various algorithms and techniques to perform tasks such as data cleaning, feature engineering, and model training. The overall goal seems to be to create a robust and efficient system for handling large datasets.</t>
        </is>
      </c>
      <c r="M355" t="n">
        <v>0.0031</v>
      </c>
      <c r="N355" t="n">
        <v>0.0779</v>
      </c>
      <c r="O355" t="n">
        <v>0.1064</v>
      </c>
    </row>
    <row r="356">
      <c r="A356" t="inlineStr">
        <is>
          <t>crate</t>
        </is>
      </c>
      <c r="B356" t="inlineStr">
        <is>
          <t>server/src/main/java/io/crate/execution/engine/collect/BlobShardCollectorProvider.java</t>
        </is>
      </c>
      <c r="C356">
        <f>HYPERLINK("https://github.com/crate/crate/blob/master/server/src/main/java/io/crate/execution/engine/collect/BlobShardCollectorProvider.java")</f>
        <v/>
      </c>
      <c r="D356" t="inlineStr">
        <is>
          <t>The provided code appears to be a Java implementation of a set of algorithms used for various purposes. It includes comments explaining the purpose and complexity of each algorithm, as well as a README file that provides an overview of the project's goals and structure. The code size is approximately 1000 lines long.</t>
        </is>
      </c>
      <c r="E356" t="n">
        <v>0.0035</v>
      </c>
      <c r="F356" t="n">
        <v>0.0645</v>
      </c>
      <c r="G356" t="n">
        <v>0.12</v>
      </c>
      <c r="H356" t="inlineStr">
        <is>
          <t>This code appears to be a Java implementation of a web application's backend logic. The code is organized into several packages, each containing related classes and interfaces. The main entry point for the application is the `Main` class, which sets up the necessary dependencies and starts the server. The `Server` class is responsible for handling incoming requests and routing them to the appropriate handlers. The `Handler</t>
        </is>
      </c>
      <c r="I356" t="n">
        <v>0.0036</v>
      </c>
      <c r="J356" t="n">
        <v>0.08</v>
      </c>
      <c r="K356" t="n">
        <v>0.1449</v>
      </c>
      <c r="L356" t="inlineStr">
        <is>
          <t>The provided code implements a system that performs various tasks related to data processing and analysis. It appears to be written in Java and uses the Apache License v2.0. The code includes comments that describe the implementation of core algorithms, as well as commit messages and README files that provide context about the project's purpose and scope. The code size is approximately 1000 lines</t>
        </is>
      </c>
      <c r="M356" t="n">
        <v>0.0037</v>
      </c>
      <c r="N356" t="n">
        <v>0.08110000000000001</v>
      </c>
      <c r="O356" t="n">
        <v>0.1471</v>
      </c>
    </row>
    <row r="357">
      <c r="A357" t="inlineStr">
        <is>
          <t>crate</t>
        </is>
      </c>
      <c r="B357" t="inlineStr">
        <is>
          <t>server/src/main/java/io/crate/execution/engine/collect/RowsTransformer.java</t>
        </is>
      </c>
      <c r="C357">
        <f>HYPERLINK("https://github.com/crate/crate/blob/master/server/src/main/java/io/crate/execution/engine/collect/RowsTransformer.java")</f>
        <v/>
      </c>
      <c r="D357" t="inlineStr">
        <is>
          <t>The provided code appears to be a Java implementation of various algorithms used in the development of a web application. The code is well-documented and includes comments that explain the purpose and complexity of each algorithm. The code also includes a README file that provides an overview of the project's goals and objectives.
The code implements several algorithms, including sorting, searching, and</t>
        </is>
      </c>
      <c r="E357" t="n">
        <v>0.0035</v>
      </c>
      <c r="F357" t="n">
        <v>0.0556</v>
      </c>
      <c r="G357" t="n">
        <v>0.1119</v>
      </c>
      <c r="H357" t="inlineStr">
        <is>
          <t>This code implements a set of backend software components that perform various tasks related to data processing and analysis. The code is written in Java and uses the Apache License v2.0 for open-source distribution. It has been committed once and has a total size of approximately 1000 lines of code. The complexity of the code is O(N), where N is the number of input</t>
        </is>
      </c>
      <c r="I357" t="n">
        <v>0.004</v>
      </c>
      <c r="J357" t="n">
        <v>0.08</v>
      </c>
      <c r="K357" t="n">
        <v>0.1838</v>
      </c>
      <c r="L357" t="inlineStr">
        <is>
          <t>The provided code implements a system that processes data from various sources and stores it in a database. It uses the Apache License and has been contributed to Crate.io GmbH. The code's primary function is to implement the core algorithms for processing data, which involves breaking down large datasets into smaller chunks and storing them in a database.</t>
        </is>
      </c>
      <c r="M357" t="n">
        <v>0.0041</v>
      </c>
      <c r="N357" t="n">
        <v>0.0882</v>
      </c>
      <c r="O357" t="n">
        <v>0.1538</v>
      </c>
    </row>
    <row r="358">
      <c r="A358" t="inlineStr">
        <is>
          <t>crate</t>
        </is>
      </c>
      <c r="B358" t="inlineStr">
        <is>
          <t>server/src/main/java/io/crate/execution/engine/collect/CollectTask.java</t>
        </is>
      </c>
      <c r="C358">
        <f>HYPERLINK("https://github.com/crate/crate/blob/master/server/src/main/java/io/crate/execution/engine/collect/CollectTask.java")</f>
        <v/>
      </c>
      <c r="D358" t="inlineStr">
        <is>
          <t>The provided code appears to be a Java implementation of a backend system's core algorithms. It includes comments that outline its purpose and complexity, as well as details about commits and code size. Overall, it seems like the code is responsible for implementing various algorithms used by the system's backend.</t>
        </is>
      </c>
      <c r="E358" t="n">
        <v>0.0044</v>
      </c>
      <c r="F358" t="n">
        <v>0.1</v>
      </c>
      <c r="G358" t="n">
        <v>0.1639</v>
      </c>
      <c r="H358" t="inlineStr">
        <is>
          <t>This code implements a set of backend software components that handle various tasks related to data processing and analysis. The code is written in Java and uses the Apache License v2.0, which allows for redistribution and modification as long as certain conditions are met. The code has been committed once and its size is approximately 1000 lines. The complexity of the code is O(N</t>
        </is>
      </c>
      <c r="I358" t="n">
        <v>0.004</v>
      </c>
      <c r="J358" t="n">
        <v>0.08110000000000001</v>
      </c>
      <c r="K358" t="n">
        <v>0.1838</v>
      </c>
      <c r="L358" t="inlineStr">
        <is>
          <t>The provided code implements a system for processing large amounts of data using a combination of machine learning and statistical techniques. It takes in input data from various sources and processes it through a series of transformations before outputting the results to a database. The code also includes comments that provide insight into the implementation of the core algorithms used in the system.</t>
        </is>
      </c>
      <c r="M358" t="n">
        <v>0.0038</v>
      </c>
      <c r="N358" t="n">
        <v>0.0563</v>
      </c>
      <c r="O358" t="n">
        <v>0.1481</v>
      </c>
    </row>
    <row r="359">
      <c r="A359" t="inlineStr">
        <is>
          <t>crate</t>
        </is>
      </c>
      <c r="B359" t="inlineStr">
        <is>
          <t>server/src/main/java/io/crate/execution/engine/collect/DocValuesAggregates.java</t>
        </is>
      </c>
      <c r="C359">
        <f>HYPERLINK("https://github.com/crate/crate/blob/master/server/src/main/java/io/crate/execution/engine/collect/DocValuesAggregates.java")</f>
        <v/>
      </c>
      <c r="D359" t="inlineStr">
        <is>
          <t>The provided code appears to be a Java implementation of various algorithms used in computer science, specifically those related to data structures and algorithms. It includes comments explaining the purpose and complexity of each algorithm, as well as a README file that provides an overview of the project's goals and structure. The code size is approximately 1000 lines long.</t>
        </is>
      </c>
      <c r="E359" t="n">
        <v>0.0031</v>
      </c>
      <c r="F359" t="n">
        <v>0.0588</v>
      </c>
      <c r="G359" t="n">
        <v>0.1145</v>
      </c>
      <c r="H359" t="inlineStr">
        <is>
          <t>The provided code appears to be a Java implementation of a web application's backend logic. It includes several classes and methods that define the structure and behavior of the application's data models, controllers, and services. The code also includes comments and documentation explaining the purpose and usage of each class and method.
The main entry point of the application seems to be the `main` method in</t>
        </is>
      </c>
      <c r="I359" t="n">
        <v>0.0033</v>
      </c>
      <c r="J359" t="n">
        <v>0.0526</v>
      </c>
      <c r="K359" t="n">
        <v>0.1087</v>
      </c>
      <c r="L359" t="inlineStr">
        <is>
          <t>The provided code implements various functions related to data processing and analysis. It appears to be part of a larger system that processes and stores data from various sources, including databases and APIs. The code uses various libraries and frameworks, such as Spring Boot and Hibernate, to handle HTTP requests and database interactions. The code also includes comments and documentation, which describe the implementation of core algorithms and provide context for the</t>
        </is>
      </c>
      <c r="M359" t="n">
        <v>0.0033</v>
      </c>
      <c r="N359" t="n">
        <v>0.075</v>
      </c>
      <c r="O359" t="n">
        <v>0.1389</v>
      </c>
    </row>
    <row r="360">
      <c r="A360" t="inlineStr">
        <is>
          <t>crate</t>
        </is>
      </c>
      <c r="B360" t="inlineStr">
        <is>
          <t>server/src/main/java/io/crate/execution/engine/collect/RemoteCollectorFactory.java</t>
        </is>
      </c>
      <c r="C360">
        <f>HYPERLINK("https://github.com/crate/crate/blob/master/server/src/main/java/io/crate/execution/engine/collect/RemoteCollectorFactory.java")</f>
        <v/>
      </c>
      <c r="D360" t="inlineStr">
        <is>
          <t>This code appears to be a Java implementation of various algorithms used in the development of a web application's backend. The code includes comments that describe the purpose of each algorithm and their complexity. It also includes a README file that provides an overview of the project and its goals. The code size is relatively small, indicating that it may be a simple implementation of a few algorithms rather than</t>
        </is>
      </c>
      <c r="E360" t="n">
        <v>0.0031</v>
      </c>
      <c r="F360" t="n">
        <v>0.0759</v>
      </c>
      <c r="G360" t="n">
        <v>0.1408</v>
      </c>
      <c r="H360" t="inlineStr">
        <is>
          <t>This code implements a system that performs calculations using mathematical algorithms. The complexity of the code is O(N), meaning it has a linear time complexity as the size of the input increases. The code is well-documented, with comments explaining the implementation of each algorithm. There have been several commits to the codebase since its initial release, with the most recent being the current version. The total</t>
        </is>
      </c>
      <c r="I360" t="n">
        <v>0.0033</v>
      </c>
      <c r="J360" t="n">
        <v>0.0526</v>
      </c>
      <c r="K360" t="n">
        <v>0.1087</v>
      </c>
      <c r="L360" t="inlineStr">
        <is>
          <t>The provided code implements a system that processes data from various sources and stores them in a database. It uses a combination of algorithms and techniques to ensure efficient processing and storage of the data. The code is written in Java and makes use of various libraries and frameworks, including Spring Boot and Hibernate.</t>
        </is>
      </c>
      <c r="M360" t="n">
        <v>0.004</v>
      </c>
      <c r="N360" t="n">
        <v>0.0645</v>
      </c>
      <c r="O360" t="n">
        <v>0.119</v>
      </c>
    </row>
    <row r="361">
      <c r="A361" t="inlineStr">
        <is>
          <t>crate</t>
        </is>
      </c>
      <c r="B361" t="inlineStr">
        <is>
          <t>server/src/main/java/io/crate/execution/engine/collect/MapSideDataCollectOperation.java</t>
        </is>
      </c>
      <c r="C361">
        <f>HYPERLINK("https://github.com/crate/crate/blob/master/server/src/main/java/io/crate/execution/engine/collect/MapSideDataCollectOperation.java")</f>
        <v/>
      </c>
      <c r="D361" t="inlineStr">
        <is>
          <t>The code implements various backend software components that perform complex calculations, such as O(N). It also includes comments explaining the implementation details and the complexity of the code. The README file provides an overview of the project's purpose and the overall structure of the codebase.</t>
        </is>
      </c>
      <c r="E361" t="n">
        <v>0.0054</v>
      </c>
      <c r="F361" t="n">
        <v>0.1091</v>
      </c>
      <c r="G361" t="n">
        <v>0.1282</v>
      </c>
      <c r="H361" t="inlineStr">
        <is>
          <t>This code implements a system that performs various operations related to data processing and analysis. The code has been written in Java and uses the Apache License v2.0. It consists of several modules, including a database module, a web server module, and a data processing module. The database module provides a way to store and retrieve data, while the web server module allows users to interact with the system</t>
        </is>
      </c>
      <c r="I361" t="n">
        <v>0.0037</v>
      </c>
      <c r="J361" t="n">
        <v>0.0769</v>
      </c>
      <c r="K361" t="n">
        <v>0.1773</v>
      </c>
      <c r="L361" t="inlineStr">
        <is>
          <t>The provided code implements a web server that serves data from a database. It uses the Flask microframework and SQLAlchemy library to interact with the database. The code also includes comments explaining the implementation of core algorithms and the overall purpose of the application.</t>
        </is>
      </c>
      <c r="M361" t="n">
        <v>0.0055</v>
      </c>
      <c r="N361" t="n">
        <v>0.1154</v>
      </c>
      <c r="O361" t="n">
        <v>0.1724</v>
      </c>
    </row>
    <row r="362">
      <c r="A362" t="inlineStr">
        <is>
          <t>crate</t>
        </is>
      </c>
      <c r="B362" t="inlineStr">
        <is>
          <t>server/src/main/java/io/crate/execution/engine/collect/LuceneShardCollectorProvider.java</t>
        </is>
      </c>
      <c r="C362">
        <f>HYPERLINK("https://github.com/crate/crate/blob/master/server/src/main/java/io/crate/execution/engine/collect/LuceneShardCollectorProvider.java")</f>
        <v/>
      </c>
      <c r="D362" t="inlineStr">
        <is>
          <t>This code appears to be a Java implementation of a set of algorithms used in the development of a web application's backend. The code includes comments that describe the purpose of each class and method, as well as the complexity and size of the code. It also includes a README file that provides an overview of the project and its goals. Overall, it seems like this code represents</t>
        </is>
      </c>
      <c r="E362" t="n">
        <v>0.0032</v>
      </c>
      <c r="F362" t="n">
        <v>0.0779</v>
      </c>
      <c r="G362" t="n">
        <v>0.1429</v>
      </c>
      <c r="H362" t="inlineStr">
        <is>
          <t>This code appears to be a collection of source files for a software project, specifically a set of backend components. The README file provides some basic information about the project, including its purpose and the complexity of the codebase. The comments in the code provide further details about the implementation of the core algorithms used in the project. The commits listed in the README indicate that there has been</t>
        </is>
      </c>
      <c r="I362" t="n">
        <v>0.0037</v>
      </c>
      <c r="J362" t="n">
        <v>0.1039</v>
      </c>
      <c r="K362" t="n">
        <v>0.2128</v>
      </c>
      <c r="L362" t="inlineStr">
        <is>
          <t>The code implements a web application that allows users to create, edit, and delete notes. It uses a RESTful API to handle requests and responses, and includes features such as authentication and authorization.</t>
        </is>
      </c>
      <c r="M362" t="n">
        <v>0.0067</v>
      </c>
      <c r="N362" t="n">
        <v>0.09760000000000001</v>
      </c>
      <c r="O362" t="n">
        <v>0.1429</v>
      </c>
    </row>
    <row r="363">
      <c r="A363" t="inlineStr">
        <is>
          <t>crate</t>
        </is>
      </c>
      <c r="B363" t="inlineStr">
        <is>
          <t>server/src/main/java/io/crate/execution/engine/collect/CollectExpression.java</t>
        </is>
      </c>
      <c r="C363">
        <f>HYPERLINK("https://github.com/crate/crate/blob/master/server/src/main/java/io/crate/execution/engine/collect/CollectExpression.java")</f>
        <v/>
      </c>
      <c r="D363" t="inlineStr">
        <is>
          <t>This code appears to be a Java implementation of various algorithms used in computer science, specifically Big O notation. The code has been commented extensively and includes documentation about the complexity of each algorithm, as well as a brief description of their purpose and any notable features. The code also includes a README file that provides an overview of the project's goals and objectives, as well as</t>
        </is>
      </c>
      <c r="E363" t="n">
        <v>0.0032</v>
      </c>
      <c r="F363" t="n">
        <v>0.0789</v>
      </c>
      <c r="G363" t="n">
        <v>0.1439</v>
      </c>
      <c r="H363" t="inlineStr">
        <is>
          <t>This code appears to be part of a larger software project that includes multiple files and directories. The main file, `main.py`, imports several other modules from the same directory and defines a function called `add` that takes two arguments and returns their sum. The function is documented with a short description and a complexity estimate of O(N), indicating that its running time increases linearly with the</t>
        </is>
      </c>
      <c r="I363" t="n">
        <v>0.0036</v>
      </c>
      <c r="J363" t="n">
        <v>0.1316</v>
      </c>
      <c r="K363" t="n">
        <v>0.1812</v>
      </c>
      <c r="L363" t="inlineStr">
        <is>
          <t>The provided code appears to be a Java implementation of a web application that provides a RESTful API for managing data. It utilizes Spring Boot as a framework and Hibernate as an ORM tool. The code includes various classes and methods that handle HTTP requests, database interactions, and business logic related to the application's features.</t>
        </is>
      </c>
      <c r="M363" t="n">
        <v>0.0033</v>
      </c>
      <c r="N363" t="n">
        <v>0.09379999999999999</v>
      </c>
      <c r="O363" t="n">
        <v>0.07870000000000001</v>
      </c>
    </row>
    <row r="364">
      <c r="A364" t="inlineStr">
        <is>
          <t>crate</t>
        </is>
      </c>
      <c r="B364" t="inlineStr">
        <is>
          <t>server/src/main/java/io/crate/execution/engine/collect/CollectOperationModule.java</t>
        </is>
      </c>
      <c r="C364">
        <f>HYPERLINK("https://github.com/crate/crate/blob/master/server/src/main/java/io/crate/execution/engine/collect/CollectOperationModule.java")</f>
        <v/>
      </c>
      <c r="D364" t="inlineStr">
        <is>
          <t>This code appears to be a Java implementation of a backend system that handles various tasks such as data processing and analysis. The code has been commented extensively, providing a high level overview of its functionality. It uses O(N) complexity and has been committed once, indicating minimal changes since its initial release. The code size is approximately 1000 lines long.</t>
        </is>
      </c>
      <c r="E364" t="n">
        <v>0.0036</v>
      </c>
      <c r="F364" t="n">
        <v>0.1159</v>
      </c>
      <c r="G364" t="n">
        <v>0.1515</v>
      </c>
      <c r="H364" t="inlineStr">
        <is>
          <t>This code appears to be part of a larger software project that includes multiple files and folders. The main function of the code is to implement a set of core algorithms used in the project's backend. The code is written in Python and uses the Apache License v2.0, which means it can be freely used, modified, and shared by anyone as long as they follow the terms of the</t>
        </is>
      </c>
      <c r="I364" t="n">
        <v>0.0037</v>
      </c>
      <c r="J364" t="n">
        <v>0.1266</v>
      </c>
      <c r="K364" t="n">
        <v>0.2128</v>
      </c>
      <c r="L364" t="inlineStr">
        <is>
          <t>The provided code implements the core algorithms for a web application's backend. It handles user authentication, data storage, and querying capabilities. The code complexity is O(N), and existing comments provide insight into the implementation details.</t>
        </is>
      </c>
      <c r="M364" t="n">
        <v>0.007</v>
      </c>
      <c r="N364" t="n">
        <v>0.1333</v>
      </c>
      <c r="O364" t="n">
        <v>0.1402</v>
      </c>
    </row>
    <row r="365">
      <c r="A365" t="inlineStr">
        <is>
          <t>crate</t>
        </is>
      </c>
      <c r="B365" t="inlineStr">
        <is>
          <t>server/src/main/java/io/crate/execution/engine/collect/NestableCollectExpression.java</t>
        </is>
      </c>
      <c r="C365">
        <f>HYPERLINK("https://github.com/crate/crate/blob/master/server/src/main/java/io/crate/execution/engine/collect/NestableCollectExpression.java")</f>
        <v/>
      </c>
      <c r="D365" t="inlineStr">
        <is>
          <t>The code implements a set of core algorithms used in the development of a web application's backend. It appears to be written in Java and uses the Apache License 2.0. The code has been committed once and has a size of approximately 1000 lines. The complexity of the code is O(N), where N is the number of elements being processed. There are comments</t>
        </is>
      </c>
      <c r="E365" t="n">
        <v>0.0038</v>
      </c>
      <c r="F365" t="n">
        <v>0.08110000000000001</v>
      </c>
      <c r="G365" t="n">
        <v>0.1481</v>
      </c>
      <c r="H365" t="inlineStr">
        <is>
          <t>This code appears to be a collection of backend software components that implement various algorithms. The README file describes the purpose of the repository as being related to implementing core algorithms. The complexity of the code is estimated to be O(N), where N represents the size of the input data set. The comments within the code provide details about the implementation of the algorithms, while the commits indicate that this</t>
        </is>
      </c>
      <c r="I365" t="n">
        <v>0.0034</v>
      </c>
      <c r="J365" t="n">
        <v>0.1013</v>
      </c>
      <c r="K365" t="n">
        <v>0.1408</v>
      </c>
      <c r="L365" t="inlineStr">
        <is>
          <t>The provided code implements a system that processes data from various sources and stores it in a database. It uses a variety of techniques such as caching, indexing, and query optimization to ensure efficient data retrieval. The code also includes error handling mechanisms to prevent crashes and provide meaningful feedback when errors occur. Overall, the code appears well-structured and follows best practices for software development.</t>
        </is>
      </c>
      <c r="M365" t="n">
        <v>0.0037</v>
      </c>
      <c r="N365" t="n">
        <v>0.0541</v>
      </c>
      <c r="O365" t="n">
        <v>0.146</v>
      </c>
    </row>
    <row r="366">
      <c r="A366" t="inlineStr">
        <is>
          <t>crate</t>
        </is>
      </c>
      <c r="B366" t="inlineStr">
        <is>
          <t>server/src/main/java/io/crate/execution/engine/collect/RowCollectExpression.java</t>
        </is>
      </c>
      <c r="C366">
        <f>HYPERLINK("https://github.com/crate/crate/blob/master/server/src/main/java/io/crate/execution/engine/collect/RowCollectExpression.java")</f>
        <v/>
      </c>
      <c r="D366" t="inlineStr">
        <is>
          <t>This code appears to be a Java implementation of various algorithms used in the development of a web application's backend. The code includes comments that describe the purpose of each class and method, as well as the complexity and size of the code. There are also commits listed, indicating that the code has been modified over time. Overall, it seems like this codebase is a collection of reusable</t>
        </is>
      </c>
      <c r="E366" t="n">
        <v>0.0032</v>
      </c>
      <c r="F366" t="n">
        <v>0.0779</v>
      </c>
      <c r="G366" t="n">
        <v>0.1429</v>
      </c>
      <c r="H366" t="inlineStr">
        <is>
          <t>This code appears to be a collection of backend software components that implement various algorithms. The README file describes the project as a "backend" and mentions that it uses the Apache License 2.0. The complexity of the code is estimated to be O(N), where N is the number of elements being processed. The comments in the code provide implementation details and explain how certain parts of</t>
        </is>
      </c>
      <c r="I366" t="n">
        <v>0.0036</v>
      </c>
      <c r="J366" t="n">
        <v>0.1053</v>
      </c>
      <c r="K366" t="n">
        <v>0.1812</v>
      </c>
      <c r="L366" t="inlineStr">
        <is>
          <t>The provided code implements a web application that allows users to create, edit, and delete notes. It uses a RESTful API to interact with the database and utilizes authentication and authorization mechanisms to ensure user privacy and security.</t>
        </is>
      </c>
      <c r="M366" t="n">
        <v>0.0058</v>
      </c>
      <c r="N366" t="n">
        <v>0.08699999999999999</v>
      </c>
      <c r="O366" t="n">
        <v>0.1364</v>
      </c>
    </row>
    <row r="367">
      <c r="A367" t="inlineStr">
        <is>
          <t>crate</t>
        </is>
      </c>
      <c r="B367" t="inlineStr">
        <is>
          <t>server/src/main/java/io/crate/execution/engine/collect/DocValuesGroupByOptimizedIterator.java</t>
        </is>
      </c>
      <c r="C367">
        <f>HYPERLINK("https://github.com/crate/crate/blob/master/server/src/main/java/io/crate/execution/engine/collect/DocValuesGroupByOptimizedIterator.java")</f>
        <v/>
      </c>
      <c r="D367" t="inlineStr">
        <is>
          <t>This code appears to be a Java program that implements various algorithms related to computing the complexity of a system. The program takes as input a list of integers representing the size of different components of the system, and outputs a single integer representing the overall complexity of the system. The algorithm used to compute the complexity is O(N), where N is the number of components in the system. The program also</t>
        </is>
      </c>
      <c r="E367" t="n">
        <v>0.0033</v>
      </c>
      <c r="F367" t="n">
        <v>0.0741</v>
      </c>
      <c r="G367" t="n">
        <v>0.1389</v>
      </c>
      <c r="H367" t="inlineStr">
        <is>
          <t>This code appears to be a Java implementation of a backend system, containing various components that make up the overall architecture of the application. The code is well-documented, with comments explaining the purpose and functionality of each component. The complexity of the code is estimated to be O(N), where N represents the number of elements being processed.
The code includes a README file that</t>
        </is>
      </c>
      <c r="I367" t="n">
        <v>0.0037</v>
      </c>
      <c r="J367" t="n">
        <v>0.08110000000000001</v>
      </c>
      <c r="K367" t="n">
        <v>0.1471</v>
      </c>
      <c r="L367" t="inlineStr">
        <is>
          <t>The provided code implements a system that processes data from various sources and stores them in a database. It uses a combination of algorithms and techniques to perform real-time data processing and analysis. The code is written in Java and utilizes several libraries and frameworks, including Apache Spark and Elasticsearch.</t>
        </is>
      </c>
      <c r="M367" t="n">
        <v>0.0044</v>
      </c>
      <c r="N367" t="n">
        <v>0.0678</v>
      </c>
      <c r="O367" t="n">
        <v>0.123</v>
      </c>
    </row>
    <row r="368">
      <c r="A368" t="inlineStr">
        <is>
          <t>hystrix</t>
        </is>
      </c>
      <c r="B368" t="inlineStr">
        <is>
          <t>hystrix-core/src/jmh/java/com/netflix/hystrix/perf/CollapserPerfTest.java</t>
        </is>
      </c>
      <c r="C368">
        <f>HYPERLINK("https://github.com/Netflix/Hystrix/blob/master/hystrix-core/src/jmh/java/com/netflix/hystrix/perf/CollapserPerfTest.java")</f>
        <v/>
      </c>
      <c r="D368" t="inlineStr">
        <is>
          <t>The code defines several classes related to implementing Hystrix, a library for handling resilience and fault tolerance in complex systems. It includes definitions for the following classes:
* `HystrixCollapser`: A class that represents a collapsing request batching mechanism used to group multiple requests together into fewer calls to the underlying service.
* `HystrixCol</t>
        </is>
      </c>
      <c r="E368" t="n">
        <v>0.0035</v>
      </c>
      <c r="F368" t="n">
        <v>0.0678</v>
      </c>
      <c r="G368" t="n">
        <v>0.12</v>
      </c>
      <c r="H368" t="inlineStr">
        <is>
          <t>This code appears to be a Java library containing classes related to Hystrix, which is a performance optimization framework for resilient applications. The library includes several classes that implement various aspects of Hystrix's functionality, such as collapsers, commands, thread pools, and more. The README file provides an overview of the library's purpose and structure, while</t>
        </is>
      </c>
      <c r="I368" t="n">
        <v>0.004</v>
      </c>
      <c r="J368" t="n">
        <v>0.1231</v>
      </c>
      <c r="K368" t="n">
        <v>0.1181</v>
      </c>
      <c r="L368" t="inlineStr">
        <is>
          <t>The provided code defines a custom implementation of Hystrix, a library used for implementing circuit breakers in Java applications. It provides a way to group together related commands into a collapser, which can be executed as a single unit when necessary. The code also includes support for defining thread pools and command groups, which allow for more fine-grained control over the execution of commands.</t>
        </is>
      </c>
      <c r="M368" t="n">
        <v>0.0028</v>
      </c>
      <c r="N368" t="n">
        <v>0.0548</v>
      </c>
      <c r="O368" t="n">
        <v>0.1103</v>
      </c>
    </row>
    <row r="369">
      <c r="A369" t="inlineStr">
        <is>
          <t>hystrix</t>
        </is>
      </c>
      <c r="B369" t="inlineStr">
        <is>
          <t>hystrix-core/src/jmh/java/com/netflix/hystrix/perf/ObservableCollapserPerfTest.java</t>
        </is>
      </c>
      <c r="C369">
        <f>HYPERLINK("https://github.com/Netflix/Hystrix/blob/master/hystrix-core/src/jmh/java/com/netflix/hystrix/perf/ObservableCollapserPerfTest.java")</f>
        <v/>
      </c>
      <c r="D369" t="inlineStr">
        <is>
          <t>This Java code defines a class called `HystrixCollapser` that extends `HystrixCommand`. It implements a collapser pattern for Hystrix, which allows multiple requests to be batched together into a single request. The class has several methods for configuring the collapsing behavior, such as setting the maximum number of concurrent requests, the maximum size of the batch</t>
        </is>
      </c>
      <c r="E369" t="n">
        <v>0.004</v>
      </c>
      <c r="F369" t="n">
        <v>0.0635</v>
      </c>
      <c r="G369" t="n">
        <v>0.07870000000000001</v>
      </c>
      <c r="H369" t="inlineStr">
        <is>
          <t>This code appears to be part of a Java project that implements various components related to building scalable and fault-tolerant backends using Hystrix, a library developed by Netflix. The code defines several classes and interfaces related to collapsing requests into batches, as well as implementing core algorithms for handling requests and managing dependencies between them. The README file provides</t>
        </is>
      </c>
      <c r="I369" t="n">
        <v>0.0044</v>
      </c>
      <c r="J369" t="n">
        <v>0.1176</v>
      </c>
      <c r="K369" t="n">
        <v>0.1908</v>
      </c>
      <c r="L369" t="inlineStr">
        <is>
          <t>The provided code implements a Hystrix collapser that retrieves data from multiple commands within a single thread. It uses the `HystrixCollapser` class to execute the commands asynchronously and collapse their results into a single response. The collapser also manages the execution of the commands using the `HystrixCollapserMetrics` and `Hyst</t>
        </is>
      </c>
      <c r="M369" t="n">
        <v>0.0045</v>
      </c>
      <c r="N369" t="n">
        <v>0.0702</v>
      </c>
      <c r="O369" t="n">
        <v>0.124</v>
      </c>
    </row>
    <row r="370">
      <c r="A370" t="inlineStr">
        <is>
          <t>hystrix</t>
        </is>
      </c>
      <c r="B370" t="inlineStr">
        <is>
          <t>hystrix-core/src/jmh/java/com/netflix/hystrix/perf/CommandConstructionPerfTest.java</t>
        </is>
      </c>
      <c r="C370">
        <f>HYPERLINK("https://github.com/Netflix/Hystrix/blob/master/hystrix-core/src/jmh/java/com/netflix/hystrix/perf/CommandConstructionPerfTest.java")</f>
        <v/>
      </c>
      <c r="D370" t="inlineStr">
        <is>
          <t>This Java code appears to be part of a performance testing project using JMH (Java Microbenchmark Harness). It defines a benchmarking method called `commandConstruction` that creates instances of Hystrix commands with different command groups and execution times. The benchmark measures the time it takes to create these commands.
The code imports several packages, including `com.netflix</t>
        </is>
      </c>
      <c r="E370" t="n">
        <v>0.004</v>
      </c>
      <c r="F370" t="n">
        <v>0.0625</v>
      </c>
      <c r="G370" t="n">
        <v>0.1181</v>
      </c>
      <c r="H370" t="inlineStr">
        <is>
          <t>This Java package `com.netflix.hystrix.perf` contains benchmarking tests for Hystrix command construction performance. The package includes a single class named `CommandConstructionPe`, which contains a method called `benchmark`.
The `benchmark` method is annotated with `@Benchmark` and is marked as a performance test using JMH.</t>
        </is>
      </c>
      <c r="I370" t="n">
        <v>0.0052</v>
      </c>
      <c r="J370" t="n">
        <v>0.0755</v>
      </c>
      <c r="K370" t="n">
        <v>0.1316</v>
      </c>
      <c r="L370" t="inlineStr">
        <is>
          <t>The provided code defines a Java class called `CommandConstructionPerformance` that extends the `HystrixCommand` class from the Hystrix library. It is designed to measure the performance of constructing instances of the `HystrixCommand` class.
The class has several important methods, including the constructor, which takes a `HystrixCommandGroupKey` as input</t>
        </is>
      </c>
      <c r="M370" t="n">
        <v>0</v>
      </c>
      <c r="N370" t="n">
        <v>0</v>
      </c>
      <c r="O370" t="n">
        <v>0</v>
      </c>
    </row>
    <row r="371">
      <c r="A371" t="inlineStr">
        <is>
          <t>hystrix</t>
        </is>
      </c>
      <c r="B371" t="inlineStr">
        <is>
          <t>hystrix-core/src/jmh/java/com/netflix/hystrix/perf/RollingMaxPerfTest.java</t>
        </is>
      </c>
      <c r="C371">
        <f>HYPERLINK("https://github.com/Netflix/Hystrix/blob/master/hystrix-core/src/jmh/java/com/netflix/hystrix/perf/RollingMaxPerfTest.java")</f>
        <v/>
      </c>
      <c r="D371" t="inlineStr">
        <is>
          <t>The provided code appears to be part of a Java project that implements various performance benchmarking tests using JMH (Java Microbenchmark Harness). It defines several methods that perform operations related to rolling numbers, which are used to track metrics such as request counts and latencies in Hystrix, a library for implementing circuit breakers and fallbacks in Java applications.
The `</t>
        </is>
      </c>
      <c r="E371" t="n">
        <v>0.0036</v>
      </c>
      <c r="F371" t="n">
        <v>0.0597</v>
      </c>
      <c r="G371" t="n">
        <v>0.1136</v>
      </c>
      <c r="H371" t="inlineStr">
        <is>
          <t>This code appears to be part of a Java project that implements various performance benchmarking tools using the OpenJDK's JMH library. The code defines several classes and methods related to implementing Hystrix, a circuit breaker pattern for handling failures in microservices architecture. The code also includes comments and documentation explaining its purpose and usage.</t>
        </is>
      </c>
      <c r="I371" t="n">
        <v>0.0045</v>
      </c>
      <c r="J371" t="n">
        <v>0.09520000000000001</v>
      </c>
      <c r="K371" t="n">
        <v>0.1587</v>
      </c>
      <c r="L371" t="inlineStr">
        <is>
          <t>The provided code implements benchmarking functionality using JMH library. It provides a simple example of how to measure performance of Hystrix's rolling number implementation. The code measures the time taken to increment counters for different events, such as successes, failures, and timeouts. The results are then aggregated across multiple threads and grouped into buckets based on their duration. Over</t>
        </is>
      </c>
      <c r="M371" t="n">
        <v>0.0041</v>
      </c>
      <c r="N371" t="n">
        <v>0.0882</v>
      </c>
      <c r="O371" t="n">
        <v>0.1145</v>
      </c>
    </row>
    <row r="372">
      <c r="A372" t="inlineStr">
        <is>
          <t>hystrix</t>
        </is>
      </c>
      <c r="B372" t="inlineStr">
        <is>
          <t>hystrix-core/src/jmh/java/com/netflix/hystrix/perf/CommandExecutionAndConcurrentMetricsReadPerfTest.java</t>
        </is>
      </c>
      <c r="C372">
        <f>HYPERLINK("https://github.com/Netflix/Hystrix/blob/master/hystrix-core/src/jmh/java/com/netflix/hystrix/perf/CommandExecutionAndConcurrentMetricsReadPerfTest.java")</f>
        <v/>
      </c>
      <c r="D372" t="inlineStr">
        <is>
          <t>The provided code appears to be a Java class that implements a benchmarking tool using JMH (Java Microbenchmark Harness). It defines several methods that perform various operations related to Hystrix, a library used for implementing fault tolerance and performance optimization in distributed systems.
The `HystrixCommand` class is extended to create a custom command called `MyCommand`, which</t>
        </is>
      </c>
      <c r="E372" t="n">
        <v>0.0039</v>
      </c>
      <c r="F372" t="n">
        <v>0.0625</v>
      </c>
      <c r="G372" t="n">
        <v>0.1172</v>
      </c>
      <c r="H372" t="inlineStr">
        <is>
          <t>This code appears to be part of a Java project that uses the OpenJDK JMH library to benchmark the performance of Hystrix, a library used for implementing circuit breakers in microservices architecture. The code defines several classes related to Hystrix commands, including `HystrixCommand`, which represents a command that can be executed by a Hystrix thread pool, and `</t>
        </is>
      </c>
      <c r="I372" t="n">
        <v>0.0037</v>
      </c>
      <c r="J372" t="n">
        <v>0.09229999999999999</v>
      </c>
      <c r="K372" t="n">
        <v>0.1538</v>
      </c>
      <c r="L372" t="inlineStr">
        <is>
          <t>The provided code implements a benchmarking tool using JMH library for measuring performance of Hystrix commands. It defines several command types that inherit from `HystrixCommand` class and override its execute method to perform different tasks. Each command type has its own properties defined through annotations such as `HystrixCommandProperties`, `HystrixThreadPoolProperties`, and `Hystrix</t>
        </is>
      </c>
      <c r="M372" t="n">
        <v>0.0043</v>
      </c>
      <c r="N372" t="n">
        <v>0.0678</v>
      </c>
      <c r="O372" t="n">
        <v>0.122</v>
      </c>
    </row>
    <row r="373">
      <c r="A373" t="inlineStr">
        <is>
          <t>hystrix</t>
        </is>
      </c>
      <c r="B373" t="inlineStr">
        <is>
          <t>hystrix-core/src/jmh/java/com/netflix/hystrix/perf/CommandExecutionPerfTest.java</t>
        </is>
      </c>
      <c r="C373">
        <f>HYPERLINK("https://github.com/Netflix/Hystrix/blob/master/hystrix-core/src/jmh/java/com/netflix/hystrix/perf/CommandExecutionPerfTest.java")</f>
        <v/>
      </c>
      <c r="D373" t="inlineStr">
        <is>
          <t>This code appears to be part of a Java project that implements various Hystrix commands and thread pools. It includes classes for defining command properties, creating commands, and managing thread pools. The code also includes documentation comments describing the purpose and usage of each class. Overall, it seems like the code is intended to provide a basic framework for implementing Hystrix commands and thread po</t>
        </is>
      </c>
      <c r="E373" t="n">
        <v>0.0037</v>
      </c>
      <c r="F373" t="n">
        <v>0.0822</v>
      </c>
      <c r="G373" t="n">
        <v>0.146</v>
      </c>
      <c r="H373" t="inlineStr">
        <is>
          <t>This code appears to be part of a Java project that implements various Hystrix classes and interfaces from the `com.netflix.hystrix` package. The main class, `PerformanceTest`, extends `HystrixCommand` and overrides its `run()` method to perform some kind of performance test. It also has several other methods that are related to thread pool management</t>
        </is>
      </c>
      <c r="I373" t="n">
        <v>0.0046</v>
      </c>
      <c r="J373" t="n">
        <v>0.0968</v>
      </c>
      <c r="K373" t="n">
        <v>0.1613</v>
      </c>
      <c r="L373" t="inlineStr">
        <is>
          <t>The provided code implements a Hystrix command that runs a given function asynchronously in a separate thread pool. It defines two classes: `MyCommand` and `MyThreadFactory`. `MyCommand` extends `HystrixObservableCommand`, which provides a base class for implementing asynchronous commands using the Hystrix library. `MyThreadFactory` creates new threads for the command's</t>
        </is>
      </c>
      <c r="M373" t="n">
        <v>0.0045</v>
      </c>
      <c r="N373" t="n">
        <v>0.1053</v>
      </c>
      <c r="O373" t="n">
        <v>0.125</v>
      </c>
    </row>
    <row r="374">
      <c r="A374" t="inlineStr">
        <is>
          <t>hystrix</t>
        </is>
      </c>
      <c r="B374" t="inlineStr">
        <is>
          <t>hystrix-core/src/jmh/java/com/netflix/hystrix/perf/RollingNumberPerfTest.java</t>
        </is>
      </c>
      <c r="C374">
        <f>HYPERLINK("https://github.com/Netflix/Hystrix/blob/master/hystrix-core/src/jmh/java/com/netflix/hystrix/perf/RollingNumberPerfTest.java")</f>
        <v/>
      </c>
      <c r="D374" t="inlineStr">
        <is>
          <t>The provided code appears to be part of a Java library called Hystrix, which is used for implementing circuit breakers and fallback mechanisms in distributed systems. It includes several classes that represent different types of metrics related to the performance and health of a system, such as latency, error rates, and failure rates.
The `HystrixRollingNumber` class represents</t>
        </is>
      </c>
      <c r="E374" t="n">
        <v>0.0032</v>
      </c>
      <c r="F374" t="n">
        <v>0.0615</v>
      </c>
      <c r="G374" t="n">
        <v>0.1163</v>
      </c>
      <c r="H374" t="inlineStr">
        <is>
          <t>This code appears to be part of a Java project that implements various performance benchmarking tools using JMH (Java Microbenchmark Harness). The code defines several classes and methods related to Hystrix, which is a resiliency library used to handle failures in distributed systems. The main class, `com.netflix.hystrix.perf.Hystrix</t>
        </is>
      </c>
      <c r="I374" t="n">
        <v>0.0051</v>
      </c>
      <c r="J374" t="n">
        <v>0.1017</v>
      </c>
      <c r="K374" t="n">
        <v>0.1681</v>
      </c>
      <c r="L374" t="inlineStr">
        <is>
          <t>The provided code implements benchmarking functionality using JMH for Hystrix's performance metrics. It provides a simple way to measure the execution time of different methods and calculate statistics such as mean, standard deviation, and percentiles. The code also includes comments explaining the various annotations used in the benchmarking process.</t>
        </is>
      </c>
      <c r="M374" t="n">
        <v>0.0049</v>
      </c>
      <c r="N374" t="n">
        <v>0.1034</v>
      </c>
      <c r="O374" t="n">
        <v>0.124</v>
      </c>
    </row>
    <row r="375">
      <c r="A375" t="inlineStr">
        <is>
          <t>hystrix</t>
        </is>
      </c>
      <c r="B375" t="inlineStr">
        <is>
          <t>hystrix-core/src/jmh/java/com/netflix/hystrix/perf/RollingPercentilePerfTest.java</t>
        </is>
      </c>
      <c r="C375">
        <f>HYPERLINK("https://github.com/Netflix/Hystrix/blob/master/hystrix-core/src/jmh/java/com/netflix/hystrix/perf/RollingPercentilePerfTest.java")</f>
        <v/>
      </c>
      <c r="D375" t="inlineStr">
        <is>
          <t>This Java code appears to be part of a performance benchmarking tool for Hystrix, a library used for implementing circuit breakers and fallback logic in microservices architectures. The code defines a JMH benchmark that measures the execution time of different methods related to calculating rolling percentiles.
The `HystrixRollingPercentile` class is used to calculate rolling percent</t>
        </is>
      </c>
      <c r="E375" t="n">
        <v>0.004</v>
      </c>
      <c r="F375" t="n">
        <v>0.127</v>
      </c>
      <c r="G375" t="n">
        <v>0.1575</v>
      </c>
      <c r="H375" t="inlineStr">
        <is>
          <t>This code appears to be part of a Java project that implements some sort of performance benchmarking tool using the JMH framework. The code defines several classes and methods related to implementing Hystrix, which is a library used for building resilient and high-performance systems.
The main class, `com.netflix.hystrix.perf.Hyst</t>
        </is>
      </c>
      <c r="I375" t="n">
        <v>0.005</v>
      </c>
      <c r="J375" t="n">
        <v>0.0984</v>
      </c>
      <c r="K375" t="n">
        <v>0.1667</v>
      </c>
      <c r="L375" t="inlineStr">
        <is>
          <t>The provided code implements a benchmarking suite using JMH for measuring performance metrics of Hystrix's percentile estimation algorithm. It defines several benchmark methods that simulate different scenarios and measure the time taken to execute them. The code also includes annotations for configuring the benchmark settings such as thread count, warmup iterations, and measurement mode. Overall, the code provides a simple and</t>
        </is>
      </c>
      <c r="M375" t="n">
        <v>0.0036</v>
      </c>
      <c r="N375" t="n">
        <v>0.0571</v>
      </c>
      <c r="O375" t="n">
        <v>0.1128</v>
      </c>
    </row>
    <row r="376">
      <c r="A376" t="inlineStr">
        <is>
          <t>hystrix</t>
        </is>
      </c>
      <c r="B376" t="inlineStr">
        <is>
          <t>hystrix-core/src/main/java/com/netflix/hystrix/HystrixTimerThreadPoolProperties.java</t>
        </is>
      </c>
      <c r="C376">
        <f>HYPERLINK("https://github.com/Netflix/Hystrix/blob/master/hystrix-core/src/main/java/com/netflix/hystrix/HystrixTimerThreadPoolProperties.java")</f>
        <v/>
      </c>
      <c r="D376" t="inlineStr">
        <is>
          <t>This is a Java class that provides properties for configuring a timer thread pool in the Hystrix library. The class has several fields and methods that provide access to configuration parameters such as the number of threads in the core pool, the maximum size of the pool, and the keep-alive time for idle threads.
The constructor takes a `Setter` object as input, which allows</t>
        </is>
      </c>
      <c r="E376" t="n">
        <v>0.0037</v>
      </c>
      <c r="F376" t="n">
        <v>0.0822</v>
      </c>
      <c r="G376" t="n">
        <v>0.1103</v>
      </c>
      <c r="H376" t="inlineStr">
        <is>
          <t>The `HystrixTimerThreadPoolProperties` class is a part of the Netflix Hystrix library and provides properties related to the Hystrix timer thread pool. It has several fields that represent different properties of the thread pool, such as the number of threads in the core pool (`corePoolSize`). The class also has several methods that allow you to retrieve these properties, including `</t>
        </is>
      </c>
      <c r="I376" t="n">
        <v>0.0037</v>
      </c>
      <c r="J376" t="n">
        <v>0.0303</v>
      </c>
      <c r="K376" t="n">
        <v>0.1145</v>
      </c>
      <c r="L376" t="inlineStr">
        <is>
          <t>The `HystrixTimerThreadPoolProperties` class provides properties for configuring the Hystrix timer thread pool. It allows setting the number of threads in the core pool size using the `corePoolSize` property. The class also provides a constructor that takes a `Setter` object as input and sets the core pool size based on the available processors if no value is specified. Additionally,</t>
        </is>
      </c>
      <c r="M376" t="n">
        <v>0.0037</v>
      </c>
      <c r="N376" t="n">
        <v>0.0606</v>
      </c>
      <c r="O376" t="n">
        <v>0.1154</v>
      </c>
    </row>
    <row r="377">
      <c r="A377" t="inlineStr">
        <is>
          <t>hystrix</t>
        </is>
      </c>
      <c r="B377" t="inlineStr">
        <is>
          <t>hystrix-core/src/main/java/com/netflix/hystrix/HystrixThreadPoolMetrics.java</t>
        </is>
      </c>
      <c r="C377">
        <f>HYPERLINK("https://github.com/Netflix/Hystrix/blob/master/hystrix-core/src/main/java/com/netflix/hystrix/HystrixThreadPoolMetrics.java")</f>
        <v/>
      </c>
      <c r="D377" t="inlineStr">
        <is>
          <t>This code appears to be part of a Java project that implements various Hystrix metrics consumers. The `com.netflix.hystrix` package contains classes related to Hystrix, such as `HystrixCommandCompletion`, which represents a completed command execution. The `com.netflix.hystrix.metric.consumer` package contains classes that consume</t>
        </is>
      </c>
      <c r="E377" t="n">
        <v>0.0055</v>
      </c>
      <c r="F377" t="n">
        <v>0.0741</v>
      </c>
      <c r="G377" t="n">
        <v>0.1339</v>
      </c>
      <c r="H377" t="inlineStr">
        <is>
          <t>This code appears to be part of a Java project that implements various Hystrix metrics consumers. The package name suggests that it belongs to the Hystrix library, which provides tools for implementing circuit breakers and fallback mechanisms in distributed systems.
The code defines several classes related to thread pool metrics, including `CumulativeThreadPoolEventCounterStream`, `RollingThreadPool</t>
        </is>
      </c>
      <c r="I377" t="n">
        <v>0.0045</v>
      </c>
      <c r="J377" t="n">
        <v>0.0984</v>
      </c>
      <c r="K377" t="n">
        <v>0.16</v>
      </c>
      <c r="L377" t="inlineStr">
        <is>
          <t>The provided code defines a Hystrix command that monitors thread pool metrics and calculates various statistics such as maximum concurrency, cumulative counts of events, and rolling averages. It imports several classes from the `com.netflix.hystrix` package, including `HystrixCommandCompletion`, `CumulativeThreadPoolEventCounterStream`, `RollingThreadPoolMax</t>
        </is>
      </c>
      <c r="M377" t="n">
        <v>0.0047</v>
      </c>
      <c r="N377" t="n">
        <v>0.0408</v>
      </c>
      <c r="O377" t="n">
        <v>0.045</v>
      </c>
    </row>
    <row r="378">
      <c r="A378" t="inlineStr">
        <is>
          <t>hystrix</t>
        </is>
      </c>
      <c r="B378" t="inlineStr">
        <is>
          <t>hystrix-core/src/main/java/com/netflix/hystrix/HystrixInvokable.java</t>
        </is>
      </c>
      <c r="C378">
        <f>HYPERLINK("https://github.com/Netflix/Hystrix/blob/master/hystrix-core/src/main/java/com/netflix/hystrix/HystrixInvokable.java")</f>
        <v/>
      </c>
      <c r="D378" t="inlineStr">
        <is>
          <t>This code defines a Java interface called `HystrixInvokable` that represents a command that can be executed using the Hystrix library. The interface has no methods defined, but it serves as a marker interface to indicate that a class implements the Hystrix command pattern. The interface is annotated with license information from Apache Software Foundation and is part of the `com.netfli</t>
        </is>
      </c>
      <c r="E378" t="n">
        <v>0.004</v>
      </c>
      <c r="F378" t="n">
        <v>0.08699999999999999</v>
      </c>
      <c r="G378" t="n">
        <v>0.1894</v>
      </c>
      <c r="H378" t="inlineStr">
        <is>
          <t>This code defines a Java interface called `HystrixInvokable` that represents a command that can be executed using the Hystrix library. The interface has no methods defined, but it provides a way to identify objects that implement it as being capable of being executed through Hystrix.
The README file describes the purpose of the repository as containing backend software components. It</t>
        </is>
      </c>
      <c r="I378" t="n">
        <v>0.0036</v>
      </c>
      <c r="J378" t="n">
        <v>0.0588</v>
      </c>
      <c r="K378" t="n">
        <v>0.1515</v>
      </c>
      <c r="L378" t="inlineStr">
        <is>
          <t>The provided code defines a Java interface called `HystrixInvokable`, which serves as a marker for Hystrix commands that can be invoked. The interface provides no implementation details and only specifies the type parameter `R` representing the return value of the command.</t>
        </is>
      </c>
      <c r="M378" t="n">
        <v>0.0045</v>
      </c>
      <c r="N378" t="n">
        <v>0.08160000000000001</v>
      </c>
      <c r="O378" t="n">
        <v>0.0885</v>
      </c>
    </row>
    <row r="379">
      <c r="A379" t="inlineStr">
        <is>
          <t>hystrix</t>
        </is>
      </c>
      <c r="B379" t="inlineStr">
        <is>
          <t>hystrix-core/src/main/java/com/netflix/hystrix/HystrixCachedObservable.java</t>
        </is>
      </c>
      <c r="C379">
        <f>HYPERLINK("https://github.com/Netflix/Hystrix/blob/master/hystrix-core/src/main/java/com/netflix/hystrix/HystrixCachedObservable.java")</f>
        <v/>
      </c>
      <c r="D379" t="inlineStr">
        <is>
          <t>This is a Java implementation of a "HystrixCachedObservable" class that wraps an observable object to provide caching capabilities. The class maintains a cache of the last emitted value from the original observable, and when a new subscription is made, it returns the cached value instead of subscribing to the original observable again. When all subscribers unsubscribe, the original subscription is also</t>
        </is>
      </c>
      <c r="E379" t="n">
        <v>0.0036</v>
      </c>
      <c r="F379" t="n">
        <v>0.08699999999999999</v>
      </c>
      <c r="G379" t="n">
        <v>0.1128</v>
      </c>
      <c r="H379" t="inlineStr">
        <is>
          <t>The `HystrixCachedObservable` class is a utility class that provides a way to cache the results of an observable sequence in memory. It takes an `Observable&lt;R&gt;` as input and returns a new `Observable&lt;R&gt;` that caches the results of the original observable sequence. When all subscribers unsubscribe from the returned observable, the original subscription is also cancelled. This</t>
        </is>
      </c>
      <c r="I379" t="n">
        <v>0.0039</v>
      </c>
      <c r="J379" t="n">
        <v>0.0303</v>
      </c>
      <c r="K379" t="n">
        <v>0.0781</v>
      </c>
      <c r="L379" t="inlineStr">
        <is>
          <t>The `HystrixCachedObservable` class is a wrapper around an observable that caches the results of the underlying observable. It provides a way to cache the results of an observable for future use, while also ensuring that the underlying observable is only subscribed to once. When all subscribers unsubscribe from the cached observable, the subscription to the underlying observable is canceled as well</t>
        </is>
      </c>
      <c r="M379" t="n">
        <v>0</v>
      </c>
      <c r="N379" t="n">
        <v>0</v>
      </c>
      <c r="O379" t="n">
        <v>0</v>
      </c>
    </row>
    <row r="380">
      <c r="A380" t="inlineStr">
        <is>
          <t>hystrix</t>
        </is>
      </c>
      <c r="B380" t="inlineStr">
        <is>
          <t>hystrix-core/src/main/java/com/netflix/hystrix/ExecutionResult.java</t>
        </is>
      </c>
      <c r="C380">
        <f>HYPERLINK("https://github.com/Netflix/Hystrix/blob/master/hystrix-core/src/main/java/com/netflix/hystrix/ExecutionResult.java")</f>
        <v/>
      </c>
      <c r="D380" t="inlineStr">
        <is>
          <t>The `ExecutionResult` class represents the result of executing a single Hystrix command. It holds information about whether the command executed successfully, how long it took to execute, and any errors that occurred during its execution.
The class has several methods for retrieving information about the execution, including `isSuccessful()`, which returns true if the command executed successfully without error, and `get</t>
        </is>
      </c>
      <c r="E380" t="n">
        <v>0.003</v>
      </c>
      <c r="F380" t="n">
        <v>0.0294</v>
      </c>
      <c r="G380" t="n">
        <v>0.0379</v>
      </c>
      <c r="H380" t="inlineStr">
        <is>
          <t>The code defines a Java class called `ExecutionResult` that represents the result of executing a command within the Hystrix framework. It is an immutable object that holds information about the state of the command's execution, including its success, failure, or timeout. The class has several fields and methods that provide access to this information, such as getters for the command's execution time</t>
        </is>
      </c>
      <c r="I380" t="n">
        <v>0.0029</v>
      </c>
      <c r="J380" t="n">
        <v>0.0278</v>
      </c>
      <c r="K380" t="n">
        <v>0.0746</v>
      </c>
      <c r="L380" t="inlineStr">
        <is>
          <t>The provided code defines an immutable holder class for the status of command execution within the Hystrix framework. It provides a way to represent the outcome of a command's execution, including whether it was successful, failed, or timed out, as well as any relevant data such as latency and error messages. The class is designed to be thread-safe and can be shared between multiple</t>
        </is>
      </c>
      <c r="M380" t="n">
        <v>0.0028</v>
      </c>
      <c r="N380" t="n">
        <v>0.027</v>
      </c>
      <c r="O380" t="n">
        <v>0.0368</v>
      </c>
    </row>
    <row r="381">
      <c r="A381" t="inlineStr">
        <is>
          <t>hystrix</t>
        </is>
      </c>
      <c r="B381" t="inlineStr">
        <is>
          <t>hystrix-core/src/main/java/com/netflix/hystrix/HystrixCollapserKey.java</t>
        </is>
      </c>
      <c r="C381">
        <f>HYPERLINK("https://github.com/Netflix/Hystrix/blob/master/hystrix-core/src/main/java/com/netflix/hystrix/HystrixCollapserKey.java")</f>
        <v/>
      </c>
      <c r="D381" t="inlineStr">
        <is>
          <t>The provided code defines a Java interface called `HystrixCollapserKey`. It represents a unique identifier for a `HystrixCollapser` object, which is used for various purposes such as monitoring, circuit breakers, metrics publishing, caching, etc.
The interface has no methods defined, but it does have some annotations that provide information about the class. One annotation</t>
        </is>
      </c>
      <c r="E381" t="n">
        <v>0</v>
      </c>
      <c r="F381" t="n">
        <v>0</v>
      </c>
      <c r="G381" t="n">
        <v>0.04</v>
      </c>
      <c r="H381" t="inlineStr">
        <is>
          <t>The provided code defines a Java interface called `HystrixCollapserKey` which represents a key used to identify a particular instance of a `HystrixCollapser`. It provides methods for accessing information about the collapser, such as its name and group. Additionally, it has a comment block that includes license information and a description of the purpose of the interface.</t>
        </is>
      </c>
      <c r="I381" t="n">
        <v>0.0033</v>
      </c>
      <c r="J381" t="n">
        <v>0.0312</v>
      </c>
      <c r="K381" t="n">
        <v>0.0781</v>
      </c>
      <c r="L381" t="inlineStr">
        <is>
          <t>The code defines a Java class called `HystrixCollapserKey` that represents a unique identifier for a `HystrixCollapser`. It is used for monitoring, circuit breaking, metric publishing, caching, and other purposes. The class has no fields and only provides an empty constructor.</t>
        </is>
      </c>
      <c r="M381" t="n">
        <v>0.0046</v>
      </c>
      <c r="N381" t="n">
        <v>0.0417</v>
      </c>
      <c r="O381" t="n">
        <v>0.0893</v>
      </c>
    </row>
    <row r="382">
      <c r="A382" t="inlineStr">
        <is>
          <t>hystrix</t>
        </is>
      </c>
      <c r="B382" t="inlineStr">
        <is>
          <t>hystrix-core/src/main/java/com/netflix/hystrix/HystrixCounters.java</t>
        </is>
      </c>
      <c r="C382">
        <f>HYPERLINK("https://github.com/Netflix/Hystrix/blob/master/hystrix-core/src/main/java/com/netflix/hystrix/HystrixCounters.java")</f>
        <v/>
      </c>
      <c r="D382" t="inlineStr">
        <is>
          <t>The `HystrixCounters` class provides global statistics on Hystrix runtime behavior. It maintains several counters that track various aspects of Hystrix's operation, including the number of threads currently executing commands. The class is designed to be used as a singleton, and all its methods are thread-safe.</t>
        </is>
      </c>
      <c r="E382" t="n">
        <v>0.0041</v>
      </c>
      <c r="F382" t="n">
        <v>0.0364</v>
      </c>
      <c r="G382" t="n">
        <v>0.08550000000000001</v>
      </c>
      <c r="H382" t="inlineStr">
        <is>
          <t>This Java class named `HystrixCounters` provides global statistics on the behavior of the Hystrix library. The class has several methods that track various aspects of Hystrix's performance, including the number of threads currently executing commands. It also includes comments explaining the purpose of each method and the complexity of its implementation. The README file describes the overall project and its</t>
        </is>
      </c>
      <c r="I382" t="n">
        <v>0.0036</v>
      </c>
      <c r="J382" t="n">
        <v>0.08699999999999999</v>
      </c>
      <c r="K382" t="n">
        <v>0.07580000000000001</v>
      </c>
      <c r="L382" t="inlineStr">
        <is>
          <t>The provided code defines a Java class named `HystrixCounters` that provides various counters related to Hystrix's runtime behavior. These counters are used to track and monitor the performance and health of the system.
The class has several methods that manipulate these counters, including `incrementGlobal`, which increments the number of concurrent threads executing. There are also</t>
        </is>
      </c>
      <c r="M382" t="n">
        <v>0.0033</v>
      </c>
      <c r="N382" t="n">
        <v>0.0312</v>
      </c>
      <c r="O382" t="n">
        <v>0.07870000000000001</v>
      </c>
    </row>
    <row r="383">
      <c r="A383" t="inlineStr">
        <is>
          <t>hystrix</t>
        </is>
      </c>
      <c r="B383" t="inlineStr">
        <is>
          <t>hystrix-core/src/main/java/com/netflix/hystrix/package-info.java</t>
        </is>
      </c>
      <c r="C383">
        <f>HYPERLINK("https://github.com/Netflix/Hystrix/blob/master/hystrix-core/src/main/java/com/netflix/hystrix/package-info.java")</f>
        <v/>
      </c>
      <c r="D383" t="inlineStr">
        <is>
          <t>The code provides the core functionality of Hystrix, which includes the implementation of the `HystrixCommand` and `HystrixCollapser` classes that can be extended from. This package also includes documentation related to the license and versioning of the software.</t>
        </is>
      </c>
      <c r="E383" t="n">
        <v>0.0126</v>
      </c>
      <c r="F383" t="n">
        <v>0.1333</v>
      </c>
      <c r="G383" t="n">
        <v>0.3413</v>
      </c>
      <c r="H383" t="inlineStr">
        <is>
          <t>This package contains the core functionality of Hystrix, which includes the HystrixCommand and HystrixCollapser classes that can be extended from. The package was created in 2012 as part of the Netflix project and has since been open sourced. It provides a way to implement fault tolerance and fallback logic in distributed systems, allowing developers to</t>
        </is>
      </c>
      <c r="I383" t="n">
        <v>0.008399999999999999</v>
      </c>
      <c r="J383" t="n">
        <v>0.1587</v>
      </c>
      <c r="K383" t="n">
        <v>0.2929</v>
      </c>
      <c r="L383" t="inlineStr">
        <is>
          <t>The code defines the core functionality of Hystrix, a library used for implementing circuit breakers and fallback mechanisms in Java applications. It includes classes such as HystrixCommand and HystrixCollapser that can be extended to implement custom commands and collapsers. The package also includes annotations and utilities for working with Hystrix.</t>
        </is>
      </c>
      <c r="M383" t="n">
        <v>0.0086</v>
      </c>
      <c r="N383" t="n">
        <v>0.1034</v>
      </c>
      <c r="O383" t="n">
        <v>0.2587</v>
      </c>
    </row>
    <row r="384">
      <c r="A384" t="inlineStr">
        <is>
          <t>hystrix</t>
        </is>
      </c>
      <c r="B384" t="inlineStr">
        <is>
          <t>hystrix-core/src/main/java/com/netflix/hystrix/HystrixObservableCommand.java</t>
        </is>
      </c>
      <c r="C384">
        <f>HYPERLINK("https://github.com/Netflix/Hystrix/blob/master/hystrix-core/src/main/java/com/netflix/hystrix/HystrixObservableCommand.java")</f>
        <v/>
      </c>
      <c r="D384" t="inlineStr">
        <is>
          <t>The provided Java code defines a class named `HystrixCommand` that represents a command that can be executed asynchronously using Hystrix. It has several methods such as `execute()`, `queue()`, and `observe()` that allow it to be used in different scenarios. Additionally, it provides support for execution isolation strategies, event notification, and customization through plugins.</t>
        </is>
      </c>
      <c r="E384" t="n">
        <v>0.0035</v>
      </c>
      <c r="F384" t="n">
        <v>0.0328</v>
      </c>
      <c r="G384" t="n">
        <v>0.08</v>
      </c>
      <c r="H384" t="inlineStr">
        <is>
          <t>This code defines a Java class called `HystrixCommand` that is used to encapsulate a piece of logic that can be executed asynchronously. The class has several properties and methods that allow it to be configured and customized, such as setting execution isolation strategies, defining fallback behavior, and providing hooks for monitoring and debugging purposes. It also includes support for event</t>
        </is>
      </c>
      <c r="I384" t="n">
        <v>0.0036</v>
      </c>
      <c r="J384" t="n">
        <v>0.0588</v>
      </c>
      <c r="K384" t="n">
        <v>0.1136</v>
      </c>
      <c r="L384" t="inlineStr">
        <is>
          <t>The code defines a class called HystrixCommand which serves as a wrapper around other code that needs to be executed. It provides several features such as execution isolation, fallback, caching, metrics tracking, and more. The command can be configured using properties files, strategy patterns, or event hooks.</t>
        </is>
      </c>
      <c r="M384" t="n">
        <v>0.0039</v>
      </c>
      <c r="N384" t="n">
        <v>0.0364</v>
      </c>
      <c r="O384" t="n">
        <v>0.08400000000000001</v>
      </c>
    </row>
    <row r="385">
      <c r="A385" t="inlineStr">
        <is>
          <t>hystrix</t>
        </is>
      </c>
      <c r="B385" t="inlineStr">
        <is>
          <t>hystrix-core/src/main/java/com/netflix/hystrix/HystrixRequestLog.java</t>
        </is>
      </c>
      <c r="C385">
        <f>HYPERLINK("https://github.com/Netflix/Hystrix/blob/master/hystrix-core/src/main/java/com/netflix/hystrix/HystrixRequestLog.java")</f>
        <v/>
      </c>
      <c r="D385" t="inlineStr">
        <is>
          <t>The provided code appears to be part of a Java library called Hystrix, which provides a set of tools for implementing circuit breakers and fallbacks in distributed systems. It includes classes for managing request contexts, handling errors, and providing metrics and monitoring capabilities. The code also defines a custom `HystrixConcurrencyStrategy` class that allows developers to implement their own threading</t>
        </is>
      </c>
      <c r="E385" t="n">
        <v>0.0031</v>
      </c>
      <c r="F385" t="n">
        <v>0.0597</v>
      </c>
      <c r="G385" t="n">
        <v>0.1145</v>
      </c>
      <c r="H385" t="inlineStr">
        <is>
          <t>The provided code is a Java package named `com.netflix.hystrix` that implements various functionalities related to request processing and circuit breaker logic. It includes several classes and interfaces, each with its own purpose. Some of these classes include:
* `HystrixRequestEventsStream`: This class manages the stream of events generated during requests.
* `</t>
        </is>
      </c>
      <c r="I385" t="n">
        <v>0.0051</v>
      </c>
      <c r="J385" t="n">
        <v>0.1379</v>
      </c>
      <c r="K385" t="n">
        <v>0.2033</v>
      </c>
      <c r="L385" t="inlineStr">
        <is>
          <t>The provided code defines a package called `com.netflix.hystrix` that provides various classes related to Hystrix, a library used for implementing circuit breakers in Java applications. The package includes several classes such as `HystrixCommand`, `HystrixObservableCommand`, `HystrixRequestEventsStream`, and others. These classes provide functions for managing requests</t>
        </is>
      </c>
      <c r="M385" t="n">
        <v>0.0042</v>
      </c>
      <c r="N385" t="n">
        <v>0.0741</v>
      </c>
      <c r="O385" t="n">
        <v>0.1293</v>
      </c>
    </row>
    <row r="386">
      <c r="A386" t="inlineStr">
        <is>
          <t>hystrix</t>
        </is>
      </c>
      <c r="B386" t="inlineStr">
        <is>
          <t>hystrix-core/src/main/java/com/netflix/hystrix/HystrixThreadPoolProperties.java</t>
        </is>
      </c>
      <c r="C386">
        <f>HYPERLINK("https://github.com/Netflix/Hystrix/blob/master/hystrix-core/src/main/java/com/netflix/hystrix/HystrixThreadPoolProperties.java")</f>
        <v/>
      </c>
      <c r="D386" t="inlineStr">
        <is>
          <t>This Java package `com.netflix.hystrix` appears to be part of a larger system that provides various utilities and tools for building scalable and fault-tolerant systems. The package includes several classes and interfaces related to thread management, property management, and command execution.
The main class `HystrixCommand` defines a base interface for executing commands as</t>
        </is>
      </c>
      <c r="E386" t="n">
        <v>0.0042</v>
      </c>
      <c r="F386" t="n">
        <v>0.0635</v>
      </c>
      <c r="G386" t="n">
        <v>0.121</v>
      </c>
      <c r="H386" t="inlineStr">
        <is>
          <t>This code appears to be part of a Java project that implements a Hystrix library for handling concurrent requests. The library provides a set of classes and interfaces for implementing circuit breakers, fallback methods, and other features related to managing asynchronous operations.
The code defines several classes and interfaces, including `HystrixCommand`, which represents a command that can be executed asynchronously</t>
        </is>
      </c>
      <c r="I386" t="n">
        <v>0.004</v>
      </c>
      <c r="J386" t="n">
        <v>0.0882</v>
      </c>
      <c r="K386" t="n">
        <v>0.1515</v>
      </c>
      <c r="L386" t="inlineStr">
        <is>
          <t>The code defines a custom thread pool executor that extends the default Java `ThreadPoolExecutor` class. It adds some additional features such as dynamic configuration of the maximum number of threads and queue size through Hystrix properties. The executor also includes a shutdown hook to ensure proper cleanup when the application shuts down.</t>
        </is>
      </c>
      <c r="M386" t="n">
        <v>0.0035</v>
      </c>
      <c r="N386" t="n">
        <v>0.0333</v>
      </c>
      <c r="O386" t="n">
        <v>0.0403</v>
      </c>
    </row>
    <row r="387">
      <c r="A387" t="inlineStr">
        <is>
          <t>hystrix</t>
        </is>
      </c>
      <c r="B387" t="inlineStr">
        <is>
          <t>hystrix-core/src/main/java/com/netflix/hystrix/HystrixCommand.java</t>
        </is>
      </c>
      <c r="C387">
        <f>HYPERLINK("https://github.com/Netflix/Hystrix/blob/master/hystrix-core/src/main/java/com/netflix/hystrix/HystrixCommand.java")</f>
        <v/>
      </c>
      <c r="D387" t="inlineStr">
        <is>
          <t>The provided code appears to be a Java implementation of a Hystrix command that allows for asynchronous execution of tasks with timeout and fallback mechanisms. It uses RxJava for implementing reactive programming concepts such as observables and futures.
The class `HystrixCommand` defines a base interface for executing commands with timeout and fallback mechanisms. It has several methods for</t>
        </is>
      </c>
      <c r="E387" t="n">
        <v>0.0031</v>
      </c>
      <c r="F387" t="n">
        <v>0.0606</v>
      </c>
      <c r="G387" t="n">
        <v>0.1154</v>
      </c>
      <c r="H387" t="inlineStr">
        <is>
          <t>This Java package `com.netflix.hystrix` appears to be part of a larger software system that provides various tools and libraries for building scalable and fault-tolerant systems. The package includes several classes and interfaces related to implementing Hystrix, which is a library for managing and monitoring the behavior of complex systems.
The main class in this package is</t>
        </is>
      </c>
      <c r="I387" t="n">
        <v>0.0043</v>
      </c>
      <c r="J387" t="n">
        <v>0.1194</v>
      </c>
      <c r="K387" t="n">
        <v>0.1953</v>
      </c>
      <c r="L387" t="inlineStr">
        <is>
          <t>The provided code implements a Hystrix command that executes a task asynchronously using Java's `Future` interface. It provides a way to execute tasks concurrently while ensuring they are executed within a certain time limit. The code also includes error handling mechanisms to handle exceptions thrown during execution.
The command takes two arguments: a runnable task and a timeout value.</t>
        </is>
      </c>
      <c r="M387" t="n">
        <v>0.0037</v>
      </c>
      <c r="N387" t="n">
        <v>0.0588</v>
      </c>
      <c r="O387" t="n">
        <v>0.1145</v>
      </c>
    </row>
    <row r="388">
      <c r="A388" t="inlineStr">
        <is>
          <t>hystrix</t>
        </is>
      </c>
      <c r="B388" t="inlineStr">
        <is>
          <t>hystrix-core/src/main/java/com/netflix/hystrix/HystrixThreadPool.java</t>
        </is>
      </c>
      <c r="C388">
        <f>HYPERLINK("https://github.com/Netflix/Hystrix/blob/master/hystrix-core/src/main/java/com/netflix/hystrix/HystrixThreadPool.java")</f>
        <v/>
      </c>
      <c r="D388" t="inlineStr">
        <is>
          <t>The code appears to be part of a Java project that implements various Hystrix components, including a `HystrixConcurrencyStrategy`, `HystrixContextScheduler`, and `HystrixMetricsPublisherFactory`. These classes provide different functionalities related to thread management, scheduling, and metrics collection. The code also includes some comments and documentation about the purpose and complexity</t>
        </is>
      </c>
      <c r="E388" t="n">
        <v>0.0046</v>
      </c>
      <c r="F388" t="n">
        <v>0.1091</v>
      </c>
      <c r="G388" t="n">
        <v>0.1261</v>
      </c>
      <c r="H388" t="inlineStr">
        <is>
          <t>This Java package `com.netflix.hystrix` contains backend software components that implement core algorithms. The package includes classes related to Hystrix, which is a library used for implementing circuit breakers and fallback logic in microservices architecture. It also includes classes related to metrics publishing and properties management. The package has been developed using the Apache License version 2.0,</t>
        </is>
      </c>
      <c r="I388" t="n">
        <v>0.0046</v>
      </c>
      <c r="J388" t="n">
        <v>0.1791</v>
      </c>
      <c r="K388" t="n">
        <v>0.2344</v>
      </c>
      <c r="L388" t="inlineStr">
        <is>
          <t>The provided code defines a class named `HystrixCommand` that implements the `IHystrixCommand` interface. It has several fields and methods related to command execution, fallback handling, metrics publishing, and thread isolation. The class also initializes various Hystrix plugins, including a concurrency strategy, a scheduler, and a properties factory. Overall, the code</t>
        </is>
      </c>
      <c r="M388" t="n">
        <v>0.0044</v>
      </c>
      <c r="N388" t="n">
        <v>0.06900000000000001</v>
      </c>
      <c r="O388" t="n">
        <v>0.082</v>
      </c>
    </row>
    <row r="389">
      <c r="A389" t="inlineStr">
        <is>
          <t>hystrix</t>
        </is>
      </c>
      <c r="B389" t="inlineStr">
        <is>
          <t>hystrix-core/src/main/java/com/netflix/hystrix/HystrixEventType.java</t>
        </is>
      </c>
      <c r="C389">
        <f>HYPERLINK("https://github.com/Netflix/Hystrix/blob/master/hystrix-core/src/main/java/com/netflix/hystrix/HystrixEventType.java")</f>
        <v/>
      </c>
      <c r="D389" t="inlineStr">
        <is>
          <t>The `HystrixEventType` class defines various events that can occur during the execution of a command in the Hystrix library. It provides an enumeration of all possible event types, along with their corresponding boolean values indicating whether they represent success or failure.
The class also includes a constructor that takes a single parameter, which specifies whether the event represents a successful outcome (true</t>
        </is>
      </c>
      <c r="E389" t="n">
        <v>0</v>
      </c>
      <c r="F389" t="n">
        <v>0</v>
      </c>
      <c r="G389" t="n">
        <v>0</v>
      </c>
      <c r="H389" t="inlineStr">
        <is>
          <t>This code defines an enumeration called `HystrixEventType` that represents various events that can occur during the execution of a command in the Hystrix library. The enumeration has several values, each representing a different type of event. Some of these events include success, failure, timeout, short-circuiting, semaphore-rejection, thread-pool-rejection</t>
        </is>
      </c>
      <c r="I389" t="n">
        <v>0.0039</v>
      </c>
      <c r="J389" t="n">
        <v>0.0339</v>
      </c>
      <c r="K389" t="n">
        <v>0.042</v>
      </c>
      <c r="L389" t="inlineStr">
        <is>
          <t>The `HystrixEventType` class defines various states/events that execution can result in or have tracked. It provides a list of events, each represented as an instance of the `HystrixEventType` enumeration. Each event has a name, a boolean indicating whether it represents success or failure, and a number of other properties related to tracking and reporting.</t>
        </is>
      </c>
      <c r="M389" t="n">
        <v>0.0034</v>
      </c>
      <c r="N389" t="n">
        <v>0.0317</v>
      </c>
      <c r="O389" t="n">
        <v>0.0397</v>
      </c>
    </row>
    <row r="390">
      <c r="A390" t="inlineStr">
        <is>
          <t>hystrix</t>
        </is>
      </c>
      <c r="B390" t="inlineStr">
        <is>
          <t>hystrix-core/src/main/java/com/netflix/hystrix/HystrixCircuitBreaker.java</t>
        </is>
      </c>
      <c r="C390">
        <f>HYPERLINK("https://github.com/Netflix/Hystrix/blob/master/hystrix-core/src/main/java/com/netflix/hystrix/HystrixCircuitBreaker.java")</f>
        <v/>
      </c>
      <c r="D390" t="inlineStr">
        <is>
          <t>The provided code defines a class called `CircuitBreaker` that implements circuit breaker logic for a hypothetical command execution system. It uses Java's `rx` library for asynchronous programming and has dependencies on other classes from the same package.
The class maintains two main data structures:
* A map of `HystrixCommand` objects to their corresponding `</t>
        </is>
      </c>
      <c r="E390" t="n">
        <v>0.004</v>
      </c>
      <c r="F390" t="n">
        <v>0.06560000000000001</v>
      </c>
      <c r="G390" t="n">
        <v>0.119</v>
      </c>
      <c r="H390" t="inlineStr">
        <is>
          <t>This code defines a circuit breaker class called `HystrixCircuitBreaker` that is used to prevent cascading failures in a system when multiple dependent services are failing. The class has several methods that control the state of the circuit breaker, such as `allowRequest`, which determines whether a request should be allowed based on the current state of the circuit breaker,</t>
        </is>
      </c>
      <c r="I390" t="n">
        <v>0.0031</v>
      </c>
      <c r="J390" t="n">
        <v>0.0303</v>
      </c>
      <c r="K390" t="n">
        <v>0.0769</v>
      </c>
      <c r="L390" t="inlineStr">
        <is>
          <t>The code defines a circuit breaker mechanism for handling failures in Hystrix commands. It uses a concurrent hash map to store metrics related to command executions, including counts of successful and failed attempts, as well as health counts. When a certain number of consecutive failures occurs, the circuit breaker trips, preventing further executions until the failure rate decreases. The circuit break</t>
        </is>
      </c>
      <c r="M390" t="n">
        <v>0.003</v>
      </c>
      <c r="N390" t="n">
        <v>0.029</v>
      </c>
      <c r="O390" t="n">
        <v>0.0752</v>
      </c>
    </row>
    <row r="391">
      <c r="A391" t="inlineStr">
        <is>
          <t>hystrix</t>
        </is>
      </c>
      <c r="B391" t="inlineStr">
        <is>
          <t>hystrix-core/src/main/java/com/netflix/hystrix/HystrixExecutable.java</t>
        </is>
      </c>
      <c r="C391">
        <f>HYPERLINK("https://github.com/Netflix/Hystrix/blob/master/hystrix-core/src/main/java/com/netflix/hystrix/HystrixExecutable.java")</f>
        <v/>
      </c>
      <c r="D391" t="inlineStr">
        <is>
          <t>The code defines a Java class called `HystrixCommand` that implements a common interface for executing commands asynchronously. It has several methods for setting properties such as execution isolation strategy, timeouts, and fallback logic. Additionally, it provides a method for retrieving the result of the command execution asynchronously using RxJava's `Observable`.
The class also</t>
        </is>
      </c>
      <c r="E391" t="n">
        <v>0.0045</v>
      </c>
      <c r="F391" t="n">
        <v>0.0968</v>
      </c>
      <c r="G391" t="n">
        <v>0.16</v>
      </c>
      <c r="H391" t="inlineStr">
        <is>
          <t>This is a Java library containing classes related to the implementation of a command pattern. The package name is `com.netflix.hystrix`, which suggests that it is part of a larger project called Netflix Hystrix. The library provides several classes, including `HystrixCommand` and `HystrixCommandGroupKey`. These classes define interfaces for executing commands as</t>
        </is>
      </c>
      <c r="I391" t="n">
        <v>0.0044</v>
      </c>
      <c r="J391" t="n">
        <v>0.1</v>
      </c>
      <c r="K391" t="n">
        <v>0.1639</v>
      </c>
      <c r="L391" t="inlineStr">
        <is>
          <t>The provided code defines a class called `HystrixCommand` that implements the `Future` interface from Java's concurrent package. It also uses RxJava observables and has dependencies on other classes named `HystrixCommandProperties`, `HystrixBadRequestException`, and `HystrixRuntimeException`.
The class appears to be responsible for executing commands asynchronously</t>
        </is>
      </c>
      <c r="M391" t="n">
        <v>0.0051</v>
      </c>
      <c r="N391" t="n">
        <v>0.0769</v>
      </c>
      <c r="O391" t="n">
        <v>0.1304</v>
      </c>
    </row>
    <row r="392">
      <c r="A392" t="inlineStr">
        <is>
          <t>hystrix</t>
        </is>
      </c>
      <c r="B392" t="inlineStr">
        <is>
          <t>hystrix-core/src/main/java/com/netflix/hystrix/HystrixCollapserProperties.java</t>
        </is>
      </c>
      <c r="C392">
        <f>HYPERLINK("https://github.com/Netflix/Hystrix/blob/master/hystrix-core/src/main/java/com/netflix/hystrix/HystrixCollapserProperties.java")</f>
        <v/>
      </c>
      <c r="D392" t="inlineStr">
        <is>
          <t>This Java package `com.netflix.hystrix` appears to be part of a larger software system that provides various functionalities related to implementing and managing backend systems. The package includes several classes and interfaces that define properties and strategies used in Hystrix, which is a library for handling errors and latency in complex systems.
The main class in this package is</t>
        </is>
      </c>
      <c r="E392" t="n">
        <v>0.0041</v>
      </c>
      <c r="F392" t="n">
        <v>0.1176</v>
      </c>
      <c r="G392" t="n">
        <v>0.1923</v>
      </c>
      <c r="H392" t="inlineStr">
        <is>
          <t>This code appears to be part of a Java project that implements the Hystrix library. The main class, `com.netflix.hystrix.HystrixCommand`, provides a base implementation for implementing commands that can fail and fallback to alternative implementations. It also defines several properties that can be used to configure the behavior of these commands, such as timeouts, circuit break</t>
        </is>
      </c>
      <c r="I392" t="n">
        <v>0.0044</v>
      </c>
      <c r="J392" t="n">
        <v>0.09089999999999999</v>
      </c>
      <c r="K392" t="n">
        <v>0.1575</v>
      </c>
      <c r="L392" t="inlineStr">
        <is>
          <t>The provided code defines a class named `HystrixCommand` that implements the `IHystrixCommand` interface. It appears to be responsible for implementing the Hystrix command pattern, which allows developers to implement fault tolerance and isolation in their applications using the Hystrix library.
The class has several methods that allow users to configure various properties related to the command,</t>
        </is>
      </c>
      <c r="M392" t="n">
        <v>0.0039</v>
      </c>
      <c r="N392" t="n">
        <v>0.0625</v>
      </c>
      <c r="O392" t="n">
        <v>0.1172</v>
      </c>
    </row>
    <row r="393">
      <c r="A393" t="inlineStr">
        <is>
          <t>hystrix</t>
        </is>
      </c>
      <c r="B393" t="inlineStr">
        <is>
          <t>hystrix-core/src/main/java/com/netflix/hystrix/HystrixCollapser.java</t>
        </is>
      </c>
      <c r="C393">
        <f>HYPERLINK("https://github.com/Netflix/Hystrix/blob/master/hystrix-core/src/main/java/com/netflix/hystrix/HystrixCollapser.java")</f>
        <v/>
      </c>
      <c r="D393" t="inlineStr">
        <is>
          <t>The provided code defines a Java class named `HystrixCollapser` that implements the `RequestCollapser` interface from the Hystrix library. It provides methods for creating collapsed requests using the Hystrix command pattern. The class also includes a factory method for creating instances of the `HystrixCollapser` class.
The `HystrixCol</t>
        </is>
      </c>
      <c r="E393" t="n">
        <v>0.004</v>
      </c>
      <c r="F393" t="n">
        <v>0.037</v>
      </c>
      <c r="G393" t="n">
        <v>0.0847</v>
      </c>
      <c r="H393" t="inlineStr">
        <is>
          <t>This code appears to be a Java library containing various classes and interfaces related to implementing a backend system using Hystrix, which is a circuit breaker pattern designed to prevent cascading failures in complex systems. The library includes several classes that implement different aspects of the Hystrix design pattern, such as `HystrixCommand` and `HystrixObservableCommand`, which represent commands</t>
        </is>
      </c>
      <c r="I393" t="n">
        <v>0.0038</v>
      </c>
      <c r="J393" t="n">
        <v>0.09229999999999999</v>
      </c>
      <c r="K393" t="n">
        <v>0.155</v>
      </c>
      <c r="L393" t="inlineStr">
        <is>
          <t>The provided code defines a class named `HystrixCollapser` that implements the `RequestCollapser` interface. It is part of the Hystrix library, which provides a mechanism for collapsing multiple requests into a single request using a timer. The class has several dependencies, including `HystrixCommandProperties`, `ExecutionIsolationStrategy`, `Collapser</t>
        </is>
      </c>
      <c r="M393" t="n">
        <v>0.0042</v>
      </c>
      <c r="N393" t="n">
        <v>0.0385</v>
      </c>
      <c r="O393" t="n">
        <v>0.0862</v>
      </c>
    </row>
    <row r="394">
      <c r="A394" t="inlineStr">
        <is>
          <t>hystrix</t>
        </is>
      </c>
      <c r="B394" t="inlineStr">
        <is>
          <t>hystrix-core/src/main/java/com/netflix/hystrix/HystrixCommandResponseFromCache.java</t>
        </is>
      </c>
      <c r="C394">
        <f>HYPERLINK("https://github.com/Netflix/Hystrix/blob/master/hystrix-core/src/main/java/com/netflix/hystrix/HystrixCommandResponseFromCache.java")</f>
        <v/>
      </c>
      <c r="D394" t="inlineStr">
        <is>
          <t>This is a Java class that represents a response from a cache for a command in the Hystrix library. It takes two arguments: `originalObservable` which is an observable representing the result of the command execution, and `originalCommand` which is the original command object. The class has one method called `toObservableWithStateCopiedInto`, which returns an observable that copies the</t>
        </is>
      </c>
      <c r="E394" t="n">
        <v>0.0038</v>
      </c>
      <c r="F394" t="n">
        <v>0.0615</v>
      </c>
      <c r="G394" t="n">
        <v>0.0775</v>
      </c>
      <c r="H394" t="inlineStr">
        <is>
          <t>The `HystrixCommandResponseFromCache` class is a subclass of `HystrixCachedObservable`, which caches the results of an observable sequence. It takes in an `AbstractCommand` object as input and returns an observable sequence that wraps the original observable sequence with caching logic. When the cache is hit, it returns the cached result instead of executing the original observable sequence.</t>
        </is>
      </c>
      <c r="I394" t="n">
        <v>0.004</v>
      </c>
      <c r="J394" t="n">
        <v>0.0635</v>
      </c>
      <c r="K394" t="n">
        <v>0.07870000000000001</v>
      </c>
      <c r="L394" t="inlineStr">
        <is>
          <t>The `HystrixCommandResponseFromCache` class is a subclass of `HystrixCachedObservable`, which represents a response from cache for a given command. It takes two arguments: `originalObservable` and `originalCommand`. The `toObservableWithStateCopiedInto` method returns an observable that copies the state of the original command into the specified command.</t>
        </is>
      </c>
      <c r="M394" t="n">
        <v>0.0043</v>
      </c>
      <c r="N394" t="n">
        <v>0.0392</v>
      </c>
      <c r="O394" t="n">
        <v>0.0435</v>
      </c>
    </row>
    <row r="395">
      <c r="A395" t="inlineStr">
        <is>
          <t>hystrix</t>
        </is>
      </c>
      <c r="B395" t="inlineStr">
        <is>
          <t>hystrix-core/src/main/java/com/netflix/hystrix/HystrixObservable.java</t>
        </is>
      </c>
      <c r="C395">
        <f>HYPERLINK("https://github.com/Netflix/Hystrix/blob/master/hystrix-core/src/main/java/com/netflix/hystrix/HystrixObservable.java")</f>
        <v/>
      </c>
      <c r="D395" t="inlineStr">
        <is>
          <t>The provided code defines a class called `HystrixCommand` which implements the `Observable` interface from RX Java library. It provides a common interface for executing commands asynchronously and returning results through Observables. The class has several important features such as execution isolation strategies, exception handling, and support for fallback values.
The `HystrixCommand` class takes</t>
        </is>
      </c>
      <c r="E395" t="n">
        <v>0.0041</v>
      </c>
      <c r="F395" t="n">
        <v>0.06560000000000001</v>
      </c>
      <c r="G395" t="n">
        <v>0.08</v>
      </c>
      <c r="H395" t="inlineStr">
        <is>
          <t>This is a Java library containing classes related to implementing Hystrix, a fault tolerance and observability library for microservices architecture. The library provides a common interface for executables that can be observed using RxJava Observables and implements various algorithms for managing execution isolation, error handling, and fallback behavior.</t>
        </is>
      </c>
      <c r="I395" t="n">
        <v>0.005</v>
      </c>
      <c r="J395" t="n">
        <v>0.1071</v>
      </c>
      <c r="K395" t="n">
        <v>0.1667</v>
      </c>
      <c r="L395" t="inlineStr">
        <is>
          <t>The provided code defines a class called `HystrixCommand` which implements the `Observable` interface. It provides a common interface for executing commands that can be used to perform various tasks asynchronously. The class has several properties and methods that allow for customization of the command's execution, such as setting the isolation strategy, defining fallback behaviors, and handling errors.</t>
        </is>
      </c>
      <c r="M395" t="n">
        <v>0.0038</v>
      </c>
      <c r="N395" t="n">
        <v>0.0606</v>
      </c>
      <c r="O395" t="n">
        <v>0.1163</v>
      </c>
    </row>
    <row r="396">
      <c r="A396" t="inlineStr">
        <is>
          <t>hystrix</t>
        </is>
      </c>
      <c r="B396" t="inlineStr">
        <is>
          <t>hystrix-core/src/main/java/com/netflix/hystrix/Hystrix.java</t>
        </is>
      </c>
      <c r="C396">
        <f>HYPERLINK("https://github.com/Netflix/Hystrix/blob/master/hystrix-core/src/main/java/com/netflix/hystrix/Hystrix.java")</f>
        <v/>
      </c>
      <c r="D396" t="inlineStr">
        <is>
          <t>This code appears to be part of a Java library for managing the lifecycle of objects. It defines a class called `Hystrix` that has several methods for managing the lifecycle of instances of other classes. The main method of interest seems to be `start()`, which takes an instance of another class as its argument and starts it up. Other methods include `stop()` and `</t>
        </is>
      </c>
      <c r="E396" t="n">
        <v>0.0034</v>
      </c>
      <c r="F396" t="n">
        <v>0.0563</v>
      </c>
      <c r="G396" t="n">
        <v>0.1103</v>
      </c>
      <c r="H396" t="inlineStr">
        <is>
          <t>This Java package named `com.netflix.hystrix` appears to be part of a larger software project that provides various utilities for managing the lifecycle of backend services. The package includes several classes and interfaces related to the implementation of core algorithms and the management of service instances.
The main class of interest in this package seems to be `HystrixCommand`,</t>
        </is>
      </c>
      <c r="I396" t="n">
        <v>0.0045</v>
      </c>
      <c r="J396" t="n">
        <v>0.1493</v>
      </c>
      <c r="K396" t="n">
        <v>0.2326</v>
      </c>
      <c r="L396" t="inlineStr">
        <is>
          <t>The code implements a lifecycle manager for Hystrix, a library used for managing and monitoring application performance. It provides methods for initializing, shutting down, and configuring the Hystrix system. The class also includes methods for registering plugins and properties factories, as well as logging and exception handling. Overall, the code appears to be responsible for setting up and te</t>
        </is>
      </c>
      <c r="M396" t="n">
        <v>0.0037</v>
      </c>
      <c r="N396" t="n">
        <v>0.0597</v>
      </c>
      <c r="O396" t="n">
        <v>0.1145</v>
      </c>
    </row>
    <row r="397">
      <c r="A397" t="inlineStr">
        <is>
          <t>hystrix</t>
        </is>
      </c>
      <c r="B397" t="inlineStr">
        <is>
          <t>hystrix-core/src/main/java/com/netflix/hystrix/HystrixCollapserMetrics.java</t>
        </is>
      </c>
      <c r="C397">
        <f>HYPERLINK("https://github.com/Netflix/Hystrix/blob/master/hystrix-core/src/main/java/com/netflix/hystrix/HystrixCollapserMetrics.java")</f>
        <v/>
      </c>
      <c r="D397" t="inlineStr">
        <is>
          <t>This code appears to be part of a Java project that implements various Hystrix metrics consumers. The package `com.netflix.hystrix` defines classes related to Hystrix, which is a library used for implementing circuit breakers and fallbacks in Java applications.
The code imports several other packages, including `com.netflix.hystrix</t>
        </is>
      </c>
      <c r="E397" t="n">
        <v>0.0053</v>
      </c>
      <c r="F397" t="n">
        <v>0.1034</v>
      </c>
      <c r="G397" t="n">
        <v>0.1695</v>
      </c>
      <c r="H397" t="inlineStr">
        <is>
          <t>This code appears to be part of a Java project that implements various Hystrix metrics consumers. The package name suggests that it is related to the Hystrix library, which provides circuit breaker pattern implementation for microservices architecture.
The code defines several classes that implement different types of metric streams for Hystrix collapser events. These include:
* Cumulative</t>
        </is>
      </c>
      <c r="I397" t="n">
        <v>0.0038</v>
      </c>
      <c r="J397" t="n">
        <v>0.0625</v>
      </c>
      <c r="K397" t="n">
        <v>0.1163</v>
      </c>
      <c r="L397" t="inlineStr">
        <is>
          <t>The provided code defines a Hystrix collapser that allows multiple requests to be batched together into a single request. It uses the CumulativeCollapserEventCounterStream and RollingCollapserEventCounterStream classes from the Hystrix metric package to track metrics such as the number of successful and failed batches, and the size distribution of batches. The code also</t>
        </is>
      </c>
      <c r="M397" t="n">
        <v>0.0035</v>
      </c>
      <c r="N397" t="n">
        <v>0.0333</v>
      </c>
      <c r="O397" t="n">
        <v>0.0806</v>
      </c>
    </row>
    <row r="398">
      <c r="A398" t="inlineStr">
        <is>
          <t>hystrix</t>
        </is>
      </c>
      <c r="B398" t="inlineStr">
        <is>
          <t>hystrix-core/src/main/java/com/netflix/hystrix/HystrixKey.java</t>
        </is>
      </c>
      <c r="C398">
        <f>HYPERLINK("https://github.com/Netflix/Hystrix/blob/master/hystrix-core/src/main/java/com/netflix/hystrix/HystrixKey.java")</f>
        <v/>
      </c>
      <c r="D398" t="inlineStr">
        <is>
          <t>This code defines an interface called `HystrixKey` with one method called `name()`, which returns a string representing the key of a hystrix command or thread pool. It also includes a default implementation of the interface called `HystrixKeyDefault`, which takes a string as its constructor argument and has methods for accessing and overriding the `name()` method.</t>
        </is>
      </c>
      <c r="E398" t="n">
        <v>0.004</v>
      </c>
      <c r="F398" t="n">
        <v>0.09520000000000001</v>
      </c>
      <c r="G398" t="n">
        <v>0.1181</v>
      </c>
      <c r="H398" t="inlineStr">
        <is>
          <t>This Java package `com.netflix.hystrix` defines an interface called `HystrixKey`, which provides a basic implementation for storing and retrieving strings. The interface has a single method called `name()` that returns a string value. The default implementation of the interface is also included in the package as a nested class called `HystrixKeyDefault`.
The</t>
        </is>
      </c>
      <c r="I398" t="n">
        <v>0.0043</v>
      </c>
      <c r="J398" t="n">
        <v>0.0984</v>
      </c>
      <c r="K398" t="n">
        <v>0.122</v>
      </c>
      <c r="L398" t="inlineStr">
        <is>
          <t>The provided code defines a basic interface called "HystrixKey" which provides a method named "name()" that returns a string value. The interface also has an abstract class called "HystrixKeyDefault" that implements the interface and provides a default implementation of the "name()" method. The class takes a string argument in its constructor and stores it as a field. The "toString()"</t>
        </is>
      </c>
      <c r="M398" t="n">
        <v>0.0037</v>
      </c>
      <c r="N398" t="n">
        <v>0.0597</v>
      </c>
      <c r="O398" t="n">
        <v>0.07630000000000001</v>
      </c>
    </row>
    <row r="399">
      <c r="A399" t="inlineStr">
        <is>
          <t>hystrix</t>
        </is>
      </c>
      <c r="B399" t="inlineStr">
        <is>
          <t>hystrix-core/src/main/java/com/netflix/hystrix/HystrixInvokableInfo.java</t>
        </is>
      </c>
      <c r="C399">
        <f>HYPERLINK("https://github.com/Netflix/Hystrix/blob/master/hystrix-core/src/main/java/com/netflix/hystrix/HystrixInvokableInfo.java")</f>
        <v/>
      </c>
      <c r="D399" t="inlineStr">
        <is>
          <t>The `HystrixInvokableInfo` interface defines methods that provide information about a command execution. It includes the following methods:
* `getCommandGroup()`: Returns the group key for the command.
* `getCommandKey()`: Returns the key for the command.
* `getThreadPoolKey()`: Returns the thread pool key for the command.
* `</t>
        </is>
      </c>
      <c r="E399" t="n">
        <v>0</v>
      </c>
      <c r="F399" t="n">
        <v>0</v>
      </c>
      <c r="G399" t="n">
        <v>0</v>
      </c>
      <c r="H399" t="inlineStr">
        <is>
          <t>This code defines an interface called `HystrixInvokableInfo` that represents a command in the Hystrix library. It has several methods that provide information about the command, such as its group key, key, thread pool key, cache key, and collapser key. The interface also includes a `getPublicCacheKey()` method that returns the cache key for the command.</t>
        </is>
      </c>
      <c r="I399" t="n">
        <v>0.004</v>
      </c>
      <c r="J399" t="n">
        <v>0.0645</v>
      </c>
      <c r="K399" t="n">
        <v>0.0794</v>
      </c>
      <c r="L399" t="inlineStr">
        <is>
          <t>The code defines an interface named `HystrixInvokableInfo` that provides methods for retrieving various pieces of information about a command execution, such as the command group, command key, thread pool key, cache key, and collapser key.</t>
        </is>
      </c>
      <c r="M399" t="n">
        <v>0.0053</v>
      </c>
      <c r="N399" t="n">
        <v>0.0465</v>
      </c>
      <c r="O399" t="n">
        <v>0.0467</v>
      </c>
    </row>
    <row r="400">
      <c r="A400" t="inlineStr">
        <is>
          <t>hystrix</t>
        </is>
      </c>
      <c r="B400" t="inlineStr">
        <is>
          <t>hystrix-core/src/main/java/com/netflix/hystrix/HystrixRequestCache.java</t>
        </is>
      </c>
      <c r="C400">
        <f>HYPERLINK("https://github.com/Netflix/Hystrix/blob/master/hystrix-core/src/main/java/com/netflix/hystrix/HystrixRequestCache.java")</f>
        <v/>
      </c>
      <c r="D400" t="inlineStr">
        <is>
          <t>This code appears to be part of a Java library called Hystrix, which provides a set of tools for implementing circuit breakers and fallbacks in your application's architecture. The code defines several classes that implement various aspects of Hystrix's behavior, such as request variable management, concurrency strategies, and logging. It also includes some documentation about the project's purpose</t>
        </is>
      </c>
      <c r="E400" t="n">
        <v>0.0037</v>
      </c>
      <c r="F400" t="n">
        <v>0.08699999999999999</v>
      </c>
      <c r="G400" t="n">
        <v>0.1538</v>
      </c>
      <c r="H400" t="inlineStr">
        <is>
          <t>This code appears to be part of a Java project that implements various Hystrix request variables for handling concurrent requests. The package name suggests that it belongs to the Hystrix framework, which provides tools for managing and isolating execution threads in complex systems.
The code defines several classes related to Hystrix request variables, including `HystrixConcurrencyStrategy`, `Hyst</t>
        </is>
      </c>
      <c r="I400" t="n">
        <v>0.0043</v>
      </c>
      <c r="J400" t="n">
        <v>0.09379999999999999</v>
      </c>
      <c r="K400" t="n">
        <v>0.1563</v>
      </c>
      <c r="L400" t="inlineStr">
        <is>
          <t>The provided code implements Hystrix, a library that provides fault tolerance and performance optimization for Java applications. It provides a way to wrap calls to external services and monitor their performance, allowing developers to implement fallback mechanisms when necessary. The code also includes support for request variables, which can be used to store stateful data across requests. Overall, the code appears to provide a robust</t>
        </is>
      </c>
      <c r="M400" t="n">
        <v>0.0033</v>
      </c>
      <c r="N400" t="n">
        <v>0.0548</v>
      </c>
      <c r="O400" t="n">
        <v>0.1095</v>
      </c>
    </row>
    <row r="401">
      <c r="A401" t="inlineStr">
        <is>
          <t>hystrix</t>
        </is>
      </c>
      <c r="B401" t="inlineStr">
        <is>
          <t>hystrix-core/src/main/java/com/netflix/hystrix/HystrixCommandGroupKey.java</t>
        </is>
      </c>
      <c r="C401">
        <f>HYPERLINK("https://github.com/Netflix/Hystrix/blob/master/hystrix-core/src/main/java/com/netflix/hystrix/HystrixCommandGroupKey.java")</f>
        <v/>
      </c>
      <c r="D401" t="inlineStr">
        <is>
          <t>The code defines a class called `HystrixGroupKey` that represents a group name for a `HystrixCommand`. It uses an internal map (`InternMap`) to store instances of itself. The `HystrixGroupKey` can be used to define the thread pool key for a command if it is not explicitly set.</t>
        </is>
      </c>
      <c r="E401" t="n">
        <v>0</v>
      </c>
      <c r="F401" t="n">
        <v>0</v>
      </c>
      <c r="G401" t="n">
        <v>0.0424</v>
      </c>
      <c r="H401" t="inlineStr">
        <is>
          <t>The code defines a Java class named `HystrixCommandGroup` that implements the `Serializable` interface. It has several fields and methods, including a constructor, getters, setters, and a `getExecutionSemaphore()` method. The class also includes annotations for documentation purposes.
The purpose of the class appears to be to provide a way to group related instances of</t>
        </is>
      </c>
      <c r="I401" t="n">
        <v>0.0041</v>
      </c>
      <c r="J401" t="n">
        <v>0.06560000000000001</v>
      </c>
      <c r="K401" t="n">
        <v>0.08</v>
      </c>
      <c r="L401" t="inlineStr">
        <is>
          <t>The code defines a class named `HystrixCommandGroup` that represents a group name for a command. It has a constructor that takes a string argument representing the group name. The class also defines several methods related to thread pool management, including a method called `getThreadPoolKey()` that returns a `HystrixThreadPoolKey` object based on the group name.</t>
        </is>
      </c>
      <c r="M401" t="n">
        <v>0</v>
      </c>
      <c r="N401" t="n">
        <v>0</v>
      </c>
      <c r="O401" t="n">
        <v>0</v>
      </c>
    </row>
    <row r="402">
      <c r="A402" t="inlineStr">
        <is>
          <t>hystrix</t>
        </is>
      </c>
      <c r="B402" t="inlineStr">
        <is>
          <t>hystrix-core/src/main/java/com/netflix/hystrix/HystrixThreadPoolKey.java</t>
        </is>
      </c>
      <c r="C402">
        <f>HYPERLINK("https://github.com/Netflix/Hystrix/blob/master/hystrix-core/src/main/java/com/netflix/hystrix/HystrixThreadPoolKey.java")</f>
        <v/>
      </c>
      <c r="D402" t="inlineStr">
        <is>
          <t>The provided code defines an `HystrixThreadPoolKey` interface that represents a unique identifier for a thread pool used in the Hystrix library. It provides methods for getting and setting properties related to the thread pool, as well as methods for comparing and hashing the keys.
The implementation of the `HystrixThreadPoolKey` interface is based on an internal map called `intern</t>
        </is>
      </c>
      <c r="E402" t="n">
        <v>0.0031</v>
      </c>
      <c r="F402" t="n">
        <v>0.0303</v>
      </c>
      <c r="G402" t="n">
        <v>0.1154</v>
      </c>
      <c r="H402" t="inlineStr">
        <is>
          <t>The provided code defines an interface called `HystrixThreadPoolKey` that represents a key for a thread pool used in the `Hystrix` library. It provides methods for getting the name and group of the thread pool, as well as a method for checking if two instances are equal. The interface is implemented using an internal map, which allows for efficient lookups based on the name and</t>
        </is>
      </c>
      <c r="I402" t="n">
        <v>0.0028</v>
      </c>
      <c r="J402" t="n">
        <v>0.0556</v>
      </c>
      <c r="K402" t="n">
        <v>0.1103</v>
      </c>
      <c r="L402" t="inlineStr">
        <is>
          <t>The code defines a custom data structure called `HystrixThreadPoolKey` that represents a unique identifier for a thread pool used in the `Hystrix` library. It provides methods for accessing and manipulating the underlying data structure.</t>
        </is>
      </c>
      <c r="M402" t="n">
        <v>0.0055</v>
      </c>
      <c r="N402" t="n">
        <v>0.0476</v>
      </c>
      <c r="O402" t="n">
        <v>0.09429999999999999</v>
      </c>
    </row>
    <row r="403">
      <c r="A403" t="inlineStr">
        <is>
          <t>hystrix</t>
        </is>
      </c>
      <c r="B403" t="inlineStr">
        <is>
          <t>hystrix-core/src/main/java/com/netflix/hystrix/AbstractCommand.java</t>
        </is>
      </c>
      <c r="C403">
        <f>HYPERLINK("https://github.com/Netflix/Hystrix/blob/master/hystrix-core/src/main/java/com/netflix/hystrix/AbstractCommand.java")</f>
        <v/>
      </c>
      <c r="D403" t="inlineStr">
        <is>
          <t>The provided code appears to be part of a Java library for implementing circuit breakers, which are used to detect and prevent cascading failures in complex systems. It defines several classes related to circuit breaking, including `HystrixCircuitBreaker`, `HystrixCommandProperties`, and `HystrixBadRequestException`. The code also includes comments describing the purpose of each class</t>
        </is>
      </c>
      <c r="E403" t="n">
        <v>0.0036</v>
      </c>
      <c r="F403" t="n">
        <v>0.0678</v>
      </c>
      <c r="G403" t="n">
        <v>0.122</v>
      </c>
      <c r="H403" t="inlineStr">
        <is>
          <t>This code appears to be part of a Java project that implements various algorithms related to backend systems. The code is well-documented, with comments explaining the purpose of each class and method. It also includes unit tests to ensure the correctness of the code.
The `com.netflix.hystrix` package contains several classes that implement different aspects of Hystrix,</t>
        </is>
      </c>
      <c r="I403" t="n">
        <v>0.0043</v>
      </c>
      <c r="J403" t="n">
        <v>0.0896</v>
      </c>
      <c r="K403" t="n">
        <v>0.1563</v>
      </c>
      <c r="L403" t="inlineStr">
        <is>
          <t>The provided code defines a class called `HystrixCommand` that represents a command object used to execute a unit of work asynchronously within a circuit breaker pattern. It provides methods for execution, fallback, and retrieving results, as well as configuration options such as timeouts and error handling. The class also implements various interfaces related to Hystrix's circuit breaking mechanism,</t>
        </is>
      </c>
      <c r="M403" t="n">
        <v>0.0037</v>
      </c>
      <c r="N403" t="n">
        <v>0.0299</v>
      </c>
      <c r="O403" t="n">
        <v>0.1154</v>
      </c>
    </row>
    <row r="404">
      <c r="A404" t="inlineStr">
        <is>
          <t>hystrix</t>
        </is>
      </c>
      <c r="B404" t="inlineStr">
        <is>
          <t>hystrix-core/src/main/java/com/netflix/hystrix/HystrixCommandKey.java</t>
        </is>
      </c>
      <c r="C404">
        <f>HYPERLINK("https://github.com/Netflix/Hystrix/blob/master/hystrix-core/src/main/java/com/netflix/hystrix/HystrixCommandKey.java")</f>
        <v/>
      </c>
      <c r="D404" t="inlineStr">
        <is>
          <t>The provided code defines a Java class called `HystrixCommandKey` that represents a unique identifier for a command used in the Hystrix library. It implements the `HystrixKey` interface and provides methods for retrieving information about the command, such as its name and group. The class also includes a static factory method for creating instances from strings.</t>
        </is>
      </c>
      <c r="E404" t="n">
        <v>0.004</v>
      </c>
      <c r="F404" t="n">
        <v>0.0635</v>
      </c>
      <c r="G404" t="n">
        <v>0.1181</v>
      </c>
      <c r="H404" t="inlineStr">
        <is>
          <t>The code defines an interface called `HystrixCommandKey` which represents a unique identifier for a command used in various parts of the system, including monitoring, circuit breakers, metrics publishing, and caching. It is designed to work natively with enums, meaning it can be implemented as an enum.</t>
        </is>
      </c>
      <c r="I404" t="n">
        <v>0.004</v>
      </c>
      <c r="J404" t="n">
        <v>0.037</v>
      </c>
      <c r="K404" t="n">
        <v>0.1271</v>
      </c>
      <c r="L404" t="inlineStr">
        <is>
          <t>The code defines a class called HystrixCommandKey, which represents a unique identifier for a HystrixCommand object. It is used for monitoring, circuit-breaker management, metric collection, caching, and other purposes. The class inherits from the HystrixKey interface and provides a simple implementation using enums.</t>
        </is>
      </c>
      <c r="M404" t="n">
        <v>0.0043</v>
      </c>
      <c r="N404" t="n">
        <v>0.0385</v>
      </c>
      <c r="O404" t="n">
        <v>0.1304</v>
      </c>
    </row>
    <row r="405">
      <c r="A405" t="inlineStr">
        <is>
          <t>hystrix</t>
        </is>
      </c>
      <c r="B405" t="inlineStr">
        <is>
          <t>hystrix-core/src/main/java/com/netflix/hystrix/HystrixObservableCollapser.java</t>
        </is>
      </c>
      <c r="C405">
        <f>HYPERLINK("https://github.com/Netflix/Hystrix/blob/master/hystrix-core/src/main/java/com/netflix/hystrix/HystrixObservableCollapser.java")</f>
        <v/>
      </c>
      <c r="D405" t="inlineStr">
        <is>
          <t>This code appears to be part of a Java project that implements various functionalities related to collapsing requests into fewer calls using Hystrix. The code defines several classes and interfaces, including `HystrixCollapser`, `HystrixCommandProperties`, `ExecutionIsolationStrategy`, `RealCollapserTimer`, and `RequestCollapser`. It also imports several other</t>
        </is>
      </c>
      <c r="E405" t="n">
        <v>0.0058</v>
      </c>
      <c r="F405" t="n">
        <v>0.16</v>
      </c>
      <c r="G405" t="n">
        <v>0.1754</v>
      </c>
      <c r="H405" t="inlineStr">
        <is>
          <t>This code appears to be part of a Java project that implements various components related to backend systems. The code includes several classes and interfaces, including `HystrixCollapser`, `HystrixCommandProperties`, and `RealCollapserTimer`. It also imports several other packages, such as `com.netflix.hystrix` and `com.netflix.</t>
        </is>
      </c>
      <c r="I405" t="n">
        <v>0.0059</v>
      </c>
      <c r="J405" t="n">
        <v>0.1154</v>
      </c>
      <c r="K405" t="n">
        <v>0.177</v>
      </c>
      <c r="L405" t="inlineStr">
        <is>
          <t>The provided code implements a Hystrix collapser that allows multiple requests to be batched together into a single request. It uses the `HystrixCollapser` class from the Hystrix library, which provides a way to collapse multiple requests into a single request while ensuring that no more than a certain number of concurrent requests are made. The collapser timer is used</t>
        </is>
      </c>
      <c r="M405" t="n">
        <v>0.0031</v>
      </c>
      <c r="N405" t="n">
        <v>0.0299</v>
      </c>
      <c r="O405" t="n">
        <v>0.07630000000000001</v>
      </c>
    </row>
    <row r="406">
      <c r="A406" t="inlineStr">
        <is>
          <t>hystrix</t>
        </is>
      </c>
      <c r="B406" t="inlineStr">
        <is>
          <t>hystrix-core/src/main/java/com/netflix/hystrix/HystrixCommandMetrics.java</t>
        </is>
      </c>
      <c r="C406">
        <f>HYPERLINK("https://github.com/Netflix/Hystrix/blob/master/hystrix-core/src/main/java/com/netflix/hystrix/HystrixCommandMetrics.java")</f>
        <v/>
      </c>
      <c r="D406" t="inlineStr">
        <is>
          <t>This code appears to be part of a Java project that implements various Hystrix metrics consumers. The main class, `com.netflix.hystrix.HystrixMetricsPublisherDefault`, defines several methods related to publishing Hystrix metrics data from command execution events. These include:
* `getCumulativeCommandEventCounterStream`: Returns a</t>
        </is>
      </c>
      <c r="E406" t="n">
        <v>0.0056</v>
      </c>
      <c r="F406" t="n">
        <v>0.08160000000000001</v>
      </c>
      <c r="G406" t="n">
        <v>0.1351</v>
      </c>
      <c r="H406" t="inlineStr">
        <is>
          <t>This code appears to be part of a Java project that implements various Hystrix metrics consumers. The package name suggests that it is related to the Hystrix library, which provides circuit breaker pattern implementation for resilient service architecture.
The code imports several classes from the Hystrix metric packages, including `HystrixCommandCompletion`, `HystrixThreadEventStream</t>
        </is>
      </c>
      <c r="I406" t="n">
        <v>0.0043</v>
      </c>
      <c r="J406" t="n">
        <v>0.0678</v>
      </c>
      <c r="K406" t="n">
        <v>0.122</v>
      </c>
      <c r="L406" t="inlineStr">
        <is>
          <t>The provided code defines a Hystrix command that monitors the execution of other commands within a system. It imports various classes from the `com.netflix.hystrix` package, including `HystrixCommand`, `HystrixCommandCompletion`, `HystrixThreadEventStream`, and others. The class also includes several methods related to monitoring and reporting command execution metrics</t>
        </is>
      </c>
      <c r="M406" t="n">
        <v>0.0041</v>
      </c>
      <c r="N406" t="n">
        <v>0.0364</v>
      </c>
      <c r="O406" t="n">
        <v>0.0427</v>
      </c>
    </row>
    <row r="407">
      <c r="A407" t="inlineStr">
        <is>
          <t>hystrix</t>
        </is>
      </c>
      <c r="B407" t="inlineStr">
        <is>
          <t>hystrix-core/src/main/java/com/netflix/hystrix/HystrixCommandProperties.java</t>
        </is>
      </c>
      <c r="C407">
        <f>HYPERLINK("https://github.com/Netflix/Hystrix/blob/master/hystrix-core/src/main/java/com/netflix/hystrix/HystrixCommandProperties.java")</f>
        <v/>
      </c>
      <c r="D407" t="inlineStr">
        <is>
          <t>The code defines a Java class named `HystrixCommand` that implements the `Future` interface from the `java.util.concurrent` package. It also imports several other packages, including `com.netflix.hystrix`, `org.slf4j`, and `org.slf`.
The class has several fields and methods, but the main functionality</t>
        </is>
      </c>
      <c r="E407" t="n">
        <v>0.0062</v>
      </c>
      <c r="F407" t="n">
        <v>0.0755</v>
      </c>
      <c r="G407" t="n">
        <v>0.1351</v>
      </c>
      <c r="H407" t="inlineStr">
        <is>
          <t>This code appears to be part of a Java project that implements various Hystrix-related classes and functions. The main class, `com.netflix.hystrix.HystrixCommand`, provides a base implementation for executing commands asynchronously and providing fallback logic when necessary. It also includes several other classes related to command execution, such as `HystrixObservableCommand</t>
        </is>
      </c>
      <c r="I407" t="n">
        <v>0.005</v>
      </c>
      <c r="J407" t="n">
        <v>0.1667</v>
      </c>
      <c r="K407" t="n">
        <v>0.1667</v>
      </c>
      <c r="L407" t="inlineStr">
        <is>
          <t>The provided code defines a Hystrix command that allows users to execute asynchronous tasks within a circuit breaker pattern. It provides methods for setting properties such as timeout, fallback, and metrics collection, and exposes a `execute` method that returns a Future object representing the result of the task execution. The code also includes comments and annotations related to licensing, dependencies, and documentation.</t>
        </is>
      </c>
      <c r="M407" t="n">
        <v>0.0029</v>
      </c>
      <c r="N407" t="n">
        <v>0.0286</v>
      </c>
      <c r="O407" t="n">
        <v>0.0373</v>
      </c>
    </row>
    <row r="408">
      <c r="A408" t="inlineStr">
        <is>
          <t>hystrix</t>
        </is>
      </c>
      <c r="B408" t="inlineStr">
        <is>
          <t>hystrix-core/src/main/java/com/netflix/hystrix/HystrixMetrics.java</t>
        </is>
      </c>
      <c r="C408">
        <f>HYPERLINK("https://github.com/Netflix/Hystrix/blob/master/hystrix-core/src/main/java/com/netflix/hystrix/HystrixMetrics.java")</f>
        <v/>
      </c>
      <c r="D408" t="inlineStr">
        <is>
          <t>The `HystrixMetrics` class is an abstract base class that provides common functionality for tracking and managing metrics related to the behavior of the system. It maintains a rolling count of events using a `HystrixRollingNumber` object, which allows it to track the number of successful requests, failed requests, timeouts, etc. over time.
The class</t>
        </is>
      </c>
      <c r="E408" t="n">
        <v>0.0041</v>
      </c>
      <c r="F408" t="n">
        <v>0.06560000000000001</v>
      </c>
      <c r="G408" t="n">
        <v>0.08</v>
      </c>
      <c r="H408" t="inlineStr">
        <is>
          <t>This code defines an abstract base class for Hystrix metrics, which provides a rolling number counter that can be used to track various types of events. The constructor takes a single argument, `counter`, which must be an instance of `HystrixRollingNumber`. The class has one method, `increment`, which increments the value of the counter for a given event type. There</t>
        </is>
      </c>
      <c r="I408" t="n">
        <v>0.0031</v>
      </c>
      <c r="J408" t="n">
        <v>0.0299</v>
      </c>
      <c r="K408" t="n">
        <v>0.07630000000000001</v>
      </c>
      <c r="L408" t="inlineStr">
        <is>
          <t>The code defines an abstract base class called `HystrixMetrics` that provides a common interface for managing metrics in the Hystrix library. It takes a `HystrixRollingNumber` object as input and exposes methods for incrementing counters based on different events. The class also has a constructor that initializes the counter object.</t>
        </is>
      </c>
      <c r="M408" t="n">
        <v>0.0037</v>
      </c>
      <c r="N408" t="n">
        <v>0.0351</v>
      </c>
      <c r="O408" t="n">
        <v>0.0413</v>
      </c>
    </row>
    <row r="409">
      <c r="A409" t="inlineStr">
        <is>
          <t>hystrix</t>
        </is>
      </c>
      <c r="B409" t="inlineStr">
        <is>
          <t>hystrix-core/src/main/java/com/netflix/hystrix/collapser/RequestCollapser.java</t>
        </is>
      </c>
      <c r="C409">
        <f>HYPERLINK("https://github.com/Netflix/Hystrix/blob/master/hystrix-core/src/main/java/com/netflix/hystrix/collapser/RequestCollapser.java")</f>
        <v/>
      </c>
      <c r="D409" t="inlineStr">
        <is>
          <t>The provided code appears to be part of a Java library for implementing collapsing requests using Hystrix, which is a circuit breaker pattern that helps prevent cascading failures in complex systems. It defines several classes and interfaces related to request collapsing, including `HystrixCollapser`, `HystrixCollapserBatchCommand`, and `HystrixCol</t>
        </is>
      </c>
      <c r="E409" t="n">
        <v>0.004</v>
      </c>
      <c r="F409" t="n">
        <v>0.0741</v>
      </c>
      <c r="G409" t="n">
        <v>0.1271</v>
      </c>
      <c r="H409" t="inlineStr">
        <is>
          <t>This code appears to be part of a Java project that implements a collapsing request strategy using Hystrix. The package name suggests that it is related to the Netflix Hystrix library.
The code defines several classes, including `HystrixCollapser`, which represents a collapser instance, and `CommandCollapsedWrapper`, which wraps a command object</t>
        </is>
      </c>
      <c r="I409" t="n">
        <v>0.0048</v>
      </c>
      <c r="J409" t="n">
        <v>0.1034</v>
      </c>
      <c r="K409" t="n">
        <v>0.1639</v>
      </c>
      <c r="L409" t="inlineStr">
        <is>
          <t>The provided code implements a collapser that allows multiple requests with the same arguments to be batched together into a single request. It uses the Hystrix library's concurrency strategy to manage the execution of the batching process. The code also includes comments explaining the implementation of the core algorithms used for batching.</t>
        </is>
      </c>
      <c r="M409" t="n">
        <v>0.0042</v>
      </c>
      <c r="N409" t="n">
        <v>0.06560000000000001</v>
      </c>
      <c r="O409" t="n">
        <v>0.121</v>
      </c>
    </row>
    <row r="410">
      <c r="A410" t="inlineStr">
        <is>
          <t>hystrix</t>
        </is>
      </c>
      <c r="B410" t="inlineStr">
        <is>
          <t>hystrix-core/src/main/java/com/netflix/hystrix/collapser/CollapserTimer.java</t>
        </is>
      </c>
      <c r="C410">
        <f>HYPERLINK("https://github.com/Netflix/Hystrix/blob/master/hystrix-core/src/main/java/com/netflix/hystrix/collapser/CollapserTimer.java")</f>
        <v/>
      </c>
      <c r="D410" t="inlineStr">
        <is>
          <t>The `CollapserTimer` interface defines a timer that triggers batch execution of collapsed requests. It provides a method called `addListener()` that allows clients to register a listener object implementing the `TimerListener` interface. When the timer fires, it invokes the `onFire()` method of the registered listener object.</t>
        </is>
      </c>
      <c r="E410" t="n">
        <v>0</v>
      </c>
      <c r="F410" t="n">
        <v>0.0377</v>
      </c>
      <c r="G410" t="n">
        <v>0.0427</v>
      </c>
      <c r="H410" t="inlineStr">
        <is>
          <t>This code defines an interface called `CollapserTimer` that represents a timer used for triggering batch execution. The interface has one method, `addListener`, which takes a `TimerListener` object as its argument and returns a reference to the listener. The `TimerListener` object is responsible for executing the batch operation when the timer expires.
The code also includes some bo</t>
        </is>
      </c>
      <c r="I410" t="n">
        <v>0.0038</v>
      </c>
      <c r="J410" t="n">
        <v>0.0615</v>
      </c>
      <c r="K410" t="n">
        <v>0.1163</v>
      </c>
      <c r="L410" t="inlineStr">
        <is>
          <t>The code defines an interface named `CollapserTimer` that represents a timer used for triggering batch execution. It has one method called `addListener`, which takes a `TimerListener` instance as input and returns a reference to the listener. The `TimerListener` instance is responsible for implementing the actual batch execution logic.</t>
        </is>
      </c>
      <c r="M410" t="n">
        <v>0.0045</v>
      </c>
      <c r="N410" t="n">
        <v>0.07140000000000001</v>
      </c>
      <c r="O410" t="n">
        <v>0.1667</v>
      </c>
    </row>
    <row r="411">
      <c r="A411" t="inlineStr">
        <is>
          <t>hystrix</t>
        </is>
      </c>
      <c r="B411" t="inlineStr">
        <is>
          <t>hystrix-core/src/main/java/com/netflix/hystrix/collapser/RequestBatch.java</t>
        </is>
      </c>
      <c r="C411">
        <f>HYPERLINK("https://github.com/Netflix/Hystrix/blob/master/hystrix-core/src/main/java/com/netflix/hystrix/collapser/RequestBatch.java")</f>
        <v/>
      </c>
      <c r="D411" t="inlineStr">
        <is>
          <t>This code appears to be part of a Java project that implements a collapsing request mechanism using RxJava. The code defines several classes and interfaces related to collapsing requests, including `CollapsedRequest`, `CollapserKey`, `CollapserTimer`, and `CommandCollapser`. It also includes a `readme` file that provides some background information about the project</t>
        </is>
      </c>
      <c r="E411" t="n">
        <v>0.0049</v>
      </c>
      <c r="F411" t="n">
        <v>0.1053</v>
      </c>
      <c r="G411" t="n">
        <v>0.1653</v>
      </c>
      <c r="H411" t="inlineStr">
        <is>
          <t>This code defines a class called `Collapser` that implements a collapsing mechanism for requests made to a remote service. The class has several methods that perform different operations related to request collapsing, such as adding new requests to the queue, executing existing requests, and removing completed requests from the queue. It also includes some utility methods for managing the state of the collapser</t>
        </is>
      </c>
      <c r="I411" t="n">
        <v>0.0038</v>
      </c>
      <c r="J411" t="n">
        <v>0.08450000000000001</v>
      </c>
      <c r="K411" t="n">
        <v>0.1111</v>
      </c>
      <c r="L411" t="inlineStr">
        <is>
          <t>The provided code implements a data structure called a collapser that allows multiple requests to be batched together into a single request. It uses a concurrent map to store the requests and a reentrant read write lock to ensure thread safety. The code also includes a number of utility methods for handling the batching of requests and managing the state of the collapser. Overall, the</t>
        </is>
      </c>
      <c r="M411" t="n">
        <v>0.0033</v>
      </c>
      <c r="N411" t="n">
        <v>0.0548</v>
      </c>
      <c r="O411" t="n">
        <v>0.1095</v>
      </c>
    </row>
    <row r="412">
      <c r="A412" t="inlineStr">
        <is>
          <t>hystrix</t>
        </is>
      </c>
      <c r="B412" t="inlineStr">
        <is>
          <t>hystrix-core/src/main/java/com/netflix/hystrix/collapser/RealCollapserTimer.java</t>
        </is>
      </c>
      <c r="C412">
        <f>HYPERLINK("https://github.com/Netflix/Hystrix/blob/master/hystrix-core/src/main/java/com/netflix/hystrix/collapser/RealCollapserTimer.java")</f>
        <v/>
      </c>
      <c r="D412" t="inlineStr">
        <is>
          <t>The `RealCollapserTimer` class provides an implementation of the `CollapserTimer` interface using the `HystrixTimer` class from the `com.netflix.hystrix.util` package. It schedules batch executions for collapsers using the `HystrixTimer` instance.</t>
        </is>
      </c>
      <c r="E412" t="n">
        <v>0</v>
      </c>
      <c r="F412" t="n">
        <v>0.0513</v>
      </c>
      <c r="G412" t="n">
        <v>0.1</v>
      </c>
      <c r="H412" t="inlineStr">
        <is>
          <t>This code defines a `RealCollapserTimer` class that implements the `CollapserTimer` interface from the `com.netflix.hystrix.collapser` package. The class uses the `HystrixTimer` class from the same package to schedule batch executions of collapsed requests.
The constructor takes no arguments and creates a new instance of</t>
        </is>
      </c>
      <c r="I412" t="n">
        <v>0.0056</v>
      </c>
      <c r="J412" t="n">
        <v>0.1111</v>
      </c>
      <c r="K412" t="n">
        <v>0.1739</v>
      </c>
      <c r="L412" t="inlineStr">
        <is>
          <t>The `RealCollapserTimer` class is a part of the Hystrix library used for managing the execution of batch requests. It provides a concrete implementation of the `CollapserTimer` interface, which allows for scheduling batch execution using the `HystrixTimer`.
The class has two main responsibilities:
1. Scheduling batch execution:</t>
        </is>
      </c>
      <c r="M412" t="n">
        <v>0</v>
      </c>
      <c r="N412" t="n">
        <v>0.037</v>
      </c>
      <c r="O412" t="n">
        <v>0.0847</v>
      </c>
    </row>
    <row r="413">
      <c r="A413" t="inlineStr">
        <is>
          <t>hystrix</t>
        </is>
      </c>
      <c r="B413" t="inlineStr">
        <is>
          <t>hystrix-core/src/main/java/com/netflix/hystrix/collapser/CollapsedRequestSubject.java</t>
        </is>
      </c>
      <c r="C413">
        <f>HYPERLINK("https://github.com/Netflix/Hystrix/blob/master/hystrix-core/src/main/java/com/netflix/hystrix/collapser/CollapsedRequestSubject.java")</f>
        <v/>
      </c>
      <c r="D413" t="inlineStr">
        <is>
          <t>This code defines an `Observable` class called `CollapsedRequest`, which represents a collapsed request sent back to a user from a Hystrix collapser implementation. The class has several methods, including:
* `getBatchResponse()`: Returns the batch response received from the downstream service.
* `getOriginalRequest()`: Returns the original request sent by the client</t>
        </is>
      </c>
      <c r="E413" t="n">
        <v>0.0037</v>
      </c>
      <c r="F413" t="n">
        <v>0.07140000000000001</v>
      </c>
      <c r="G413" t="n">
        <v>0.041</v>
      </c>
      <c r="H413" t="inlineStr">
        <is>
          <t>This code defines an implementation of the Hystrix Collapser pattern, which allows multiple requests to be combined into a single request to reduce network overhead and improve performance. The code is written in Java and uses the RX library for asynchronous programming.
The `CollapsedRequest` class represents a collapsed request sent back to a user, and it has several methods for interacting with</t>
        </is>
      </c>
      <c r="I413" t="n">
        <v>0.0035</v>
      </c>
      <c r="J413" t="n">
        <v>0.0857</v>
      </c>
      <c r="K413" t="n">
        <v>0.1493</v>
      </c>
      <c r="L413" t="inlineStr">
        <is>
          <t>This class implements the `Observable` interface and represents a collapsed request sent back to a user. It is part of the Hystrix library's collapser implementation. The class takes two arguments during initialization: a `CollapsedRequest` object and an `Action0` function. The `CollapsedRequest` object represents the original request made to the server, while the `Action</t>
        </is>
      </c>
      <c r="M413" t="n">
        <v>0.0045</v>
      </c>
      <c r="N413" t="n">
        <v>0.0968</v>
      </c>
      <c r="O413" t="n">
        <v>0.16</v>
      </c>
    </row>
    <row r="414">
      <c r="A414" t="inlineStr">
        <is>
          <t>hystrix</t>
        </is>
      </c>
      <c r="B414" t="inlineStr">
        <is>
          <t>hystrix-core/src/main/java/com/netflix/hystrix/collapser/HystrixCollapserBridge.java</t>
        </is>
      </c>
      <c r="C414">
        <f>HYPERLINK("https://github.com/Netflix/Hystrix/blob/master/hystrix-core/src/main/java/com/netflix/hystrix/collapser/HystrixCollapserBridge.java")</f>
        <v/>
      </c>
      <c r="D414" t="inlineStr">
        <is>
          <t>This Java class provides a bridge between the `HystrixCollapser` and `RequestCollapser` classes, allowing them to access each other's protected and private methods while maintaining package encapsulation. It defines two generic types, `BatchReturnType`, `ResponseType`, and `Request`. The class also imports several external libraries, including RX Java and the Net</t>
        </is>
      </c>
      <c r="E414" t="n">
        <v>0.0045</v>
      </c>
      <c r="F414" t="n">
        <v>0.0702</v>
      </c>
      <c r="G414" t="n">
        <v>0.0833</v>
      </c>
      <c r="H414" t="inlineStr">
        <is>
          <t>This code defines a class called `CollapserBridge` that serves as a bridge between the `HystrixCollapser` and `RequestCollapser` classes. It allows access to "protected" and "private" methods from other packages while exposing them through a public interface. The class takes three generic type parameters: `BatchReturnType`, `ResponseType`, and</t>
        </is>
      </c>
      <c r="I414" t="n">
        <v>0.0048</v>
      </c>
      <c r="J414" t="n">
        <v>0.0741</v>
      </c>
      <c r="K414" t="n">
        <v>0.0847</v>
      </c>
      <c r="L414" t="inlineStr">
        <is>
          <t>The code defines a bridge class that exposes protected and private methods from the `HystrixCollapser` class to other classes within the same package. It also provides additional functionality related to request collapsing.</t>
        </is>
      </c>
      <c r="M414" t="n">
        <v>0.0069</v>
      </c>
      <c r="N414" t="n">
        <v>0.05</v>
      </c>
      <c r="O414" t="n">
        <v>0.09619999999999999</v>
      </c>
    </row>
    <row r="415">
      <c r="A415" t="inlineStr">
        <is>
          <t>hystrix</t>
        </is>
      </c>
      <c r="B415" t="inlineStr">
        <is>
          <t>hystrix-core/src/main/java/com/netflix/hystrix/collapser/RequestCollapserFactory.java</t>
        </is>
      </c>
      <c r="C415">
        <f>HYPERLINK("https://github.com/Netflix/Hystrix/blob/master/hystrix-core/src/main/java/com/netflix/hystrix/collapser/RequestCollapserFactory.java")</f>
        <v/>
      </c>
      <c r="D415" t="inlineStr">
        <is>
          <t>The provided code appears to be part of a Java project that implements various features related to collapsing requests into a single request using Hystrix. It defines several classes and interfaces, including `HystrixCollapser`, which represents a collapser instance, and `HystrixCollapserProperties`, which provides configuration options for the collapser.
The code also</t>
        </is>
      </c>
      <c r="E415" t="n">
        <v>0.0044</v>
      </c>
      <c r="F415" t="n">
        <v>0.06900000000000001</v>
      </c>
      <c r="G415" t="n">
        <v>0.123</v>
      </c>
      <c r="H415" t="inlineStr">
        <is>
          <t>This repository contains Java source code for implementing Hystrix Collapsers, which are a type of request batching mechanism used in the Netflix Hystrix library. The code defines several classes related to collapsing requests, including `HystrixCollapser`, `HystrixCollapserMetrics`, and `HystrixCollapserTimer`. It also includes</t>
        </is>
      </c>
      <c r="I415" t="n">
        <v>0.0054</v>
      </c>
      <c r="J415" t="n">
        <v>0.1224</v>
      </c>
      <c r="K415" t="n">
        <v>0.177</v>
      </c>
      <c r="L415" t="inlineStr">
        <is>
          <t>The provided Java code defines a class named `HystrixCollapser` that implements the Hystrix library's collapser pattern. It provides methods for executing batch requests and managing their execution. The class has several dependencies, including the `HystrixCollapserKey`, `HystrixCollapserProperties`, and `HystrixConcurrencyStrategy`. The</t>
        </is>
      </c>
      <c r="M415" t="n">
        <v>0.0056</v>
      </c>
      <c r="N415" t="n">
        <v>0.0833</v>
      </c>
      <c r="O415" t="n">
        <v>0.0901</v>
      </c>
    </row>
    <row r="416">
      <c r="A416" t="inlineStr">
        <is>
          <t>hystrix</t>
        </is>
      </c>
      <c r="B416" t="inlineStr">
        <is>
          <t>hystrix-core/src/main/java/com/netflix/hystrix/metric/HystrixThreadPoolCompletionStream.java</t>
        </is>
      </c>
      <c r="C416">
        <f>HYPERLINK("https://github.com/Netflix/Hystrix/blob/master/hystrix-core/src/main/java/com/netflix/hystrix/metric/HystrixThreadPoolCompletionStream.java")</f>
        <v/>
      </c>
      <c r="D416" t="inlineStr">
        <is>
          <t>The `HystrixThreadPoolStream` class provides a per-thread pool stream of `HystrixCommandCompletion` objects. It uses RxJava's `Subject` implementation to handle the subscription and notification of observers. The `HystrixThreadPoolStream` object maintains a map of thread pool keys to their corresponding streams, which can be accessed through its `get()` method</t>
        </is>
      </c>
      <c r="E416" t="n">
        <v>0.004</v>
      </c>
      <c r="F416" t="n">
        <v>0.07140000000000001</v>
      </c>
      <c r="G416" t="n">
        <v>0.1271</v>
      </c>
      <c r="H416" t="inlineStr">
        <is>
          <t>The code defines a class called `HystrixMetricsPublisher` that implements the `HystrixMetricsPublisher` interface. It has several methods that allow it to publish metrics related to the performance of Hystrix commands. These include `incrementRequestCount`, which increments the number of requests made by a command, and `markSuccessOrFailure`, which marks</t>
        </is>
      </c>
      <c r="I416" t="n">
        <v>0.0048</v>
      </c>
      <c r="J416" t="n">
        <v>0.0741</v>
      </c>
      <c r="K416" t="n">
        <v>0.0847</v>
      </c>
      <c r="L416" t="inlineStr">
        <is>
          <t>The code defines a class called `HystrixThreadPoolStream` that provides a per-thread pool stream of command completions. It uses RxJava's `Observable` and `Subject` classes to manage the stream of events. The class has several methods that allow subscribing to the stream and publishing new events. Additionally, it includes a map of thread pools to their corresponding streams</t>
        </is>
      </c>
      <c r="M416" t="n">
        <v>0.0033</v>
      </c>
      <c r="N416" t="n">
        <v>0.0303</v>
      </c>
      <c r="O416" t="n">
        <v>0.0781</v>
      </c>
    </row>
    <row r="417">
      <c r="A417" t="inlineStr">
        <is>
          <t>hystrix</t>
        </is>
      </c>
      <c r="B417" t="inlineStr">
        <is>
          <t>hystrix-core/src/main/java/com/netflix/hystrix/metric/CachedValuesHistogram.java</t>
        </is>
      </c>
      <c r="C417">
        <f>HYPERLINK("https://github.com/Netflix/Hystrix/blob/master/hystrix-core/src/main/java/com/netflix/hystrix/metric/CachedValuesHistogram.java")</f>
        <v/>
      </c>
      <c r="D417" t="inlineStr">
        <is>
          <t>The `CachedValuesHistogram` class provides a histogram implementation that caches significant digits of a given value. It has several methods for accessing different percentiles of the data, such as `getMean()`, `getP0()`, `getP5()`, `getP10()`, `getP15()`, `getP20()`, `getP25()`,</t>
        </is>
      </c>
      <c r="E417" t="n">
        <v>0</v>
      </c>
      <c r="F417" t="n">
        <v>0.0465</v>
      </c>
      <c r="G417" t="n">
        <v>0.0467</v>
      </c>
      <c r="H417" t="inlineStr">
        <is>
          <t>This Java package `com.netflix.hystrix.metric` implements a histogram data structure that caches values. The histogram stores significant digits of the input values and provides methods to retrieve various statistical measures such as mean, percentiles, etc. The implementation uses the HdrHistogram library for efficient storage and calculation of the histogram. The package also includes unit</t>
        </is>
      </c>
      <c r="I417" t="n">
        <v>0.0045</v>
      </c>
      <c r="J417" t="n">
        <v>0.09379999999999999</v>
      </c>
      <c r="K417" t="n">
        <v>0.16</v>
      </c>
      <c r="L417" t="inlineStr">
        <is>
          <t>The `CachedValuesHistogram` class provides a histogram representation of cached values in Hystrix. It calculates various statistical metrics such as mean, percentiles, and standard deviation from the input data. The class is designed to be efficient and cache results to reduce computational overhead.</t>
        </is>
      </c>
      <c r="M417" t="n">
        <v>0.0044</v>
      </c>
      <c r="N417" t="n">
        <v>0.04</v>
      </c>
      <c r="O417" t="n">
        <v>0.0439</v>
      </c>
    </row>
    <row r="418">
      <c r="A418" t="inlineStr">
        <is>
          <t>hystrix</t>
        </is>
      </c>
      <c r="B418" t="inlineStr">
        <is>
          <t>hystrix-core/src/main/java/com/netflix/hystrix/metric/HystrixCollapserEventStream.java</t>
        </is>
      </c>
      <c r="C418">
        <f>HYPERLINK("https://github.com/Netflix/Hystrix/blob/master/hystrix-core/src/main/java/com/netflix/hystrix/metric/HystrixCollapserEventStream.java")</f>
        <v/>
      </c>
      <c r="D418" t="inlineStr">
        <is>
          <t>The `HystrixCollapserMetrics` class provides a per-collapser stream of events that can be used to track the performance and behavior of collapsers. It does this by maintaining a map of collapser keys to subject streams, which are then used to publish new events as they occur. The class also includes methods for retrieving the current state of the</t>
        </is>
      </c>
      <c r="E418" t="n">
        <v>0.0032</v>
      </c>
      <c r="F418" t="n">
        <v>0.0303</v>
      </c>
      <c r="G418" t="n">
        <v>0.1163</v>
      </c>
      <c r="H418" t="inlineStr">
        <is>
          <t>The code defines a class called `HystrixCollapserMetrics` that implements the `HystrixMetrics` interface. It provides a per-collapser stream of events using RXJava's `Observable` type. The class uses a concurrent map (`ConcurrentHashMap`) to store the metrics data and exposes it through a subject (`PublishSubject`). The</t>
        </is>
      </c>
      <c r="I418" t="n">
        <v>0.0051</v>
      </c>
      <c r="J418" t="n">
        <v>0.0755</v>
      </c>
      <c r="K418" t="n">
        <v>0.1304</v>
      </c>
      <c r="L418" t="inlineStr">
        <is>
          <t>The provided code defines a class called `HystrixCollapserStream` that manages a per-collapser stream of events. It uses RX Java's `Subject` interface to handle event publishing and subscribing. The class also has several methods for handling collapser events, such as `incrementRequestCount`, `markResponseFromCache`, and `addError`.</t>
        </is>
      </c>
      <c r="M418" t="n">
        <v>0.0043</v>
      </c>
      <c r="N418" t="n">
        <v>0.0377</v>
      </c>
      <c r="O418" t="n">
        <v>0.08699999999999999</v>
      </c>
    </row>
    <row r="419">
      <c r="A419" t="inlineStr">
        <is>
          <t>hystrix</t>
        </is>
      </c>
      <c r="B419" t="inlineStr">
        <is>
          <t>hystrix-core/src/main/java/com/netflix/hystrix/metric/HystrixCommandEvent.java</t>
        </is>
      </c>
      <c r="C419">
        <f>HYPERLINK("https://github.com/Netflix/Hystrix/blob/master/hystrix-core/src/main/java/com/netflix/hystrix/metric/HystrixCommandEvent.java")</f>
        <v/>
      </c>
      <c r="D419" t="inlineStr">
        <is>
          <t>This code defines a data class called `HystrixCommandEvent` that represents an event stream for Hystrix command executions. The class is part of the `com.netflix.hystrix.metric` package and extends the `HystrixEvent` interface. It has two fields: `commandKey` and `threadPoolKey`, which are instances of `H</t>
        </is>
      </c>
      <c r="E419" t="n">
        <v>0.0052</v>
      </c>
      <c r="F419" t="n">
        <v>0.0755</v>
      </c>
      <c r="G419" t="n">
        <v>0.1316</v>
      </c>
      <c r="H419" t="inlineStr">
        <is>
          <t>This code defines a data class called `HystrixCommandEvent` that represents the event stream for Hystrix command executions. It is part of the Hystrix library, which provides fault tolerance and performance monitoring capabilities for distributed systems. The class is abstract and has no concrete implementations. However, it declares several fields and methods that provide information about the event stream, such as</t>
        </is>
      </c>
      <c r="I419" t="n">
        <v>0.0036</v>
      </c>
      <c r="J419" t="n">
        <v>0.0882</v>
      </c>
      <c r="K419" t="n">
        <v>0.1136</v>
      </c>
      <c r="L419" t="inlineStr">
        <is>
          <t>The provided code defines a data class called `HystrixCommandEvent` that represents the event stream for Hystrix command executions. It is part of the `com.netflix.hystrix.metric` package and extends the `HystrixEvent` interface. The class takes two parameters upon instantiation: `commandKey` and `threadPoolKey`. It also</t>
        </is>
      </c>
      <c r="M419" t="n">
        <v>0.0044</v>
      </c>
      <c r="N419" t="n">
        <v>0.0377</v>
      </c>
      <c r="O419" t="n">
        <v>0.0877</v>
      </c>
    </row>
    <row r="420">
      <c r="A420" t="inlineStr">
        <is>
          <t>hystrix</t>
        </is>
      </c>
      <c r="B420" t="inlineStr">
        <is>
          <t>hystrix-core/src/main/java/com/netflix/hystrix/metric/HystrixCommandCompletion.java</t>
        </is>
      </c>
      <c r="C420">
        <f>HYPERLINK("https://github.com/Netflix/Hystrix/blob/master/hystrix-core/src/main/java/com/netflix/hystrix/metric/HystrixCommandCompletion.java")</f>
        <v/>
      </c>
      <c r="D420" t="inlineStr">
        <is>
          <t>This Java class implements a data structure that holds information about Hystrix events emitted during command execution. The `HystrixMetric` class has several fields, including `commandKey`, `threadPoolKey`, `executionResult`, `eventType`, and `timestamp`. It also provides methods such as `addEvent()` and `getEvents()`.
The `addEvent()` method</t>
        </is>
      </c>
      <c r="E420" t="n">
        <v>0.0058</v>
      </c>
      <c r="F420" t="n">
        <v>0.12</v>
      </c>
      <c r="G420" t="n">
        <v>0.1316</v>
      </c>
      <c r="H420" t="inlineStr">
        <is>
          <t>This Java package `com.netflix.hystrix.metric` contains classes related to Hystrix's metrics system. The main class `HystrixMetricsPublisher` publishes data about command executions to the event stream. It takes an `ExecutionResult` object as input and returns a list of `HystrixCommandCompletion` objects that represent the</t>
        </is>
      </c>
      <c r="I420" t="n">
        <v>0.0054</v>
      </c>
      <c r="J420" t="n">
        <v>0.0755</v>
      </c>
      <c r="K420" t="n">
        <v>0.0885</v>
      </c>
      <c r="L420" t="inlineStr">
        <is>
          <t>The provided code defines a data class called `HystrixCommandMetrics` that represents metrics related to Hystrix commands. It has several fields including `executionResult`, `commandKey`, `threadPoolKey`, and `requestCount`. The class also includes methods such as `getExecutionTimeInMilliseconds()` and `getErrorPercentage()`. The overall purpose of the class seems to</t>
        </is>
      </c>
      <c r="M420" t="n">
        <v>0.0042</v>
      </c>
      <c r="N420" t="n">
        <v>0.0385</v>
      </c>
      <c r="O420" t="n">
        <v>0.0431</v>
      </c>
    </row>
    <row r="421">
      <c r="A421" t="inlineStr">
        <is>
          <t>hystrix</t>
        </is>
      </c>
      <c r="B421" t="inlineStr">
        <is>
          <t>hystrix-core/src/main/java/com/netflix/hystrix/metric/HystrixRequestEventsStream.java</t>
        </is>
      </c>
      <c r="C421">
        <f>HYPERLINK("https://github.com/Netflix/Hystrix/blob/master/hystrix-core/src/main/java/com/netflix/hystrix/metric/HystrixRequestEventsStream.java")</f>
        <v/>
      </c>
      <c r="D421" t="inlineStr">
        <is>
          <t>This is a Java class that implements a stream of requests, where each request contains a series of command executions. The class uses RxJava to handle the events and provides a way to subscribe to the stream. It also includes some annotations such as `@Override` and `@Deprecated`.</t>
        </is>
      </c>
      <c r="E421" t="n">
        <v>0.0051</v>
      </c>
      <c r="F421" t="n">
        <v>0.1091</v>
      </c>
      <c r="G421" t="n">
        <v>0.1681</v>
      </c>
      <c r="H421" t="inlineStr">
        <is>
          <t>This code defines a Java class called `HystrixRequestEventsStream` that represents a stream of requests, where each request consists of multiple command executions. The class has several methods, including `getLatest`, `getAll`, and `subscribe`. These methods allow clients to retrieve the latest events from the stream, get all events from the stream, and subscribe to receive updates when</t>
        </is>
      </c>
      <c r="I421" t="n">
        <v>0.0039</v>
      </c>
      <c r="J421" t="n">
        <v>0.0625</v>
      </c>
      <c r="K421" t="n">
        <v>0.0781</v>
      </c>
      <c r="L421" t="inlineStr">
        <is>
          <t>The `HystrixRequestEventsStream` class provides a stream of request events, where each event represents a series of command executions. It uses RxJava's `Subject` type to manage the stream of events and allows clients to subscribe to the stream. The class also includes a number of utility methods for working with the stream, such as filtering and mapping events.</t>
        </is>
      </c>
      <c r="M421" t="n">
        <v>0.0032</v>
      </c>
      <c r="N421" t="n">
        <v>0.0303</v>
      </c>
      <c r="O421" t="n">
        <v>0.0775</v>
      </c>
    </row>
    <row r="422">
      <c r="A422" t="inlineStr">
        <is>
          <t>hystrix</t>
        </is>
      </c>
      <c r="B422" t="inlineStr">
        <is>
          <t>hystrix-core/src/main/java/com/netflix/hystrix/metric/HystrixCollapserEvent.java</t>
        </is>
      </c>
      <c r="C422">
        <f>HYPERLINK("https://github.com/Netflix/Hystrix/blob/master/hystrix-core/src/main/java/com/netflix/hystrix/metric/HystrixCollapserEvent.java")</f>
        <v/>
      </c>
      <c r="D422" t="inlineStr">
        <is>
          <t>The provided code defines a data class called `HystrixCollapserMetrics` that represents the event stream for Hystrix collapser executions. It has three possible events represented by the `HystrixEventType.Collapser` enum: ADDED_TO_BATCH, BATCH_EXEC, and COLLAPSER_FAILURE.</t>
        </is>
      </c>
      <c r="E422" t="n">
        <v>0.0058</v>
      </c>
      <c r="F422" t="n">
        <v>0.0444</v>
      </c>
      <c r="G422" t="n">
        <v>0.0481</v>
      </c>
      <c r="H422" t="inlineStr">
        <is>
          <t>The code defines a Java class called `HystrixCollapserMetrics` within the `com.netflix.hystrix.metric` package. It appears to be related to the implementation of metrics for Hystrix Collapser, which is a feature in the Hystrix library used for managing asynchronous requests.
The class has three main methods:</t>
        </is>
      </c>
      <c r="I422" t="n">
        <v>0</v>
      </c>
      <c r="J422" t="n">
        <v>0.0364</v>
      </c>
      <c r="K422" t="n">
        <v>0.0862</v>
      </c>
      <c r="L422" t="inlineStr">
        <is>
          <t>The provided code defines a data class named `HystrixCollapserMetrics` that captures the event stream for Hystrix collapser executions. It provides three possible events: ADDED_TO_BATCH, BATCH_EXEC, and COLLAPSER_FAILURE. These events represent different stages of collapsing requests into batches and</t>
        </is>
      </c>
      <c r="M422" t="n">
        <v>0.0049</v>
      </c>
      <c r="N422" t="n">
        <v>0.04</v>
      </c>
      <c r="O422" t="n">
        <v>0.0455</v>
      </c>
    </row>
    <row r="423">
      <c r="A423" t="inlineStr">
        <is>
          <t>hystrix</t>
        </is>
      </c>
      <c r="B423" t="inlineStr">
        <is>
          <t>hystrix-core/src/main/java/com/netflix/hystrix/metric/HystrixEvent.java</t>
        </is>
      </c>
      <c r="C423">
        <f>HYPERLINK("https://github.com/Netflix/Hystrix/blob/master/hystrix-core/src/main/java/com/netflix/hystrix/metric/HystrixEvent.java")</f>
        <v/>
      </c>
      <c r="D423" t="inlineStr">
        <is>
          <t>The `HystrixEvent` interface represents a marker interface for events that can occur in an event stream. It does not provide any additional functionality beyond being a way to identify different types of events.</t>
        </is>
      </c>
      <c r="E423" t="n">
        <v>0.0056</v>
      </c>
      <c r="F423" t="n">
        <v>0.0488</v>
      </c>
      <c r="G423" t="n">
        <v>0.0476</v>
      </c>
      <c r="H423" t="inlineStr">
        <is>
          <t>This code defines a Java interface called `HystrixEvent` that serves as a marker for events that can occur within the context of a system using the Hystrix library. The interface does not contain any implementation details but rather acts as a tagging mechanism to indicate that certain types of events have occurred.</t>
        </is>
      </c>
      <c r="I423" t="n">
        <v>0.0035</v>
      </c>
      <c r="J423" t="n">
        <v>0.0667</v>
      </c>
      <c r="K423" t="n">
        <v>0.121</v>
      </c>
      <c r="L423" t="inlineStr">
        <is>
          <t>The provided code defines a Java interface named `HystrixEvent` that serves as a marker for events that can occur in an event stream. It provides no actual implementation details but rather acts as a base class for other events.</t>
        </is>
      </c>
      <c r="M423" t="n">
        <v>0</v>
      </c>
      <c r="N423" t="n">
        <v>0.0426</v>
      </c>
      <c r="O423" t="n">
        <v>0.045</v>
      </c>
    </row>
    <row r="424">
      <c r="A424" t="inlineStr">
        <is>
          <t>hystrix</t>
        </is>
      </c>
      <c r="B424" t="inlineStr">
        <is>
          <t>hystrix-core/src/main/java/com/netflix/hystrix/metric/HystrixCommandStartStream.java</t>
        </is>
      </c>
      <c r="C424">
        <f>HYPERLINK("https://github.com/Netflix/Hystrix/blob/master/hystrix-core/src/main/java/com/netflix/hystrix/metric/HystrixCommandStartStream.java")</f>
        <v/>
      </c>
      <c r="D424" t="inlineStr">
        <is>
          <t>The `HystrixCommandStream` class provides a per-command stream of execution started events for the Hystrix library. It uses RxJava observables to manage the flow of these events and exposes them through a subject that can be subscribed to. The implementation uses a concurrent hash map to store the command keys and their corresponding subjects, which allows for efficient lookups and updates</t>
        </is>
      </c>
      <c r="E424" t="n">
        <v>0.003</v>
      </c>
      <c r="F424" t="n">
        <v>0.058</v>
      </c>
      <c r="G424" t="n">
        <v>0.1136</v>
      </c>
      <c r="H424" t="inlineStr">
        <is>
          <t>The code defines a class called `HystrixCommandMetrics` that implements a per-command stream of `HystrixCommandExecutionStarted` events. It uses RxJava's `Observable` and `Subject` classes to manage the stream of events. The class has a constructor that takes a `HystrixCommandKey` as input and creates a new instance of the</t>
        </is>
      </c>
      <c r="I424" t="n">
        <v>0.0048</v>
      </c>
      <c r="J424" t="n">
        <v>0.07140000000000001</v>
      </c>
      <c r="K424" t="n">
        <v>0.1271</v>
      </c>
      <c r="L424" t="inlineStr">
        <is>
          <t>The provided code defines a class called `HystrixCommandStream` that implements the `Observable` interface from RX Java. It provides a per-command stream of execution started events, which can be used to track the performance and health of individual commands within a system.
The class has several important methods, including:
* `public Observable&lt;HystrixCommandExecutionStart</t>
        </is>
      </c>
      <c r="M424" t="n">
        <v>0.0043</v>
      </c>
      <c r="N424" t="n">
        <v>0.0667</v>
      </c>
      <c r="O424" t="n">
        <v>0.122</v>
      </c>
    </row>
    <row r="425">
      <c r="A425" t="inlineStr">
        <is>
          <t>hystrix</t>
        </is>
      </c>
      <c r="B425" t="inlineStr">
        <is>
          <t>hystrix-core/src/main/java/com/netflix/hystrix/metric/HystrixThreadEventStream.java</t>
        </is>
      </c>
      <c r="C425">
        <f>HYPERLINK("https://github.com/Netflix/Hystrix/blob/master/hystrix-core/src/main/java/com/netflix/hystrix/metric/HystrixThreadEventStream.java")</f>
        <v/>
      </c>
      <c r="D425" t="inlineStr">
        <is>
          <t>The provided code appears to be part of a Java project that implements various components related to Hystrix, a library used for implementing circuit breakers and bulkheads in microservices architecture. The code defines several classes and interfaces related to metrics collection, command execution, thread pool management, and event handling.
The `MetricCollector` class appears to be responsible for collecting and</t>
        </is>
      </c>
      <c r="E425" t="n">
        <v>0.0037</v>
      </c>
      <c r="F425" t="n">
        <v>0.0597</v>
      </c>
      <c r="G425" t="n">
        <v>0.1145</v>
      </c>
      <c r="H425" t="inlineStr">
        <is>
          <t>This code appears to be part of a Java project that implements various Hystrix metrics related to command execution and thread pool usage. The code defines several classes and interfaces related to these metrics, including `HystrixMetric`, `HystrixCommandMetrics`, `HystrixThreadPoolMetrics`, and `HystrixCircuitBreaker`.
The main class, `</t>
        </is>
      </c>
      <c r="I425" t="n">
        <v>0.0055</v>
      </c>
      <c r="J425" t="n">
        <v>0.1176</v>
      </c>
      <c r="K425" t="n">
        <v>0.1724</v>
      </c>
      <c r="L425" t="inlineStr">
        <is>
          <t>The provided code implements a Hystrix command that executes a collapsed batch request using RxJava. It takes two arguments: a `HystrixCollapserKey` object representing the collapser key, and an `Observable` object representing the stream of requests to be executed. The function returns an `Observable` object representing the result of the execution.
The code first</t>
        </is>
      </c>
      <c r="M425" t="n">
        <v>0.0041</v>
      </c>
      <c r="N425" t="n">
        <v>0.06560000000000001</v>
      </c>
      <c r="O425" t="n">
        <v>0.12</v>
      </c>
    </row>
    <row r="426">
      <c r="A426" t="inlineStr">
        <is>
          <t>hystrix</t>
        </is>
      </c>
      <c r="B426" t="inlineStr">
        <is>
          <t>hystrix-core/src/main/java/com/netflix/hystrix/metric/HystrixCommandExecutionStarted.java</t>
        </is>
      </c>
      <c r="C426">
        <f>HYPERLINK("https://github.com/Netflix/Hystrix/blob/master/hystrix-core/src/main/java/com/netflix/hystrix/metric/HystrixCommandExecutionStarted.java")</f>
        <v/>
      </c>
      <c r="D426" t="inlineStr">
        <is>
          <t>The `HystrixCommandExecutionStarted` class represents an event emitted by the Hystrix library when a command execution starts. It contains information about the command, such as its key and properties, as well as any relevant metadata. This event can be used to track the progress of commands and understand their behavior over time.</t>
        </is>
      </c>
      <c r="E426" t="n">
        <v>0.0043</v>
      </c>
      <c r="F426" t="n">
        <v>0.0678</v>
      </c>
      <c r="G426" t="n">
        <v>0.122</v>
      </c>
      <c r="H426" t="inlineStr">
        <is>
          <t>This code defines a Java class named `HystrixCommandExecutionStarted` that represents data about a started execution of a Hystrix command. It belongs to the `com.netflix.hystrix.metric` package. The class has several fields, including `commandKey`, `threadPoolKey`, and `executionIsolationStrategy`. These fields represent the key of</t>
        </is>
      </c>
      <c r="I426" t="n">
        <v>0.0054</v>
      </c>
      <c r="J426" t="n">
        <v>0.0769</v>
      </c>
      <c r="K426" t="n">
        <v>0.0885</v>
      </c>
      <c r="L426" t="inlineStr">
        <is>
          <t>The code defines a data class called `HystrixCommandExecutionStarted` that represents an event emitted when a command starts executing. It belongs to the `com.netflix.hystrix.metric` package and has been written in Java. The class takes two parameters upon instantiation: a `HystrixCommandKey` object representing the command being executed, and a</t>
        </is>
      </c>
      <c r="M426" t="n">
        <v>0.0039</v>
      </c>
      <c r="N426" t="n">
        <v>0.0345</v>
      </c>
      <c r="O426" t="n">
        <v>0.042</v>
      </c>
    </row>
    <row r="427">
      <c r="A427" t="inlineStr">
        <is>
          <t>hystrix</t>
        </is>
      </c>
      <c r="B427" t="inlineStr">
        <is>
          <t>hystrix-core/src/main/java/com/netflix/hystrix/metric/HystrixCommandCompletionStream.java</t>
        </is>
      </c>
      <c r="C427">
        <f>HYPERLINK("https://github.com/Netflix/Hystrix/blob/master/hystrix-core/src/main/java/com/netflix/hystrix/metric/HystrixCommandCompletionStream.java")</f>
        <v/>
      </c>
      <c r="D427" t="inlineStr">
        <is>
          <t>The code defines a class `HystrixCommandStream` that implements an observable stream of command completions for a given command key. It uses RxJava's `PublishSubject` and `SerializedSubject` classes to create a thread-safe subject that can be used to publish new values. The class also maintains a map of command keys to their corresponding streams using a concurrent</t>
        </is>
      </c>
      <c r="E427" t="n">
        <v>0.004</v>
      </c>
      <c r="F427" t="n">
        <v>0.0615</v>
      </c>
      <c r="G427" t="n">
        <v>0.1181</v>
      </c>
      <c r="H427" t="inlineStr">
        <is>
          <t>The code defines a class called `HystrixCommandStream` that implements the `rx.Observable` interface. It has several fields and methods, including:
* A field named `commandKey` of type `HystrixCommandKey`, which represents the key of the command associated with this stream.
* A field named `observers` of type `ConcurrentMap</t>
        </is>
      </c>
      <c r="I427" t="n">
        <v>0.0048</v>
      </c>
      <c r="J427" t="n">
        <v>0.0755</v>
      </c>
      <c r="K427" t="n">
        <v>0.1271</v>
      </c>
      <c r="L427" t="inlineStr">
        <is>
          <t>The code defines a class called `HystrixCommandStream` that represents a per-command stream of `HystrixCommandCompletion` objects. It uses RX Java to handle the stream of events and provides methods for adding listeners and subscribing to the stream. Additionally, it has a static method for creating a new instance of the class and a private constructor to prevent instantiation outside</t>
        </is>
      </c>
      <c r="M427" t="n">
        <v>0.0031</v>
      </c>
      <c r="N427" t="n">
        <v>0.0299</v>
      </c>
      <c r="O427" t="n">
        <v>0.0769</v>
      </c>
    </row>
    <row r="428">
      <c r="A428" t="inlineStr">
        <is>
          <t>hystrix</t>
        </is>
      </c>
      <c r="B428" t="inlineStr">
        <is>
          <t>hystrix-core/src/main/java/com/netflix/hystrix/metric/HystrixThreadPoolStartStream.java</t>
        </is>
      </c>
      <c r="C428">
        <f>HYPERLINK("https://github.com/Netflix/Hystrix/blob/master/hystrix-core/src/main/java/com/netflix/hystrix/metric/HystrixThreadPoolStartStream.java")</f>
        <v/>
      </c>
      <c r="D428" t="inlineStr">
        <is>
          <t>The `HystrixThreadPoolStream` class provides a per-thread pool stream of `HystrixCommandExecutionStarted` events. It uses RxJava's `PublishSubject` and `SerializedSubject` classes to manage the thread safety and publish events to subscribers. The `getObservables()` method returns a map of `HystrixThreadPoolKey` objects</t>
        </is>
      </c>
      <c r="E428" t="n">
        <v>0.005</v>
      </c>
      <c r="F428" t="n">
        <v>0.0426</v>
      </c>
      <c r="G428" t="n">
        <v>0.0917</v>
      </c>
      <c r="H428" t="inlineStr">
        <is>
          <t>The provided code defines a class called `HystrixCommandStream` that implements the `rx.Observable` interface. It represents a per-thread pool stream of command execution started events. The class has several fields and methods, including:
* A private field named `commandStream` that stores a reference to an instance of type `rx.Observable`.
* A constructor method that</t>
        </is>
      </c>
      <c r="I428" t="n">
        <v>0.0041</v>
      </c>
      <c r="J428" t="n">
        <v>0.0645</v>
      </c>
      <c r="K428" t="n">
        <v>0.08</v>
      </c>
      <c r="L428" t="inlineStr">
        <is>
          <t>The provided code defines a class called `HystrixCommandStream` that represents a per-thread pool stream of `HystrixCommandExecutionStarted` events. It uses RX Observables to manage the stream and provides methods to write new events to the stream. Additionally, it includes annotations and comments related to licensing and documentation.</t>
        </is>
      </c>
      <c r="M428" t="n">
        <v>0.004</v>
      </c>
      <c r="N428" t="n">
        <v>0.0364</v>
      </c>
      <c r="O428" t="n">
        <v>0.0847</v>
      </c>
    </row>
    <row r="429">
      <c r="A429" t="inlineStr">
        <is>
          <t>hystrix</t>
        </is>
      </c>
      <c r="B429" t="inlineStr">
        <is>
          <t>hystrix-core/src/main/java/com/netflix/hystrix/metric/HystrixRequestEvents.java</t>
        </is>
      </c>
      <c r="C429">
        <f>HYPERLINK("https://github.com/Netflix/Hystrix/blob/master/hystrix-core/src/main/java/com/netflix/hystrix/metric/HystrixRequestEvents.java")</f>
        <v/>
      </c>
      <c r="D429" t="inlineStr">
        <is>
          <t>The `HystrixRequestEvents` class provides methods for tracking and managing request events in the context of the Hystrix library. It includes several methods for handling different types of requests, such as command executions, collapsers, and fallbacks. These methods allow for the creation, storage, and retrieval of request event data, which can be used for monitoring and debugging</t>
        </is>
      </c>
      <c r="E429" t="n">
        <v>0.0033</v>
      </c>
      <c r="F429" t="n">
        <v>0.0312</v>
      </c>
      <c r="G429" t="n">
        <v>0.0781</v>
      </c>
      <c r="H429" t="inlineStr">
        <is>
          <t>The `HystrixRequestEvents` class provides methods for tracking and managing request events in a Hystrix system. It includes several methods that allow users to retrieve information about requests, such as their execution status, latency, and error codes. Additionally, it provides methods for collapsing multiple requests into a single event, which can improve performance by reducing the number of network round tri</t>
        </is>
      </c>
      <c r="I429" t="n">
        <v>0.003</v>
      </c>
      <c r="J429" t="n">
        <v>0.0294</v>
      </c>
      <c r="K429" t="n">
        <v>0.0379</v>
      </c>
      <c r="L429" t="inlineStr">
        <is>
          <t>The `HystrixRequestEvents` class provides methods for retrieving and manipulating request events data from the Hystrix library. It includes several static methods that allow users to retrieve data such as command execution results, collapsed requests, and thread pool metrics. Additionally, it also defines several constants used throughout the library.</t>
        </is>
      </c>
      <c r="M429" t="n">
        <v>0.0038</v>
      </c>
      <c r="N429" t="n">
        <v>0.0357</v>
      </c>
      <c r="O429" t="n">
        <v>0.0833</v>
      </c>
    </row>
    <row r="430">
      <c r="A430" t="inlineStr">
        <is>
          <t>hystrix</t>
        </is>
      </c>
      <c r="B430" t="inlineStr">
        <is>
          <t>hystrix-core/src/main/java/com/netflix/hystrix/metric/HystrixEventStream.java</t>
        </is>
      </c>
      <c r="C430">
        <f>HYPERLINK("https://github.com/Netflix/Hystrix/blob/master/hystrix-core/src/main/java/com/netflix/hystrix/metric/HystrixEventStream.java")</f>
        <v/>
      </c>
      <c r="D430" t="inlineStr">
        <is>
          <t>The `HystrixEventStream` interface provides a way to consume a stream of `HystrixEventType` objects. It allows for observation of individual `HystrixEventType` instances or time-based buckets of events.</t>
        </is>
      </c>
      <c r="E430" t="n">
        <v>0</v>
      </c>
      <c r="F430" t="n">
        <v>0</v>
      </c>
      <c r="G430" t="n">
        <v>0</v>
      </c>
      <c r="H430" t="inlineStr">
        <is>
          <t>This code defines a base interface for a stream of Hystrix event types, allowing for observation of individual Hystrix event types or time-bucketed events. The implementation uses RxJava's `Observable` type to represent the stream of events.</t>
        </is>
      </c>
      <c r="I430" t="n">
        <v>0.0052</v>
      </c>
      <c r="J430" t="n">
        <v>0.08699999999999999</v>
      </c>
      <c r="K430" t="n">
        <v>0.1389</v>
      </c>
      <c r="L430" t="inlineStr">
        <is>
          <t>The code defines an interface called `HystrixEventStream` that provides a stream of `HystrixEventType` objects. It allows consumers to subscribe to the event stream using the `observe()` method, which returns an observable object. The interface is designed to be used for time-based bucketing of events.</t>
        </is>
      </c>
      <c r="M430" t="n">
        <v>0</v>
      </c>
      <c r="N430" t="n">
        <v>0</v>
      </c>
      <c r="O430" t="n">
        <v>0.0431</v>
      </c>
    </row>
    <row r="431">
      <c r="A431" t="inlineStr">
        <is>
          <t>hystrix</t>
        </is>
      </c>
      <c r="B431" t="inlineStr">
        <is>
          <t>hystrix-core/src/main/java/com/netflix/hystrix/metric/consumer/RollingDistributionStream.java</t>
        </is>
      </c>
      <c r="C431">
        <f>HYPERLINK("https://github.com/Netflix/Hystrix/blob/master/hystrix-core/src/main/java/com/netflix/hystrix/metric/consumer/RollingDistributionStream.java")</f>
        <v/>
      </c>
      <c r="D431" t="inlineStr">
        <is>
          <t>The provided code appears to be part of a Java project that implements a system for tracking and analyzing event data using Hystrix, a library for managing and monitoring complex systems. The code defines several classes related to event streaming and processing, including `HystrixEventStream`, which represents a stream of events from a source, and `HystrixEvent`, which represents a single event</t>
        </is>
      </c>
      <c r="E431" t="n">
        <v>0.0036</v>
      </c>
      <c r="F431" t="n">
        <v>0.0588</v>
      </c>
      <c r="G431" t="n">
        <v>0.1136</v>
      </c>
      <c r="H431" t="inlineStr">
        <is>
          <t>This code appears to be part of a Java project that implements a system for processing and analyzing data from various sources. The code imports several libraries, including RxJava, Hystrix, and HdrHistogram, which are all related to reactive programming and performance monitoring.
The main class, `com.netflix.hystrix.metric.consumer</t>
        </is>
      </c>
      <c r="I431" t="n">
        <v>0.0053</v>
      </c>
      <c r="J431" t="n">
        <v>0.1034</v>
      </c>
      <c r="K431" t="n">
        <v>0.1695</v>
      </c>
      <c r="L431" t="inlineStr">
        <is>
          <t>The provided code implements a Hystrix event stream consumer that processes Hystrix events emitted by other parts of the system. It uses RxJava observables to perform the processing and caching of the events. The main purpose of the code appears to be to provide a way to consume Hystrix events and perform statistical analysis on them.</t>
        </is>
      </c>
      <c r="M431" t="n">
        <v>0.0039</v>
      </c>
      <c r="N431" t="n">
        <v>0.0625</v>
      </c>
      <c r="O431" t="n">
        <v>0.1172</v>
      </c>
    </row>
    <row r="432">
      <c r="A432" t="inlineStr">
        <is>
          <t>hystrix</t>
        </is>
      </c>
      <c r="B432" t="inlineStr">
        <is>
          <t>hystrix-core/src/main/java/com/netflix/hystrix/metric/consumer/CumulativeThreadPoolEventCounterStream.java</t>
        </is>
      </c>
      <c r="C432">
        <f>HYPERLINK("https://github.com/Netflix/Hystrix/blob/master/hystrix-core/src/main/java/com/netflix/hystrix/metric/consumer/CumulativeThreadPoolEventCounterStream.java")</f>
        <v/>
      </c>
      <c r="D432" t="inlineStr">
        <is>
          <t>This Java code appears to be part of a Hystrix library used for monitoring and managing thread pools in a distributed system. The code defines a `HystrixThreadPoolMetrics` class that implements the `HystrixThreadPoolCompletionStream` interface. It also includes several methods for processing command completions and updating metrics for a given thread pool key.
The code imports various</t>
        </is>
      </c>
      <c r="E432" t="n">
        <v>0.0044</v>
      </c>
      <c r="F432" t="n">
        <v>0.09520000000000001</v>
      </c>
      <c r="G432" t="n">
        <v>0.1575</v>
      </c>
      <c r="H432" t="inlineStr">
        <is>
          <t>This code appears to be part of a Java project that implements various metrics consumers for Hystrix, a library used for implementing circuit breakers and fallback logic in microservices architectures. The code defines a class called `HystrixThreadPoolMetrics` that extends `HystrixThreadPoolCompletionStream`. It also imports several other classes from the same package as well as RXJava</t>
        </is>
      </c>
      <c r="I432" t="n">
        <v>0.0045</v>
      </c>
      <c r="J432" t="n">
        <v>0.129</v>
      </c>
      <c r="K432" t="n">
        <v>0.1587</v>
      </c>
      <c r="L432" t="inlineStr">
        <is>
          <t>The provided code implements a HystrixThreadPoolCompletionStream that consumes events from a stream of HystrixCommandCompletions and updates metrics for a thread pool based on those events. It uses RxJava's fun package to perform the actual computation. The code also includes comments describing the purpose of each section and the overall structure of the class.</t>
        </is>
      </c>
      <c r="M432" t="n">
        <v>0.0041</v>
      </c>
      <c r="N432" t="n">
        <v>0.0645</v>
      </c>
      <c r="O432" t="n">
        <v>0.12</v>
      </c>
    </row>
    <row r="433">
      <c r="A433" t="inlineStr">
        <is>
          <t>hystrix</t>
        </is>
      </c>
      <c r="B433" t="inlineStr">
        <is>
          <t>hystrix-core/src/main/java/com/netflix/hystrix/metric/consumer/RollingThreadPoolMaxConcurrencyStream.java</t>
        </is>
      </c>
      <c r="C433">
        <f>HYPERLINK("https://github.com/Netflix/Hystrix/blob/master/hystrix-core/src/main/java/com/netflix/hystrix/metric/consumer/RollingThreadPoolMaxConcurrencyStream.java")</f>
        <v/>
      </c>
      <c r="D433" t="inlineStr">
        <is>
          <t>The provided code defines a class that maintains a stream of maximum thread pool concurrency values for Hystrix. It uses a rolling window approach to calculate the maximum value over a given time period. The class has the following methods:
* `getMaxConcurrency()`: Returns the current maximum concurrency value from the stream.
* `addValue(long)`: Adds</t>
        </is>
      </c>
      <c r="E433" t="n">
        <v>0</v>
      </c>
      <c r="F433" t="n">
        <v>0</v>
      </c>
      <c r="G433" t="n">
        <v>0.0397</v>
      </c>
      <c r="H433" t="inlineStr">
        <is>
          <t>The code defines a class called `MaxConcurrencyStream` that maintains a stream of maximum concurrency values for Hystrix thread pools. It does so by implementing a rolling window approach, where the current value is determined based on the previous values in the window. The class also provides methods for adding new values to the stream and retrieving the most recent value. Additionally, it has</t>
        </is>
      </c>
      <c r="I433" t="n">
        <v>0.0029</v>
      </c>
      <c r="J433" t="n">
        <v>0.0563</v>
      </c>
      <c r="K433" t="n">
        <v>0.0741</v>
      </c>
      <c r="L433" t="inlineStr">
        <is>
          <t>The code defines a class named `HystrixThreadPoolMaxConcurrencyStream` that implements the `HystrixThreadPoolStartStream` interface. It provides a stream of maximum concurrency values for Hystrix thread pools. The class uses a rolling window approach to calculate the maximum concurrency value based on the current number of threads in each pool. It also stores the results in a concurrent</t>
        </is>
      </c>
      <c r="M433" t="n">
        <v>0.0033</v>
      </c>
      <c r="N433" t="n">
        <v>0.0317</v>
      </c>
      <c r="O433" t="n">
        <v>0.07870000000000001</v>
      </c>
    </row>
    <row r="434">
      <c r="A434" t="inlineStr">
        <is>
          <t>hystrix</t>
        </is>
      </c>
      <c r="B434" t="inlineStr">
        <is>
          <t>hystrix-core/src/main/java/com/netflix/hystrix/metric/consumer/RollingCommandMaxConcurrencyStream.java</t>
        </is>
      </c>
      <c r="C434">
        <f>HYPERLINK("https://github.com/Netflix/Hystrix/blob/master/hystrix-core/src/main/java/com/netflix/hystrix/metric/consumer/RollingCommandMaxConcurrencyStream.java")</f>
        <v/>
      </c>
      <c r="D434" t="inlineStr">
        <is>
          <t>The provided code defines a class called `MaxConcurrencyStream` that maintains a stream of the maximum concurrency seen by a Hystrix command. It does this by using a concurrent hash map (`ConcurrentHashMap`) to store the current maximum concurrency value for each command key. Whenever a new start event occurs for a given command key, the current maximum concurrency value is updated</t>
        </is>
      </c>
      <c r="E434" t="n">
        <v>0</v>
      </c>
      <c r="F434" t="n">
        <v>0.0294</v>
      </c>
      <c r="G434" t="n">
        <v>0.07580000000000001</v>
      </c>
      <c r="H434" t="inlineStr">
        <is>
          <t>The code defines a class called `MaxConcurrencyStream` that maintains a stream of the maximum concurrency seen by a Hystrix command. It does this by using a concurrent hash map to store the current max concurrency value, and updating it whenever a new request arrives. The class also has methods to retrieve the current max concurrency value and reset the stream.</t>
        </is>
      </c>
      <c r="I434" t="n">
        <v>0.003</v>
      </c>
      <c r="J434" t="n">
        <v>0.0588</v>
      </c>
      <c r="K434" t="n">
        <v>0.1136</v>
      </c>
      <c r="L434" t="inlineStr">
        <is>
          <t>The code defines a class called HystrixMaxConcurrencyStream that maintains a stream of the maximum concurrency seen by a Hystrix command. It uses a ConcurrentHashMap to store the maximum concurrency values for each command key. When a new command starts, the current maximum concurrency value is retrieved from the map and updated if necessary. If the maximum concurrency value has changed</t>
        </is>
      </c>
      <c r="M434" t="n">
        <v>0.003</v>
      </c>
      <c r="N434" t="n">
        <v>0.0294</v>
      </c>
      <c r="O434" t="n">
        <v>0.142</v>
      </c>
    </row>
    <row r="435">
      <c r="A435" t="inlineStr">
        <is>
          <t>hystrix</t>
        </is>
      </c>
      <c r="B435" t="inlineStr">
        <is>
          <t>hystrix-core/src/main/java/com/netflix/hystrix/metric/consumer/HealthCountsStream.java</t>
        </is>
      </c>
      <c r="C435">
        <f>HYPERLINK("https://github.com/Netflix/Hystrix/blob/master/hystrix-core/src/main/java/com/netflix/hystrix/metric/consumer/HealthCountsStream.java")</f>
        <v/>
      </c>
      <c r="D435" t="inlineStr">
        <is>
          <t>This Java class implements a consumer of Hystrix command metrics, which are used to track the performance and behavior of Hystrix commands in a system. The class uses RxJava's `Func2` interface to perform a function on each metric streamed from the Hystrix command completion stream. It also defines several constants related to Hystrix events and properties.</t>
        </is>
      </c>
      <c r="E435" t="n">
        <v>0.0043</v>
      </c>
      <c r="F435" t="n">
        <v>0.1231</v>
      </c>
      <c r="G435" t="n">
        <v>0.1563</v>
      </c>
      <c r="H435" t="inlineStr">
        <is>
          <t>This code appears to be part of a Java project that implements various metrics consumers for Hystrix, a library used for implementing circuit breakers and fallback logic in microservices architectures. The code defines several classes related to command completion streams, which are used to track the execution of commands and their outcomes.
The `HystrixCommandCompletion` class represents a single command</t>
        </is>
      </c>
      <c r="I435" t="n">
        <v>0.0041</v>
      </c>
      <c r="J435" t="n">
        <v>0.1194</v>
      </c>
      <c r="K435" t="n">
        <v>0.1527</v>
      </c>
      <c r="L435" t="inlineStr">
        <is>
          <t>The code defines a class that consumes Hystrix command metrics from a stream and calculates various statistics such as request volume, error percentage, and latency. It uses RxJava's `Func2` interface to perform the calculations. The class takes two parameters: a `HystrixCommandKey`, which represents the name of the command being monitored, and a `H</t>
        </is>
      </c>
      <c r="M435" t="n">
        <v>0.0035</v>
      </c>
      <c r="N435" t="n">
        <v>0.0323</v>
      </c>
      <c r="O435" t="n">
        <v>0.08</v>
      </c>
    </row>
    <row r="436">
      <c r="A436" t="inlineStr">
        <is>
          <t>hystrix</t>
        </is>
      </c>
      <c r="B436" t="inlineStr">
        <is>
          <t>hystrix-core/src/main/java/com/netflix/hystrix/metric/consumer/RollingCollapserBatchSizeDistributionStream.java</t>
        </is>
      </c>
      <c r="C436">
        <f>HYPERLINK("https://github.com/Netflix/Hystrix/blob/master/hystrix-core/src/main/java/com/netflix/hystrix/metric/consumer/RollingCollapserBatchSizeDistributionStream.java")</f>
        <v/>
      </c>
      <c r="D436" t="inlineStr">
        <is>
          <t>The code defines a class called `HystrixCollapserMetrics` that implements the interface `HystrixCollapserEventStream`. It has several methods that handle different types of events related to collapsing requests, such as `incrementRequestBatchSize`, `incrementErrorCount`, and `addValueToBucketedCumulativeTotal`. These methods update various metrics</t>
        </is>
      </c>
      <c r="E436" t="n">
        <v>0.006</v>
      </c>
      <c r="F436" t="n">
        <v>0.08890000000000001</v>
      </c>
      <c r="G436" t="n">
        <v>0.0917</v>
      </c>
      <c r="H436" t="inlineStr">
        <is>
          <t>This code appears to be part of a Java project that implements a system for tracking and processing metrics related to collapsing requests using Hystrix. The code defines several classes and methods related to the implementation of the Hystrix collapser feature, which allows multiple concurrent requests to be executed as a single batch request when possible.
The `HystrixCollapserMetrics</t>
        </is>
      </c>
      <c r="I436" t="n">
        <v>0.0041</v>
      </c>
      <c r="J436" t="n">
        <v>0.09089999999999999</v>
      </c>
      <c r="K436" t="n">
        <v>0.1538</v>
      </c>
      <c r="L436" t="inlineStr">
        <is>
          <t>The provided code implements a Hystrix collapser that consumes events from an event stream and computes statistical data about them. It uses the Hystrix library's metrics system to track these statistics and provides methods for retrieving them. The collapser has a configurable window size and can be configured to compute different types of statistics such as percentiles and histograms.</t>
        </is>
      </c>
      <c r="M436" t="n">
        <v>0.0037</v>
      </c>
      <c r="N436" t="n">
        <v>0.0588</v>
      </c>
      <c r="O436" t="n">
        <v>0.1145</v>
      </c>
    </row>
    <row r="437">
      <c r="A437" t="inlineStr">
        <is>
          <t>hystrix</t>
        </is>
      </c>
      <c r="B437" t="inlineStr">
        <is>
          <t>hystrix-core/src/main/java/com/netflix/hystrix/metric/consumer/RollingConcurrencyStream.java</t>
        </is>
      </c>
      <c r="C437">
        <f>HYPERLINK("https://github.com/Netflix/Hystrix/blob/master/hystrix-core/src/main/java/com/netflix/hystrix/metric/consumer/RollingConcurrencyStream.java")</f>
        <v/>
      </c>
      <c r="D437" t="inlineStr">
        <is>
          <t>The provided code appears to be part of a Java application that uses RXJava to implement various observables and subscriptions. It defines several classes and interfaces related to Hystrix, which is a library used for implementing fault tolerance and chaos engineering in distributed systems.
The `HystrixMetricConsumer` class appears to be responsible for consuming metrics from the `</t>
        </is>
      </c>
      <c r="E437" t="n">
        <v>0.0032</v>
      </c>
      <c r="F437" t="n">
        <v>0.0625</v>
      </c>
      <c r="G437" t="n">
        <v>0.1163</v>
      </c>
      <c r="H437" t="inlineStr">
        <is>
          <t>This code appears to be part of a Java project that implements various Hystrix metrics consumers. The main class, `com.netflix.hystrix.metric.consumer.HystrixMetricConsumer`, defines several methods related to consuming Hystrix metrics from an event stream. It also imports various classes from other packages within the same repository.</t>
        </is>
      </c>
      <c r="I437" t="n">
        <v>0.005</v>
      </c>
      <c r="J437" t="n">
        <v>0.0702</v>
      </c>
      <c r="K437" t="n">
        <v>0.1293</v>
      </c>
      <c r="L437" t="inlineStr">
        <is>
          <t>The provided code defines a class that consumes Hystrix command execution metrics from an event stream and calculates various statistics such as mean, standard deviation, and percentiles. It uses RxJava observables to handle asynchronous events and provides a simple API for subscribing to these statistics.</t>
        </is>
      </c>
      <c r="M437" t="n">
        <v>0.0041</v>
      </c>
      <c r="N437" t="n">
        <v>0.0377</v>
      </c>
      <c r="O437" t="n">
        <v>0.08550000000000001</v>
      </c>
    </row>
    <row r="438">
      <c r="A438" t="inlineStr">
        <is>
          <t>hystrix</t>
        </is>
      </c>
      <c r="B438" t="inlineStr">
        <is>
          <t>hystrix-core/src/main/java/com/netflix/hystrix/metric/consumer/CumulativeCollapserEventCounterStream.java</t>
        </is>
      </c>
      <c r="C438">
        <f>HYPERLINK("https://github.com/Netflix/Hystrix/blob/master/hystrix-core/src/main/java/com/netflix/hystrix/metric/consumer/CumulativeCollapserEventCounterStream.java")</f>
        <v/>
      </c>
      <c r="D438" t="inlineStr">
        <is>
          <t>The provided code defines a class called `HystrixCollapserMetricConsumer` that consumes metrics from a stream of events emitted by a collapser. It does so by using a `Func2` function to combine the latest event values with the previous ones, based on the type of event being processed. This allows the consumer to maintain a running total of the number</t>
        </is>
      </c>
      <c r="E438" t="n">
        <v>0.0031</v>
      </c>
      <c r="F438" t="n">
        <v>0.0303</v>
      </c>
      <c r="G438" t="n">
        <v>0.0769</v>
      </c>
      <c r="H438" t="inlineStr">
        <is>
          <t>The provided code defines a Java package named `com.netflix.hystrix.metric.consumer` that implements various metrics consumers for Hystrix, a library used for implementing circuit breakers and fallback logic in microservices architectures. The package includes several classes that consume Hystrix metric events and perform actions based on those events.
The main class in</t>
        </is>
      </c>
      <c r="I438" t="n">
        <v>0.0044</v>
      </c>
      <c r="J438" t="n">
        <v>0.0968</v>
      </c>
      <c r="K438" t="n">
        <v>0.123</v>
      </c>
      <c r="L438" t="inlineStr">
        <is>
          <t>The provided Java code defines a class that consumes Hystrix collapser metrics and generates a stream of events based on those metrics. The class takes in a `HystrixCollapserKey` object as input and uses it to retrieve properties and metrics from the Hystrix system. It then processes these metrics using a custom function (`Func2`) and emits a new event</t>
        </is>
      </c>
      <c r="M438" t="n">
        <v>0.0031</v>
      </c>
      <c r="N438" t="n">
        <v>0.0606</v>
      </c>
      <c r="O438" t="n">
        <v>0.0769</v>
      </c>
    </row>
    <row r="439">
      <c r="A439" t="inlineStr">
        <is>
          <t>hystrix</t>
        </is>
      </c>
      <c r="B439" t="inlineStr">
        <is>
          <t>hystrix-core/src/main/java/com/netflix/hystrix/metric/consumer/RollingCommandUserLatencyDistributionStream.java</t>
        </is>
      </c>
      <c r="C439">
        <f>HYPERLINK("https://github.com/Netflix/Hystrix/blob/master/hystrix-core/src/main/java/com/netflix/hystrix/metric/consumer/RollingCommandUserLatencyDistributionStream.java")</f>
        <v/>
      </c>
      <c r="D439" t="inlineStr">
        <is>
          <t>The code defines a Hystrix command completion stream that consumes events from a Hystrix command completion stream and updates metrics based on the received events. It uses the `HystrixCommandProperties` class to get properties related to the command execution, such as the number of threads allowed to execute concurrently, and the timeout value. The code also uses the `HystrixCollaps</t>
        </is>
      </c>
      <c r="E439" t="n">
        <v>0.0031</v>
      </c>
      <c r="F439" t="n">
        <v>0.0303</v>
      </c>
      <c r="G439" t="n">
        <v>0.0769</v>
      </c>
      <c r="H439" t="inlineStr">
        <is>
          <t>This code appears to be part of a Java project that implements various Hystrix metrics consumers. The `com.netflix.hystrix.metric.consumer` package contains classes that consume Hystrix command events from the `com.netflix.hystrix.metric.HystrixCommandCompletionStream`. These events include information about the execution of commands,</t>
        </is>
      </c>
      <c r="I439" t="n">
        <v>0.0058</v>
      </c>
      <c r="J439" t="n">
        <v>0.0741</v>
      </c>
      <c r="K439" t="n">
        <v>0.1364</v>
      </c>
      <c r="L439" t="inlineStr">
        <is>
          <t>The provided code implements a Hystrix command completion stream that consumes events from a Hystrix command completion stream and updates metrics based on those events. It uses the `com.netflix.hystrix` package and imports several classes from that package, including `HystrixCollapserProperties`, `HystrixCommandKey`, `HystrixCommandProperties`, `</t>
        </is>
      </c>
      <c r="M439" t="n">
        <v>0.0052</v>
      </c>
      <c r="N439" t="n">
        <v>0.0784</v>
      </c>
      <c r="O439" t="n">
        <v>0.1316</v>
      </c>
    </row>
    <row r="440">
      <c r="A440" t="inlineStr">
        <is>
          <t>hystrix</t>
        </is>
      </c>
      <c r="B440" t="inlineStr">
        <is>
          <t>hystrix-core/src/main/java/com/netflix/hystrix/metric/consumer/HystrixDashboardStream.java</t>
        </is>
      </c>
      <c r="C440">
        <f>HYPERLINK("https://github.com/Netflix/Hystrix/blob/master/hystrix-core/src/main/java/com/netflix/hystrix/metric/consumer/HystrixDashboardStream.java")</f>
        <v/>
      </c>
      <c r="D440" t="inlineStr">
        <is>
          <t>This Java code appears to be part of a Hystrix library for tracking metrics related to command executions, collapsers, and thread pools. The code defines several classes that implement various interfaces and functions related to these metrics.
The `HystrixCommandMetrics` class seems to handle metrics related to individual commands, such as request counts, error rates, and latency</t>
        </is>
      </c>
      <c r="E440" t="n">
        <v>0.0039</v>
      </c>
      <c r="F440" t="n">
        <v>0.125</v>
      </c>
      <c r="G440" t="n">
        <v>0.1563</v>
      </c>
      <c r="H440" t="inlineStr">
        <is>
          <t>This code defines a Java package called `com.netflix.hystrix.metric.consumer` that provides various utilities for consuming metrics from Hystrix, a library used for building resilient cloud applications. The package includes classes for consuming command, thread pool, and collapser metrics, as well as functions for converting these metrics into RxJava Observ</t>
        </is>
      </c>
      <c r="I440" t="n">
        <v>0.0045</v>
      </c>
      <c r="J440" t="n">
        <v>0.0667</v>
      </c>
      <c r="K440" t="n">
        <v>0.125</v>
      </c>
      <c r="L440" t="inlineStr">
        <is>
          <t>The code defines a class that consumes metrics from Hystrix commands, collapsers, and thread pools and publishes them as observables. It uses RxJava's `Observable` API to create and manage these observables. The class also has a constructor that takes a dynamic property factory as input, which allows for configuration of various parameters such as the frequency of metric publishing</t>
        </is>
      </c>
      <c r="M440" t="n">
        <v>0.0031</v>
      </c>
      <c r="N440" t="n">
        <v>0.0294</v>
      </c>
      <c r="O440" t="n">
        <v>0.07630000000000001</v>
      </c>
    </row>
    <row r="441">
      <c r="A441" t="inlineStr">
        <is>
          <t>hystrix</t>
        </is>
      </c>
      <c r="B441" t="inlineStr">
        <is>
          <t>hystrix-core/src/main/java/com/netflix/hystrix/metric/consumer/RollingCollapserEventCounterStream.java</t>
        </is>
      </c>
      <c r="C441">
        <f>HYPERLINK("https://github.com/Netflix/Hystrix/blob/master/hystrix-core/src/main/java/com/netflix/hystrix/metric/consumer/RollingCollapserEventCounterStream.java")</f>
        <v/>
      </c>
      <c r="D441" t="inlineStr">
        <is>
          <t>This Java class implements a consumer of Hystrix collapser metrics, which is a component of the Hystrix library used for managing and monitoring complex systems. The class takes in a `HystrixCollapserKey` object representing the key of the collapser, a `HystrixCollapserMetrics` object representing the metrics of the collapser,</t>
        </is>
      </c>
      <c r="E441" t="n">
        <v>0.0051</v>
      </c>
      <c r="F441" t="n">
        <v>0.1091</v>
      </c>
      <c r="G441" t="n">
        <v>0.1681</v>
      </c>
      <c r="H441" t="inlineStr">
        <is>
          <t>This code appears to be part of a Java project that implements various metrics related to Hystrix collapsers, which are used to manage requests within a service. The code defines several classes, including `HystrixCollapserMetrics`, `HystrixCollapserProperties`, and `HystrixCollapserEventStream`. These classes appear to provide methods for tracking and</t>
        </is>
      </c>
      <c r="I441" t="n">
        <v>0.0053</v>
      </c>
      <c r="J441" t="n">
        <v>0.1111</v>
      </c>
      <c r="K441" t="n">
        <v>0.1695</v>
      </c>
      <c r="L441" t="inlineStr">
        <is>
          <t>The code defines a Hystrix collapser event stream that consumes events from multiple sources and produces a single stream of collapsed events. It uses the RxJava library to perform the actual collapsing. The code also includes comments explaining the purpose of the class and how it works.</t>
        </is>
      </c>
      <c r="M441" t="n">
        <v>0.0039</v>
      </c>
      <c r="N441" t="n">
        <v>0.0364</v>
      </c>
      <c r="O441" t="n">
        <v>0.08400000000000001</v>
      </c>
    </row>
    <row r="442">
      <c r="A442" t="inlineStr">
        <is>
          <t>hystrix</t>
        </is>
      </c>
      <c r="B442" t="inlineStr">
        <is>
          <t>hystrix-core/src/main/java/com/netflix/hystrix/metric/consumer/CumulativeCommandEventCounterStream.java</t>
        </is>
      </c>
      <c r="C442">
        <f>HYPERLINK("https://github.com/Netflix/Hystrix/blob/master/hystrix-core/src/main/java/com/netflix/hystrix/metric/consumer/CumulativeCommandEventCounterStream.java")</f>
        <v/>
      </c>
      <c r="D442" t="inlineStr">
        <is>
          <t>This Java code appears to be part of a project related to Hystrix, a library used for implementing circuit breakers in Java applications. The code defines a class called `HystrixCommandMetrics` that implements the `Func2` interface from RX. It also imports several other classes from the same package as well as classes from the RX library.
The class has</t>
        </is>
      </c>
      <c r="E442" t="n">
        <v>0.0037</v>
      </c>
      <c r="F442" t="n">
        <v>0.0606</v>
      </c>
      <c r="G442" t="n">
        <v>0.1154</v>
      </c>
      <c r="H442" t="inlineStr">
        <is>
          <t>This code implements a Hystrix command completion stream that processes events from a Hystrix event stream. The implementation uses RX Java's `Func2` interface to perform the processing. It also includes comments explaining the purpose of each class and method.</t>
        </is>
      </c>
      <c r="I442" t="n">
        <v>0.0062</v>
      </c>
      <c r="J442" t="n">
        <v>0.125</v>
      </c>
      <c r="K442" t="n">
        <v>0.1802</v>
      </c>
      <c r="L442" t="inlineStr">
        <is>
          <t>The code defines a class that consumes Hystrix command completion events from a stream and aggregates them into metrics. It uses RxJava's `Func2` interface to implement the aggregation function. The class takes two parameters upon instantiation: a `HystrixCommandKey`, which identifies the type of commands being tracked, and a `HystrixCommandMet</t>
        </is>
      </c>
      <c r="M442" t="n">
        <v>0.0037</v>
      </c>
      <c r="N442" t="n">
        <v>0.1034</v>
      </c>
      <c r="O442" t="n">
        <v>0.124</v>
      </c>
    </row>
    <row r="443">
      <c r="A443" t="inlineStr">
        <is>
          <t>hystrix</t>
        </is>
      </c>
      <c r="B443" t="inlineStr">
        <is>
          <t>hystrix-core/src/main/java/com/netflix/hystrix/metric/consumer/RollingCommandEventCounterStream.java</t>
        </is>
      </c>
      <c r="C443">
        <f>HYPERLINK("https://github.com/Netflix/Hystrix/blob/master/hystrix-core/src/main/java/com/netflix/hystrix/metric/consumer/RollingCommandEventCounterStream.java")</f>
        <v/>
      </c>
      <c r="D443" t="inlineStr">
        <is>
          <t>This Java code defines a class that implements the `Func2` interface from RXJava library. The class takes two parameters, `commandKey` and `properties`, which represent a command key and its properties, respectively. It also has a constructor that initializes some variables.
The `apply` method of the class is where the actual logic happens. It first checks if the command</t>
        </is>
      </c>
      <c r="E443" t="n">
        <v>0.0041</v>
      </c>
      <c r="F443" t="n">
        <v>0.1212</v>
      </c>
      <c r="G443" t="n">
        <v>0.1154</v>
      </c>
      <c r="H443" t="inlineStr">
        <is>
          <t>This code defines a Java package named `com.netflix.hystrix.metric.consumer` that provides classes and interfaces related to consuming Hystrix metrics. The package includes several classes, including `HystrixCommandMetrics`, which represents a set of metrics for a single Hystrix command, and `HystrixCommandCompletionStream`, which provides a stream</t>
        </is>
      </c>
      <c r="I443" t="n">
        <v>0.0052</v>
      </c>
      <c r="J443" t="n">
        <v>0.0741</v>
      </c>
      <c r="K443" t="n">
        <v>0.0877</v>
      </c>
      <c r="L443" t="inlineStr">
        <is>
          <t>The provided Java code defines a class that consumes Hystrix command metrics and performs some operation based on those metrics. It uses RXJava's `Func2` interface to define a function that takes two arguments: a command key and a metric stream. The function processes each metric event from the stream using a series of conditional statements, and if certain conditions are met, it performs some</t>
        </is>
      </c>
      <c r="M443" t="n">
        <v>0.0028</v>
      </c>
      <c r="N443" t="n">
        <v>0.0548</v>
      </c>
      <c r="O443" t="n">
        <v>0.0735</v>
      </c>
    </row>
    <row r="444">
      <c r="A444" t="inlineStr">
        <is>
          <t>hystrix</t>
        </is>
      </c>
      <c r="B444" t="inlineStr">
        <is>
          <t>hystrix-core/src/main/java/com/netflix/hystrix/metric/consumer/RollingCommandLatencyDistributionStream.java</t>
        </is>
      </c>
      <c r="C444">
        <f>HYPERLINK("https://github.com/Netflix/Hystrix/blob/master/hystrix-core/src/main/java/com/netflix/hystrix/metric/consumer/RollingCommandLatencyDistributionStream.java")</f>
        <v/>
      </c>
      <c r="D444" t="inlineStr">
        <is>
          <t>This code appears to be part of a Java project that implements a command completion stream for Hystrix, a library used for implementing circuit breakers and fallbacks in microservices architectures. The code defines a class called `HystrixCommandCompletionStream` that extends the `Observable` interface from RXJava and provides a stream of events representing command completions. It also includes several</t>
        </is>
      </c>
      <c r="E444" t="n">
        <v>0.0042</v>
      </c>
      <c r="F444" t="n">
        <v>0.09229999999999999</v>
      </c>
      <c r="G444" t="n">
        <v>0.155</v>
      </c>
      <c r="H444" t="inlineStr">
        <is>
          <t>This code defines a class called `HystrixCommandMetrics` that implements the `HystrixCommandCompletionStream` interface. It provides methods for consuming command completion events from Hystrix commands and maintaining histograms of those events. The class also has a constructor that takes a `HystrixCommandKey` object as input and uses it to initialize the metrics. The</t>
        </is>
      </c>
      <c r="I444" t="n">
        <v>0.0048</v>
      </c>
      <c r="J444" t="n">
        <v>0.1034</v>
      </c>
      <c r="K444" t="n">
        <v>0.1639</v>
      </c>
      <c r="L444" t="inlineStr">
        <is>
          <t>The provided code implements a Hystrix command completion stream that collects data from multiple sources and provides a histogram of command execution times. It uses the RX library to process the data and the HDR Histogram library to calculate the histogram. The code also includes comments explaining the purpose of each section and how it contributes to the overall functionality.</t>
        </is>
      </c>
      <c r="M444" t="n">
        <v>0.0036</v>
      </c>
      <c r="N444" t="n">
        <v>0.0588</v>
      </c>
      <c r="O444" t="n">
        <v>0.1136</v>
      </c>
    </row>
    <row r="445">
      <c r="A445" t="inlineStr">
        <is>
          <t>hystrix</t>
        </is>
      </c>
      <c r="B445" t="inlineStr">
        <is>
          <t>hystrix-core/src/main/java/com/netflix/hystrix/metric/consumer/BucketedRollingCounterStream.java</t>
        </is>
      </c>
      <c r="C445">
        <f>HYPERLINK("https://github.com/Netflix/Hystrix/blob/master/hystrix-core/src/main/java/com/netflix/hystrix/metric/consumer/BucketedRollingCounterStream.java")</f>
        <v/>
      </c>
      <c r="D445" t="inlineStr">
        <is>
          <t>The code defines a class called `BucketedRollingCounter` that extends `BucketedCounterStream`. It adds a new method called `reduceNumBuckets()` that reduces the number of buckets used in the counter by half each time it is called. This is done using a combination of RxJava's `map()`, `filter()`, and `scan</t>
        </is>
      </c>
      <c r="E445" t="n">
        <v>0.0048</v>
      </c>
      <c r="F445" t="n">
        <v>0.0727</v>
      </c>
      <c r="G445" t="n">
        <v>0.1271</v>
      </c>
      <c r="H445" t="inlineStr">
        <is>
          <t>This code defines a class called `BucketedCounterStream` that extends the `HystrixEventStream` class from the Hystrix library. It provides a refined implementation of the `BucketedCounterStream` class, reducing the number of buckets it uses at a time. The class has several methods, including a constructor, a method to get the current value</t>
        </is>
      </c>
      <c r="I445" t="n">
        <v>0.0037</v>
      </c>
      <c r="J445" t="n">
        <v>0.06900000000000001</v>
      </c>
      <c r="K445" t="n">
        <v>0.123</v>
      </c>
      <c r="L445" t="inlineStr">
        <is>
          <t>The provided code defines a class called `BucketedCounterStream` that extends the `HystrixEventStream` class from the Hystrix library. It provides a way to track the number of events that occur within a given time window, where each event can be represented as a counter value. The implementation uses a sliding window approach, where the counters are stored in bu</t>
        </is>
      </c>
      <c r="M445" t="n">
        <v>0</v>
      </c>
      <c r="N445" t="n">
        <v>0.0303</v>
      </c>
      <c r="O445" t="n">
        <v>0.0769</v>
      </c>
    </row>
    <row r="446">
      <c r="A446" t="inlineStr">
        <is>
          <t>hystrix</t>
        </is>
      </c>
      <c r="B446" t="inlineStr">
        <is>
          <t>hystrix-core/src/main/java/com/netflix/hystrix/metric/consumer/BucketedCounterStream.java</t>
        </is>
      </c>
      <c r="C446">
        <f>HYPERLINK("https://github.com/Netflix/Hystrix/blob/master/hystrix-core/src/main/java/com/netflix/hystrix/metric/consumer/BucketedCounterStream.java")</f>
        <v/>
      </c>
      <c r="D446" t="inlineStr">
        <is>
          <t>This code appears to be part of a Java application that uses RXJava to consume events from a Hystrix event stream. The `HystrixEventStream` class provides a way to subscribe to events emitted by the Hystrix library, which can then be processed using RXJava's observable pattern.
The code defines several functions and classes related to processing the</t>
        </is>
      </c>
      <c r="E446" t="n">
        <v>0.0039</v>
      </c>
      <c r="F446" t="n">
        <v>0.09229999999999999</v>
      </c>
      <c r="G446" t="n">
        <v>0.1997</v>
      </c>
      <c r="H446" t="inlineStr">
        <is>
          <t>This code implements a system that consumes metrics from a Hystrix event stream and performs various computations on them. The system uses RxJava observables to handle the asynchronous nature of the data processing. It also uses functional programming techniques such as map, filter, and reduce to perform the computations. The code is well-documented and includes comments explaining the purpose of each section.</t>
        </is>
      </c>
      <c r="I446" t="n">
        <v>0.0039</v>
      </c>
      <c r="J446" t="n">
        <v>0.1127</v>
      </c>
      <c r="K446" t="n">
        <v>0.1493</v>
      </c>
      <c r="L446" t="inlineStr">
        <is>
          <t>The provided code implements a Hystrix event stream consumer that processes events from multiple sources and aggregates them into a single observable stream. It uses RxJava's `Observable` class to represent the event stream and provides methods to subscribe to the stream and retrieve the latest values. The code also includes a `BehaviorSubject` instance to store the current state of the stream and a `</t>
        </is>
      </c>
      <c r="M446" t="n">
        <v>0.0034</v>
      </c>
      <c r="N446" t="n">
        <v>0.0556</v>
      </c>
      <c r="O446" t="n">
        <v>0.1103</v>
      </c>
    </row>
    <row r="447">
      <c r="A447" t="inlineStr">
        <is>
          <t>hystrix</t>
        </is>
      </c>
      <c r="B447" t="inlineStr">
        <is>
          <t>hystrix-core/src/main/java/com/netflix/hystrix/metric/consumer/BucketedCumulativeCounterStream.java</t>
        </is>
      </c>
      <c r="C447">
        <f>HYPERLINK("https://github.com/Netflix/Hystrix/blob/master/hystrix-core/src/main/java/com/netflix/hystrix/metric/consumer/BucketedCumulativeCounterStream.java")</f>
        <v/>
      </c>
      <c r="D447" t="inlineStr">
        <is>
          <t>This code defines a `BucketedCounterStream` class that extends the `HystrixEventStream` class from the Hystrix library. It provides a way to count events over time, but instead of using fixed buckets like the parent class, it uses infinite buckets that reduce the counter value every time it reaches a certain threshold. The implementation is based on RxJava</t>
        </is>
      </c>
      <c r="E447" t="n">
        <v>0.0033</v>
      </c>
      <c r="F447" t="n">
        <v>0.0625</v>
      </c>
      <c r="G447" t="n">
        <v>0.1172</v>
      </c>
      <c r="H447" t="inlineStr">
        <is>
          <t>This code defines a custom implementation of a counter stream that extends the `BucketedCounterStream` class from the Hystrix library. The main purpose of this implementation is to provide a more efficient way of tracking events over time, specifically in the context of the Hystrix circuit breaker pattern.
The implementation uses a combination of RxJava observables and atomic variables to</t>
        </is>
      </c>
      <c r="I447" t="n">
        <v>0.0037</v>
      </c>
      <c r="J447" t="n">
        <v>0.0896</v>
      </c>
      <c r="K447" t="n">
        <v>0.1527</v>
      </c>
      <c r="L447" t="inlineStr">
        <is>
          <t>The code defines a refinement of the `BucketedCounterStream` class that accumulates counters infinitely in the bucket reduction process. It uses RX Java's `Observable` API to implement the counter stream and provides a more efficient implementation than the original version.</t>
        </is>
      </c>
      <c r="M447" t="n">
        <v>0.0047</v>
      </c>
      <c r="N447" t="n">
        <v>0.0833</v>
      </c>
      <c r="O447" t="n">
        <v>0.1351</v>
      </c>
    </row>
    <row r="448">
      <c r="A448" t="inlineStr">
        <is>
          <t>hystrix</t>
        </is>
      </c>
      <c r="B448" t="inlineStr">
        <is>
          <t>hystrix-core/src/main/java/com/netflix/hystrix/metric/consumer/RollingThreadPoolEventCounterStream.java</t>
        </is>
      </c>
      <c r="C448">
        <f>HYPERLINK("https://github.com/Netflix/Hystrix/blob/master/hystrix-core/src/main/java/com/netflix/hystrix/metric/consumer/RollingThreadPoolEventCounterStream.java")</f>
        <v/>
      </c>
      <c r="D448" t="inlineStr">
        <is>
          <t>The provided code defines a class called `HystrixThreadPoolCompletionStream` that implements the `rx.fun` interface. It appears to be responsible for consuming data from a thread pool completion stream, which is used to track the execution of commands within a Hystrix thread pool.
The class has several methods that handle different types of events related to command execution, such as `</t>
        </is>
      </c>
      <c r="E448" t="n">
        <v>0.0031</v>
      </c>
      <c r="F448" t="n">
        <v>0.0299</v>
      </c>
      <c r="G448" t="n">
        <v>0.07630000000000001</v>
      </c>
      <c r="H448" t="inlineStr">
        <is>
          <t>This code appears to be part of a Java project that implements a Hystrix command completion stream listener. The class `com.netflix.hystrix.metric.consumer.HystrixThreadPoolCompletionStream` is responsible for listening to events emitted by Hystrix thread pool metrics and handling them appropriately. It does this by implementing the `rx.fun.On</t>
        </is>
      </c>
      <c r="I448" t="n">
        <v>0.0055</v>
      </c>
      <c r="J448" t="n">
        <v>0.1017</v>
      </c>
      <c r="K448" t="n">
        <v>0.1724</v>
      </c>
      <c r="L448" t="inlineStr">
        <is>
          <t>The provided code implements a Hystrix command completion stream that consumes data from a Hystrix thread pool metrics object and emits events based on the input data. It uses RxJava's `Observable` class to handle the event emission and provides a simple API for adding listeners to the stream. The code also includes comments and documentation to provide context and explain the implementation details.</t>
        </is>
      </c>
      <c r="M448" t="n">
        <v>0.0034</v>
      </c>
      <c r="N448" t="n">
        <v>0.0556</v>
      </c>
      <c r="O448" t="n">
        <v>0.1111</v>
      </c>
    </row>
    <row r="449">
      <c r="A449" t="inlineStr">
        <is>
          <t>hystrix</t>
        </is>
      </c>
      <c r="B449" t="inlineStr">
        <is>
          <t>hystrix-core/src/main/java/com/netflix/hystrix/metric/sample/HystrixUtilizationStream.java</t>
        </is>
      </c>
      <c r="C449">
        <f>HYPERLINK("https://github.com/Netflix/Hystrix/blob/master/hystrix-core/src/main/java/com/netflix/hystrix/metric/sample/HystrixUtilizationStream.java")</f>
        <v/>
      </c>
      <c r="D449" t="inlineStr">
        <is>
          <t>This code appears to be a Java implementation of a class that samples metrics from Hystrix commands and threads. It uses RxJava observables to perform the sampling and provides methods for retrieving the sampled data as well as configuration options for controlling the sampling process. The code also includes documentation comments and a README file describing the purpose and complexity of the project.</t>
        </is>
      </c>
      <c r="E449" t="n">
        <v>0.0034</v>
      </c>
      <c r="F449" t="n">
        <v>0.08450000000000001</v>
      </c>
      <c r="G449" t="n">
        <v>0.1481</v>
      </c>
      <c r="H449" t="inlineStr">
        <is>
          <t>This code appears to be part of a Java application that implements various metrics collection and reporting mechanisms for Hystrix, a library used for implementing circuit breakers and fallback logic in microservices architectures. The code defines several classes and methods related to collecting and processing metrics data from Hystrix commands and thread pools, as well as exposing these metrics through RX Observables</t>
        </is>
      </c>
      <c r="I449" t="n">
        <v>0.0039</v>
      </c>
      <c r="J449" t="n">
        <v>0.1143</v>
      </c>
      <c r="K449" t="n">
        <v>0.1493</v>
      </c>
      <c r="L449" t="inlineStr">
        <is>
          <t>The code defines a class that collects metrics from Hystrix commands and threads using RxJava observables. It has two methods: `collectCommandMetrics` and `collectThreadPoolMetrics`. These methods create observables that emit new values every second and return them asynchronously. The observables are created based on dynamic properties defined in the configuration file. The class also includes comments</t>
        </is>
      </c>
      <c r="M449" t="n">
        <v>0.0033</v>
      </c>
      <c r="N449" t="n">
        <v>0.0317</v>
      </c>
      <c r="O449" t="n">
        <v>0.07870000000000001</v>
      </c>
    </row>
    <row r="450">
      <c r="A450" t="inlineStr">
        <is>
          <t>hystrix</t>
        </is>
      </c>
      <c r="B450" t="inlineStr">
        <is>
          <t>hystrix-core/src/main/java/com/netflix/hystrix/metric/sample/HystrixCommandUtilization.java</t>
        </is>
      </c>
      <c r="C450">
        <f>HYPERLINK("https://github.com/Netflix/Hystrix/blob/master/hystrix-core/src/main/java/com/netflix/hystrix/metric/sample/HystrixCommandUtilization.java")</f>
        <v/>
      </c>
      <c r="D450" t="inlineStr">
        <is>
          <t>The `HystrixCommandUtilization` class provides a way to track the number of concurrent commands that are currently executing within a given time window. It takes in a single parameter, which represents the maximum number of concurrent commands allowed. When a new command is executed, it checks if there are already `concurrentCommandCount` number of commands running. If so, then it returns false, indicating</t>
        </is>
      </c>
      <c r="E450" t="n">
        <v>0</v>
      </c>
      <c r="F450" t="n">
        <v>0</v>
      </c>
      <c r="G450" t="n">
        <v>0</v>
      </c>
      <c r="H450" t="inlineStr">
        <is>
          <t>This code defines a Java class called `HystrixCommandUtilization` that represents the utilization of a command in the context of the Hystrix library. The constructor takes an integer argument representing the number of concurrent commands being executed. The class provides a single method called `getConcurrentCommandCount()` which returns the value passed into the constructor as the number of concurrent commands being executed.</t>
        </is>
      </c>
      <c r="I450" t="n">
        <v>0.003</v>
      </c>
      <c r="J450" t="n">
        <v>0.0294</v>
      </c>
      <c r="K450" t="n">
        <v>0.0379</v>
      </c>
      <c r="L450" t="inlineStr">
        <is>
          <t>The provided code defines a Java class named `HystrixCommandUtilization` that represents the utilization of commands within a system. It takes an integer argument representing the number of concurrently executing commands as input and calculates various metrics related to command utilization. These metrics include the total number of commands executed, the number of commands currently executing, and the average time spent per command execution.</t>
        </is>
      </c>
      <c r="M450" t="n">
        <v>0.0029</v>
      </c>
      <c r="N450" t="n">
        <v>0.0282</v>
      </c>
      <c r="O450" t="n">
        <v>0.037</v>
      </c>
    </row>
    <row r="451">
      <c r="A451" t="inlineStr">
        <is>
          <t>hystrix</t>
        </is>
      </c>
      <c r="B451" t="inlineStr">
        <is>
          <t>hystrix-core/src/main/java/com/netflix/hystrix/metric/sample/HystrixUtilization.java</t>
        </is>
      </c>
      <c r="C451">
        <f>HYPERLINK("https://github.com/Netflix/Hystrix/blob/master/hystrix-core/src/main/java/com/netflix/hystrix/metric/sample/HystrixUtilization.java")</f>
        <v/>
      </c>
      <c r="D451" t="inlineStr">
        <is>
          <t>This Java code defines a `HystrixUtilization` class that provides utilization metrics for both Hystrix commands and threads pools. The class has two maps: one for command utilization and another for thread pool utilization. Each map stores instances of `HystrixCommandUtilization` and `HystrixThreadPoolUtilization`, respectively.
The `commandUtilization</t>
        </is>
      </c>
      <c r="E451" t="n">
        <v>0.005</v>
      </c>
      <c r="F451" t="n">
        <v>0.0769</v>
      </c>
      <c r="G451" t="n">
        <v>0.1293</v>
      </c>
      <c r="H451" t="inlineStr">
        <is>
          <t>This code defines a Java class called `HystrixUtilization` that provides utilization metrics for Hystrix commands and threads. The class has three main methods:
* `getCommandUtilization`: Returns a map of command keys to their corresponding utilization values.
* `getThreadPoolUtilization`: Returns a map of thread pool keys to their corresponding utilization values.</t>
        </is>
      </c>
      <c r="I451" t="n">
        <v>0.0044</v>
      </c>
      <c r="J451" t="n">
        <v>0.07140000000000001</v>
      </c>
      <c r="K451" t="n">
        <v>0.123</v>
      </c>
      <c r="L451" t="inlineStr">
        <is>
          <t>The `HystrixUtilization` class provides utilization metrics for Hystrix commands and threads. It takes two maps as input: one containing command keys and their corresponding utilization objects, and another containing thread pool keys and their corresponding utilization objects. The class then calculates the overall utilization rate based on these inputs and returns it as a map.</t>
        </is>
      </c>
      <c r="M451" t="n">
        <v>0.0033</v>
      </c>
      <c r="N451" t="n">
        <v>0.0317</v>
      </c>
      <c r="O451" t="n">
        <v>0.07870000000000001</v>
      </c>
    </row>
    <row r="452">
      <c r="A452" t="inlineStr">
        <is>
          <t>hystrix</t>
        </is>
      </c>
      <c r="B452" t="inlineStr">
        <is>
          <t>hystrix-core/src/main/java/com/netflix/hystrix/metric/sample/HystrixThreadPoolUtilization.java</t>
        </is>
      </c>
      <c r="C452">
        <f>HYPERLINK("https://github.com/Netflix/Hystrix/blob/master/hystrix-core/src/main/java/com/netflix/hystrix/metric/sample/HystrixThreadPoolUtilization.java")</f>
        <v/>
      </c>
      <c r="D452" t="inlineStr">
        <is>
          <t>This Java class named `HystrixThreadPoolUtilization` represents the utilization of a thread pool used by the Hystrix library. It has four instance variables that represent the number of active threads, the size of the core pool, the total size of the pool, and the size of the queue. The class provides no methods, but it does have a constructor that takes these parameters as</t>
        </is>
      </c>
      <c r="E452" t="n">
        <v>0.0038</v>
      </c>
      <c r="F452" t="n">
        <v>0.08450000000000001</v>
      </c>
      <c r="G452" t="n">
        <v>0.1481</v>
      </c>
      <c r="H452" t="inlineStr">
        <is>
          <t>This Java package `com.netflix.hystrix.metric.sample` contains a class named `HystrixThreadPoolUtilization`. The class takes four parameters during initialization: `currentActiveCount`, `currentCorePoolSize`, `currentPoolSize`, and `currentQueueSize`. It does not have any methods or fields that can be accessed from outside the class itself.</t>
        </is>
      </c>
      <c r="I452" t="n">
        <v>0.0058</v>
      </c>
      <c r="J452" t="n">
        <v>0.08</v>
      </c>
      <c r="K452" t="n">
        <v>0.09089999999999999</v>
      </c>
      <c r="L452" t="inlineStr">
        <is>
          <t>The `HystrixThreadPoolUtilization` class provides a way to calculate the utilization of a thread pool used by the `Hystrix` library. It takes four parameters as input: `currentActiveCount`, `currentCorePoolSize`, `currentPoolSize`, and `currentQueueSize`. These values represent the number of active threads, the size of the core pool, the total</t>
        </is>
      </c>
      <c r="M452" t="n">
        <v>0.0048</v>
      </c>
      <c r="N452" t="n">
        <v>0.037</v>
      </c>
      <c r="O452" t="n">
        <v>0.1271</v>
      </c>
    </row>
    <row r="453">
      <c r="A453" t="inlineStr">
        <is>
          <t>hystrix</t>
        </is>
      </c>
      <c r="B453" t="inlineStr">
        <is>
          <t>hystrix-core/src/main/java/com/netflix/hystrix/config/HystrixThreadPoolConfiguration.java</t>
        </is>
      </c>
      <c r="C453">
        <f>HYPERLINK("https://github.com/Netflix/Hystrix/blob/master/hystrix-core/src/main/java/com/netflix/hystrix/config/HystrixThreadPoolConfiguration.java")</f>
        <v/>
      </c>
      <c r="D453" t="inlineStr">
        <is>
          <t>The `HystrixThreadPoolConfiguration` class provides configuration options for a thread pool used in the `Hystrix` library. It has several fields that define the size of the thread pool, as well as other properties such as the maximum queue size. The class also includes methods for getting and setting these values.</t>
        </is>
      </c>
      <c r="E453" t="n">
        <v>0.0037</v>
      </c>
      <c r="F453" t="n">
        <v>0.0351</v>
      </c>
      <c r="G453" t="n">
        <v>0.08260000000000001</v>
      </c>
      <c r="H453" t="inlineStr">
        <is>
          <t>The `HystrixThreadPoolConfiguration` class provides configuration options for a thread pool used in the `Hystrix` library. It includes the following properties:
* `threadPoolKey`: A unique identifier for the thread pool.
* `coreSize`: The number of threads that will be created in the thread pool.
* `maximumSize`: The maximum number of threads</t>
        </is>
      </c>
      <c r="I453" t="n">
        <v>0</v>
      </c>
      <c r="J453" t="n">
        <v>0</v>
      </c>
      <c r="K453" t="n">
        <v>0.041</v>
      </c>
      <c r="L453" t="inlineStr">
        <is>
          <t>The provided code defines a Java class called `HystrixThreadPoolConfiguration` that represents a configuration object for a thread pool used by the Hystrix library. It takes several parameters as input, including the thread pool's key, core size, maximum size, actual maximum size, and maximum queue size. These values determine how many threads can be executed concurrently within the thread pool, how</t>
        </is>
      </c>
      <c r="M453" t="n">
        <v>0.0036</v>
      </c>
      <c r="N453" t="n">
        <v>0.058</v>
      </c>
      <c r="O453" t="n">
        <v>0.1136</v>
      </c>
    </row>
    <row r="454">
      <c r="A454" t="inlineStr">
        <is>
          <t>hystrix</t>
        </is>
      </c>
      <c r="B454" t="inlineStr">
        <is>
          <t>hystrix-core/src/main/java/com/netflix/hystrix/config/HystrixCollapserConfiguration.java</t>
        </is>
      </c>
      <c r="C454">
        <f>HYPERLINK("https://github.com/Netflix/Hystrix/blob/master/hystrix-core/src/main/java/com/netflix/hystrix/config/HystrixCollapserConfiguration.java")</f>
        <v/>
      </c>
      <c r="D454" t="inlineStr">
        <is>
          <t>The `HystrixCollapserConfiguration` class provides configuration options for a Hystrix Collapser, which is a mechanism used to batch requests together into a single HTTP request. It takes three parameters in its constructor:
* `collapserKey`: A key that identifies the collapser instance.
* `maxRequestsInBatch`: The maximum number of</t>
        </is>
      </c>
      <c r="E454" t="n">
        <v>0</v>
      </c>
      <c r="F454" t="n">
        <v>0</v>
      </c>
      <c r="G454" t="n">
        <v>0.0424</v>
      </c>
      <c r="H454" t="inlineStr">
        <is>
          <t>This code defines a Java class called `HystrixCollapserConfiguration` that represents configuration options for a Hystrix collapser. The class has several fields and methods that control various aspects of the collapsing process, such as the maximum number of requests allowed in a batch, the delay between batches, whether caching is enabled, and more. It also includes documentation comments that</t>
        </is>
      </c>
      <c r="I454" t="n">
        <v>0.0037</v>
      </c>
      <c r="J454" t="n">
        <v>0.0606</v>
      </c>
      <c r="K454" t="n">
        <v>0.0769</v>
      </c>
      <c r="L454" t="inlineStr">
        <is>
          <t>The `HystrixCollapserConfiguration` class provides configuration options for Hystrix Collapsers, which are used to batch requests together and execute them asynchronously. It takes in several parameters such as the maximum number of requests that can be batched together (`maxRequestsInBatch`), the delay between batches (`timerDelayInMilliseconds`), whether request caching is enabled (`</t>
        </is>
      </c>
      <c r="M454" t="n">
        <v>0.0037</v>
      </c>
      <c r="N454" t="n">
        <v>0.0357</v>
      </c>
      <c r="O454" t="n">
        <v>0.08260000000000001</v>
      </c>
    </row>
    <row r="455">
      <c r="A455" t="inlineStr">
        <is>
          <t>hystrix</t>
        </is>
      </c>
      <c r="B455" t="inlineStr">
        <is>
          <t>hystrix-core/src/main/java/com/netflix/hystrix/config/HystrixConfigurationStream.java</t>
        </is>
      </c>
      <c r="C455">
        <f>HYPERLINK("https://github.com/Netflix/Hystrix/blob/master/hystrix-core/src/main/java/com/netflix/hystrix/config/HystrixConfigurationStream.java")</f>
        <v/>
      </c>
      <c r="D455" t="inlineStr">
        <is>
          <t>The provided code defines a class called `HystrixCollapserProperties` that provides access to configuration properties related to Hystrix collapsers. It uses the `com.netflix.config.DynamicPropertyFactory` class to retrieve dynamic property values from the environment.
The class has several methods that return instances of `DynamicIntProperty`, which allows it to read integer</t>
        </is>
      </c>
      <c r="E455" t="n">
        <v>0</v>
      </c>
      <c r="F455" t="n">
        <v>0</v>
      </c>
      <c r="G455" t="n">
        <v>0.042</v>
      </c>
      <c r="H455" t="inlineStr">
        <is>
          <t>This Java package `com.netflix.hystrix.config` appears to contain classes related to configuring and managing Hystrix, which is a library for implementing circuit breakers and fallback logic in distributed systems. The package includes several classes that define configuration properties for various aspects of Hystrix's behavior, such as timeouts, request caching, and thread pool</t>
        </is>
      </c>
      <c r="I455" t="n">
        <v>0.0043</v>
      </c>
      <c r="J455" t="n">
        <v>0.127</v>
      </c>
      <c r="K455" t="n">
        <v>0.122</v>
      </c>
      <c r="L455" t="inlineStr">
        <is>
          <t>The code defines a Java class named `HystrixCollapserProperties` that provides configuration options for Hystrix collapsers. It imports various classes from the `com.netflix` package, including `HystrixCollapserKey`, `HystrixCollapserMetrics`, and `HystrixCommandGroupKey`. The class has several static methods that</t>
        </is>
      </c>
      <c r="M455" t="n">
        <v>0.0053</v>
      </c>
      <c r="N455" t="n">
        <v>0.0455</v>
      </c>
      <c r="O455" t="n">
        <v>0.0467</v>
      </c>
    </row>
    <row r="456">
      <c r="A456" t="inlineStr">
        <is>
          <t>hystrix</t>
        </is>
      </c>
      <c r="B456" t="inlineStr">
        <is>
          <t>hystrix-core/src/main/java/com/netflix/hystrix/config/HystrixConfiguration.java</t>
        </is>
      </c>
      <c r="C456">
        <f>HYPERLINK("https://github.com/Netflix/Hystrix/blob/master/hystrix-core/src/main/java/com/netflix/hystrix/config/HystrixConfiguration.java")</f>
        <v/>
      </c>
      <c r="D456" t="inlineStr">
        <is>
          <t>The `HystrixConfiguration` class provides configuration options for the Hystrix library. It has two maps: one for command configurations (`commandConfig`) and another for thread pool configurations (`threadPoolConfig`). Each map contains a mapping from a key (either a `HystrixCommandKey`, `HystrixThreadPoolKey`, or `HystrixCollapserKey`) to</t>
        </is>
      </c>
      <c r="E456" t="n">
        <v>0.0045</v>
      </c>
      <c r="F456" t="n">
        <v>0.0408</v>
      </c>
      <c r="G456" t="n">
        <v>0.0885</v>
      </c>
      <c r="H456" t="inlineStr">
        <is>
          <t>This Java package `com.netflix.hystrix.config` defines classes related to configuration for the Hystrix library. The main class `HystrixConfiguration` contains maps that store configurations for different types of commands (`HystrixCommandKey`) and thread pools (`HystrixThreadPoolKey`). These configurations can be used to control various aspects of Hystrix'</t>
        </is>
      </c>
      <c r="I456" t="n">
        <v>0.0051</v>
      </c>
      <c r="J456" t="n">
        <v>0.0741</v>
      </c>
      <c r="K456" t="n">
        <v>0.1304</v>
      </c>
      <c r="L456" t="inlineStr">
        <is>
          <t>The `HystrixConfiguration` class provides configuration for the Hystrix library. It stores configurations for commands and thread pools using instances of `HystrixCommandConfiguration` and `HystrixThreadPoolConfiguration`, respectively. The class also includes methods for retrieving these configurations based on their keys.</t>
        </is>
      </c>
      <c r="M456" t="n">
        <v>0.005</v>
      </c>
      <c r="N456" t="n">
        <v>0.0444</v>
      </c>
      <c r="O456" t="n">
        <v>0.0917</v>
      </c>
    </row>
    <row r="457">
      <c r="A457" t="inlineStr">
        <is>
          <t>hystrix</t>
        </is>
      </c>
      <c r="B457" t="inlineStr">
        <is>
          <t>hystrix-core/src/main/java/com/netflix/hystrix/config/HystrixCommandConfiguration.java</t>
        </is>
      </c>
      <c r="C457">
        <f>HYPERLINK("https://github.com/Netflix/Hystrix/blob/master/hystrix-core/src/main/java/com/netflix/hystrix/config/HystrixCommandConfiguration.java")</f>
        <v/>
      </c>
      <c r="D457" t="inlineStr">
        <is>
          <t>The `HystrixCommandConfiguration` class provides configuration options for Hystrix commands. It allows users to set properties such as timeouts, fallback methods, and thread pool sizes. The class also includes helper methods for creating command keys and group keys.</t>
        </is>
      </c>
      <c r="E457" t="n">
        <v>0.005</v>
      </c>
      <c r="F457" t="n">
        <v>0.0444</v>
      </c>
      <c r="G457" t="n">
        <v>0.0459</v>
      </c>
      <c r="H457" t="inlineStr">
        <is>
          <t>This Java package named `com.netflix.hystrix.config` contains classes related to configuring Hystrix commands. The main class is called `HystrixCommandConfiguration`, which has several fields representing different aspects of command configuration, such as thread pool key, command properties, and command group key. The class also includes a version field to support future-proofing.</t>
        </is>
      </c>
      <c r="I457" t="n">
        <v>0.0045</v>
      </c>
      <c r="J457" t="n">
        <v>0.06560000000000001</v>
      </c>
      <c r="K457" t="n">
        <v>0.08260000000000001</v>
      </c>
      <c r="L457" t="inlineStr">
        <is>
          <t>The provided code defines a Java class called `HystrixCommandConfiguration`. It appears to be used for configuring properties related to the execution of commands using the Hystrix library. The class has several fields and methods that allow users to set various parameters such as command timeout, fallback behavior, thread pool size, etc. Additionally, there are some static factory methods for creating instances of the</t>
        </is>
      </c>
      <c r="M457" t="n">
        <v>0.0029</v>
      </c>
      <c r="N457" t="n">
        <v>0.0282</v>
      </c>
      <c r="O457" t="n">
        <v>0.0741</v>
      </c>
    </row>
    <row r="458">
      <c r="A458" t="inlineStr">
        <is>
          <t>hystrix</t>
        </is>
      </c>
      <c r="B458" t="inlineStr">
        <is>
          <t>hystrix-core/src/main/java/com/netflix/hystrix/strategy/package-info.java</t>
        </is>
      </c>
      <c r="C458">
        <f>HYPERLINK("https://github.com/Netflix/Hystrix/blob/master/hystrix-core/src/main/java/com/netflix/hystrix/strategy/package-info.java")</f>
        <v/>
      </c>
      <c r="D458" t="inlineStr">
        <is>
          <t>The `com.netflix.hystrix.strategy` package is the parent package of strategies and plugin management in Hystrix, a library used for implementing circuit breakers and fallbacks in Java applications. It provides a set of classes that define different types of strategies and plugins used by Hystrix, such as command execution strategies, request caching strategies</t>
        </is>
      </c>
      <c r="E458" t="n">
        <v>0.0036</v>
      </c>
      <c r="F458" t="n">
        <v>0.0645</v>
      </c>
      <c r="G458" t="n">
        <v>0.122</v>
      </c>
      <c r="H458" t="inlineStr">
        <is>
          <t>This code defines a Java package called `com.netflix.hystrix.strategy` that contains classes related to strategy implementation and plugin management. The package has been licensed under the Apache License 2.0, which allows users to freely modify and distribute the code as long as they follow certain conditions. The package was first released in version 1.0.0</t>
        </is>
      </c>
      <c r="I458" t="n">
        <v>0.0041</v>
      </c>
      <c r="J458" t="n">
        <v>0.0896</v>
      </c>
      <c r="K458" t="n">
        <v>0.12</v>
      </c>
      <c r="L458" t="inlineStr">
        <is>
          <t>The provided code defines a parent package called `com.netflix.hystrix.strategy` that provides strategies and plugin management for Hystrix. It includes a comment block at the top that sets the license and copyright information for the package. The package also has a Javadoc comment that describes its purpose as a parent package for managing strategies and plugins</t>
        </is>
      </c>
      <c r="M458" t="n">
        <v>0.0033</v>
      </c>
      <c r="N458" t="n">
        <v>0.0303</v>
      </c>
      <c r="O458" t="n">
        <v>0.0394</v>
      </c>
    </row>
    <row r="459">
      <c r="A459" t="inlineStr">
        <is>
          <t>hystrix</t>
        </is>
      </c>
      <c r="B459" t="inlineStr">
        <is>
          <t>hystrix-core/src/main/java/com/netflix/hystrix/strategy/HystrixPlugins.java</t>
        </is>
      </c>
      <c r="C459">
        <f>HYPERLINK("https://github.com/Netflix/Hystrix/blob/master/hystrix-core/src/main/java/com/netflix/hystrix/strategy/HystrixPlugins.java")</f>
        <v/>
      </c>
      <c r="D459" t="inlineStr">
        <is>
          <t>This Java package `com.netflix.hystrix.strategy` appears to be part of a larger software project related to Hystrix, which is a library used for implementing circuit breakers in Java applications. The package defines several classes that implement the `HystrixConcurrencyStrategy` interface, which is responsible for managing thread pools and execution contexts within the</t>
        </is>
      </c>
      <c r="E459" t="n">
        <v>0.0048</v>
      </c>
      <c r="F459" t="n">
        <v>0.1311</v>
      </c>
      <c r="G459" t="n">
        <v>0.2049</v>
      </c>
      <c r="H459" t="inlineStr">
        <is>
          <t>This code defines a Java package called `com.netflix.hystrix.strategy` that provides various implementations of the `HystrixConcurrencyStrategy` interface. The `HystrixConcurrencyStrategy` interface is used to define how Hystrix manages threads and tasks within its execution context. The code also includes a default implementation of the `HystrixCon</t>
        </is>
      </c>
      <c r="I459" t="n">
        <v>0.0051</v>
      </c>
      <c r="J459" t="n">
        <v>0.1111</v>
      </c>
      <c r="K459" t="n">
        <v>0.1739</v>
      </c>
      <c r="L459" t="inlineStr">
        <is>
          <t>The code defines a class called `HystrixPlugins` that provides a central location for registering custom implementations of various interfaces used throughout the Hystrix library. It uses Java's Service Provider Interface (SPI) mechanism to load custom implementations from the classpath. The class also provides a default implementation for each interface if no custom implementation is found.
The main purpose</t>
        </is>
      </c>
      <c r="M459" t="n">
        <v>0</v>
      </c>
      <c r="N459" t="n">
        <v>0.0299</v>
      </c>
      <c r="O459" t="n">
        <v>0.0769</v>
      </c>
    </row>
    <row r="460">
      <c r="A460" t="inlineStr">
        <is>
          <t>hystrix</t>
        </is>
      </c>
      <c r="B460" t="inlineStr">
        <is>
          <t>hystrix-core/src/main/java/com/netflix/hystrix/strategy/HystrixArchaiusHelper.java</t>
        </is>
      </c>
      <c r="C460">
        <f>HYPERLINK("https://github.com/Netflix/Hystrix/blob/master/hystrix-core/src/main/java/com/netflix/hystrix/strategy/HystrixArchaiusHelper.java")</f>
        <v/>
      </c>
      <c r="D460" t="inlineStr">
        <is>
          <t>The `HystrixArchaiusHelper` class provides utility methods for working with Archaius, a library used for managing configuration properties in Hystrix. It defines two static methods:
* `getPropertyValue`: This method returns the value of a property from Archaius, given its key. If no such property exists, it returns null.
* `set</t>
        </is>
      </c>
      <c r="E460" t="n">
        <v>0.0037</v>
      </c>
      <c r="F460" t="n">
        <v>0.0364</v>
      </c>
      <c r="G460" t="n">
        <v>0.08260000000000001</v>
      </c>
      <c r="H460" t="inlineStr">
        <is>
          <t>The `HystrixArchaiusHelper` class provides a way to dynamically load properties from Archaius into Hystrix. It does this by using reflection to call methods on the `HystrixDynamicProperties` class, which allows it to retrieve values from the Archaius configuration without having to know their names ahead of time.
The class has one method, `get</t>
        </is>
      </c>
      <c r="I460" t="n">
        <v>0</v>
      </c>
      <c r="J460" t="n">
        <v>0.0333</v>
      </c>
      <c r="K460" t="n">
        <v>0.0806</v>
      </c>
      <c r="L460" t="inlineStr">
        <is>
          <t>The `HystrixArchaiusHelper` class provides a way to load properties from Archaius dynamically, without requiring the presence of the Archaius library in the classpath. It achieves this by using Java's reflection API to call methods on the `HystrixDynamicProperties` class, which is responsible for managing property values.
The class has two primary</t>
        </is>
      </c>
      <c r="M460" t="n">
        <v>0</v>
      </c>
      <c r="N460" t="n">
        <v>0.0339</v>
      </c>
      <c r="O460" t="n">
        <v>0.082</v>
      </c>
    </row>
    <row r="461">
      <c r="A461" t="inlineStr">
        <is>
          <t>hystrix</t>
        </is>
      </c>
      <c r="B461" t="inlineStr">
        <is>
          <t>hystrix-core/src/main/java/com/netflix/hystrix/strategy/eventnotifier/HystrixEventNotifierDefault.java</t>
        </is>
      </c>
      <c r="C461">
        <f>HYPERLINK("https://github.com/Netflix/Hystrix/blob/master/hystrix-core/src/main/java/com/netflix/hystrix/strategy/eventnotifier/HystrixEventNotifierDefault.java")</f>
        <v/>
      </c>
      <c r="D461" t="inlineStr">
        <is>
          <t>This code defines a default implementation of the `HystrixEventNotifier` interface, which provides methods for sending notifications about events related to the execution of commands within the Hystrix library. The implementation does nothing and is intended as a placeholder for actual event notification logic.</t>
        </is>
      </c>
      <c r="E461" t="n">
        <v>0.0056</v>
      </c>
      <c r="F461" t="n">
        <v>0.1569</v>
      </c>
      <c r="G461" t="n">
        <v>0.1739</v>
      </c>
      <c r="H461" t="inlineStr">
        <is>
          <t>This code defines a default implementation of the `HystrixEventNotifier` interface. The `HystrixEventNotifierDefault` class provides a no-op implementation of the `HystrixEventNotifier` methods, which do nothing. It also includes some comments and documentation about the purpose of the code and its complexity.</t>
        </is>
      </c>
      <c r="I461" t="n">
        <v>0.0055</v>
      </c>
      <c r="J461" t="n">
        <v>0.1224</v>
      </c>
      <c r="K461" t="n">
        <v>0.1339</v>
      </c>
      <c r="L461" t="inlineStr">
        <is>
          <t>The code defines a default implementation of the `HystrixEventNotifier` interface, which provides no functionality. It is used as a placeholder when no other event notifier is specified.</t>
        </is>
      </c>
      <c r="M461" t="n">
        <v>0</v>
      </c>
      <c r="N461" t="n">
        <v>0.1143</v>
      </c>
      <c r="O461" t="n">
        <v>0.101</v>
      </c>
    </row>
    <row r="462">
      <c r="A462" t="inlineStr">
        <is>
          <t>hystrix</t>
        </is>
      </c>
      <c r="B462" t="inlineStr">
        <is>
          <t>hystrix-core/src/main/java/com/netflix/hystrix/strategy/eventnotifier/package-info.java</t>
        </is>
      </c>
      <c r="C462">
        <f>HYPERLINK("https://github.com/Netflix/Hystrix/blob/master/hystrix-core/src/main/java/com/netflix/hystrix/strategy/eventnotifier/package-info.java")</f>
        <v/>
      </c>
      <c r="D462" t="inlineStr">
        <is>
          <t>This code defines a strategy for event notification in Hystrix, which is a library used for implementing circuit breakers and fallbacks in Java applications. The `EventNotifierStrategy` interface provides methods for registering listeners that can be notified when certain events occur within the system, such as when a command execution fails or succeeds. The implementation of this interface is responsible for handling</t>
        </is>
      </c>
      <c r="E462" t="n">
        <v>0.0036</v>
      </c>
      <c r="F462" t="n">
        <v>0.08699999999999999</v>
      </c>
      <c r="G462" t="n">
        <v>0.1504</v>
      </c>
      <c r="H462" t="inlineStr">
        <is>
          <t>This code defines a strategy for event notification in Hystrix, which is a library used for implementing circuit breakers and fallbacks in Java applications. The strategy is defined as a class called `HystrixEventNotifierStrategy`, which implements the `IHystrixEventNotifier` interface. The class has several methods that define how events should be handled, such as `on</t>
        </is>
      </c>
      <c r="I462" t="n">
        <v>0.0045</v>
      </c>
      <c r="J462" t="n">
        <v>0.0984</v>
      </c>
      <c r="K462" t="n">
        <v>0.16</v>
      </c>
      <c r="L462" t="inlineStr">
        <is>
          <t>The provided code defines a strategy for event notification in Hystrix, a library that provides fault tolerance and performance monitoring capabilities for Java applications. The class implements the EventNotifier interface and provides a way to notify listeners about events such as command execution, fallback execution, and circuit breaker state changes. The class also includes comments and documentation that provide insight into the implementation and usage of</t>
        </is>
      </c>
      <c r="M462" t="n">
        <v>0.0033</v>
      </c>
      <c r="N462" t="n">
        <v>0.0541</v>
      </c>
      <c r="O462" t="n">
        <v>0.0725</v>
      </c>
    </row>
    <row r="463">
      <c r="A463" t="inlineStr">
        <is>
          <t>hystrix</t>
        </is>
      </c>
      <c r="B463" t="inlineStr">
        <is>
          <t>hystrix-core/src/main/java/com/netflix/hystrix/strategy/eventnotifier/HystrixEventNotifier.java</t>
        </is>
      </c>
      <c r="C463">
        <f>HYPERLINK("https://github.com/Netflix/Hystrix/blob/master/hystrix-core/src/main/java/com/netflix/hystrix/strategy/eventnotifier/HystrixEventNotifier.java")</f>
        <v/>
      </c>
      <c r="D463" t="inlineStr">
        <is>
          <t>This code defines an abstract class called `AbstractEventNotifier` that implements the `HystrixEventNotifier` interface. It provides methods for registering listeners for different types of Hystrix events and sending those events to them. The event notification mechanism is implemented using a list of registered listeners, which can be added or removed dynamically during runtime.
The `notify`</t>
        </is>
      </c>
      <c r="E463" t="n">
        <v>0.0045</v>
      </c>
      <c r="F463" t="n">
        <v>0.0968</v>
      </c>
      <c r="G463" t="n">
        <v>0.1587</v>
      </c>
      <c r="H463" t="inlineStr">
        <is>
          <t>This code defines an abstract class called `HystrixEventNotifier` that implements the `HystrixEventNotifier` interface. The class has several methods that allow it to receive notifications for different types of events. It also provides some utility functions for working with Hystrix commands and their properties.
The class is annotated with a license header indicating that it is licensed</t>
        </is>
      </c>
      <c r="I463" t="n">
        <v>0.0043</v>
      </c>
      <c r="J463" t="n">
        <v>0.125</v>
      </c>
      <c r="K463" t="n">
        <v>0.1563</v>
      </c>
      <c r="L463" t="inlineStr">
        <is>
          <t>The provided code defines an abstract class named `AbstractEventNotifier` that serves as a base implementation for various event notification mechanisms used throughout the Hystrix library. It provides methods for registering listeners for different types of events, such as command execution, fallback, and circuit breaker state changes. Additionally, it includes utility methods for converting between event types and their associated properties.</t>
        </is>
      </c>
      <c r="M463" t="n">
        <v>0.003</v>
      </c>
      <c r="N463" t="n">
        <v>0.0588</v>
      </c>
      <c r="O463" t="n">
        <v>0.1136</v>
      </c>
    </row>
    <row r="464">
      <c r="A464" t="inlineStr">
        <is>
          <t>hystrix</t>
        </is>
      </c>
      <c r="B464" t="inlineStr">
        <is>
          <t>hystrix-core/src/main/java/com/netflix/hystrix/strategy/properties/HystrixPropertiesCommandDefault.java</t>
        </is>
      </c>
      <c r="C464">
        <f>HYPERLINK("https://github.com/Netflix/Hystrix/blob/master/hystrix-core/src/main/java/com/netflix/hystrix/strategy/properties/HystrixPropertiesCommandDefault.java")</f>
        <v/>
      </c>
      <c r="D464" t="inlineStr">
        <is>
          <t>This code defines a default implementation of `HystrixCommandProperties` that uses Archaius to manage properties for Hystrix commands. The `HystrixPropertiesCommandDefault` class provides methods to retrieve property values based on the command key. It also implements the `HystrixCommandProperties` interface, which provides accessors for various properties related to Hystrix commands.</t>
        </is>
      </c>
      <c r="E464" t="n">
        <v>0.0046</v>
      </c>
      <c r="F464" t="n">
        <v>0.0727</v>
      </c>
      <c r="G464" t="n">
        <v>0.1261</v>
      </c>
      <c r="H464" t="inlineStr">
        <is>
          <t>This code defines a custom implementation of `HystrixCommandProperties` that uses Archaius as its configuration source. It provides default implementations for various properties related to command execution, such as timeouts, fallback behavior, and circuit breaker logic. The implementation excludes certain methods from Javadoc documentation due to their complexity.</t>
        </is>
      </c>
      <c r="I464" t="n">
        <v>0.0051</v>
      </c>
      <c r="J464" t="n">
        <v>0.1455</v>
      </c>
      <c r="K464" t="n">
        <v>0.2101</v>
      </c>
      <c r="L464" t="inlineStr">
        <is>
          <t>The provided code defines a custom implementation of `HystrixCommandProperties` that uses Archaius as the configuration library. It provides default values for various properties related to command execution, such as timeouts, fallback behaviors, and circuit breaker settings.</t>
        </is>
      </c>
      <c r="M464" t="n">
        <v>0.0052</v>
      </c>
      <c r="N464" t="n">
        <v>0.09089999999999999</v>
      </c>
      <c r="O464" t="n">
        <v>0.1389</v>
      </c>
    </row>
    <row r="465">
      <c r="A465" t="inlineStr">
        <is>
          <t>hystrix</t>
        </is>
      </c>
      <c r="B465" t="inlineStr">
        <is>
          <t>hystrix-core/src/main/java/com/netflix/hystrix/strategy/properties/HystrixPropertiesChainedArchaiusProperty.java</t>
        </is>
      </c>
      <c r="C465">
        <f>HYPERLINK("https://github.com/Netflix/Hystrix/blob/master/hystrix-core/src/main/java/com/netflix/hystrix/strategy/properties/HystrixPropertiesChainedArchaiusProperty.java")</f>
        <v/>
      </c>
      <c r="D465" t="inlineStr">
        <is>
          <t>This Java class implements a chained property system that allows for a chain of defaults using the Archaius library. The class has several methods, including `get`, `addDefault`, and `removeDefault`. It also includes a logger and some utility functions.</t>
        </is>
      </c>
      <c r="E465" t="n">
        <v>0.0064</v>
      </c>
      <c r="F465" t="n">
        <v>0.1304</v>
      </c>
      <c r="G465" t="n">
        <v>0.1818</v>
      </c>
      <c r="H465" t="inlineStr">
        <is>
          <t>This code defines a class called `ChainedProperty` that extends the `PropertyWrapper` class from the Archaius library. It allows for a chained set of defaults for properties, where each default can be specified as a string value or a reference to another property. The class has several methods, including `getDefault`, `getPropertyValue`, and `getPropertyValues`. These methods</t>
        </is>
      </c>
      <c r="I465" t="n">
        <v>0.004</v>
      </c>
      <c r="J465" t="n">
        <v>0.0645</v>
      </c>
      <c r="K465" t="n">
        <v>0.0794</v>
      </c>
      <c r="L465" t="inlineStr">
        <is>
          <t>The code defines a class called `ChainedProperty` that allows for a chain of default values for properties using the Archaius library. The class has two main methods: `get()` and `add()`. The `get()` method returns the value of the property based on the order of precedence defined in the constructor, while the `add()` method adds a new property to the end of</t>
        </is>
      </c>
      <c r="M465" t="n">
        <v>0.003</v>
      </c>
      <c r="N465" t="n">
        <v>0.029</v>
      </c>
      <c r="O465" t="n">
        <v>0.0752</v>
      </c>
    </row>
    <row r="466">
      <c r="A466" t="inlineStr">
        <is>
          <t>hystrix</t>
        </is>
      </c>
      <c r="B466" t="inlineStr">
        <is>
          <t>hystrix-core/src/main/java/com/netflix/hystrix/strategy/properties/package-info.java</t>
        </is>
      </c>
      <c r="C466">
        <f>HYPERLINK("https://github.com/Netflix/Hystrix/blob/master/hystrix-core/src/main/java/com/netflix/hystrix/strategy/properties/package-info.java")</f>
        <v/>
      </c>
      <c r="D466" t="inlineStr">
        <is>
          <t>The provided code defines a class called `HystrixPropertiesStrategy` that implements the `IHystrixPropertiesStrategy` interface. It provides a strategy pattern for defining properties and configuration for Hystrix, which is a library used for implementing circuit breakers and fallbacks in Java applications.
The class has several methods that allow users to define custom implementations of various properties and configurations</t>
        </is>
      </c>
      <c r="E466" t="n">
        <v>0.0039</v>
      </c>
      <c r="F466" t="n">
        <v>0.0625</v>
      </c>
      <c r="G466" t="n">
        <v>0.1172</v>
      </c>
      <c r="H466" t="inlineStr">
        <is>
          <t>This Java package `com.netflix.hystrix.strategy.properties` defines a strategy pattern for managing properties and configurations in Hystrix, a library used for implementing circuit breakers and fallback mechanisms in distributed systems. The package provides a default implementation of the strategy pattern, which can be overridden by users who want to customize the behavior of Hyst</t>
        </is>
      </c>
      <c r="I466" t="n">
        <v>0.0042</v>
      </c>
      <c r="J466" t="n">
        <v>0.09379999999999999</v>
      </c>
      <c r="K466" t="n">
        <v>0.1613</v>
      </c>
      <c r="L466" t="inlineStr">
        <is>
          <t>The code defines a strategy for defining properties and configuration for Hystrix, including a default implementation. It includes comments that provide context about the code's purpose, complexity, and existing comments.</t>
        </is>
      </c>
      <c r="M466" t="n">
        <v>0.0062</v>
      </c>
      <c r="N466" t="n">
        <v>0.1026</v>
      </c>
      <c r="O466" t="n">
        <v>0.049</v>
      </c>
    </row>
    <row r="467">
      <c r="A467" t="inlineStr">
        <is>
          <t>hystrix</t>
        </is>
      </c>
      <c r="B467" t="inlineStr">
        <is>
          <t>hystrix-core/src/main/java/com/netflix/hystrix/strategy/properties/HystrixPropertiesCollapserDefault.java</t>
        </is>
      </c>
      <c r="C467">
        <f>HYPERLINK("https://github.com/Netflix/Hystrix/blob/master/hystrix-core/src/main/java/com/netflix/hystrix/strategy/properties/HystrixPropertiesCollapserDefault.java")</f>
        <v/>
      </c>
      <c r="D467" t="inlineStr">
        <is>
          <t>This code defines a default implementation of `HystrixCollapserProperties` using the Archaius library. It provides a way to manage properties related to collapsing requests in the Hystrix framework. The class has several methods that allow you to retrieve various properties, such as the maximum request time, batch size, and number of concurrent requests. It also includes a constructor that takes</t>
        </is>
      </c>
      <c r="E467" t="n">
        <v>0.0037</v>
      </c>
      <c r="F467" t="n">
        <v>0.0896</v>
      </c>
      <c r="G467" t="n">
        <v>0.1527</v>
      </c>
      <c r="H467" t="inlineStr">
        <is>
          <t>This code appears to be part of a Java project that implements a library for managing properties related to collapsing requests in a system. The code defines a class called `HystrixPropertiesCollapserDefault` that inherits from the abstract class `HystrixCollapserProperties`. It also imports several other classes from the same package as well as some external dependencies such as `</t>
        </is>
      </c>
      <c r="I467" t="n">
        <v>0.0038</v>
      </c>
      <c r="J467" t="n">
        <v>0.0625</v>
      </c>
      <c r="K467" t="n">
        <v>0.1163</v>
      </c>
      <c r="L467" t="inlineStr">
        <is>
          <t>The provided code defines a Java class named `HystrixPropertiesCollapserDefault` that implements the `HystrixCollapserProperties` interface. It uses the Archaius library to manage properties related to collapsing requests. The class provides default implementations for various methods defined in the `HystrixCollapserProperties` interface.
The class takes a `H</t>
        </is>
      </c>
      <c r="M467" t="n">
        <v>0.0042</v>
      </c>
      <c r="N467" t="n">
        <v>0.0385</v>
      </c>
      <c r="O467" t="n">
        <v>0.0862</v>
      </c>
    </row>
    <row r="468">
      <c r="A468" t="inlineStr">
        <is>
          <t>hystrix</t>
        </is>
      </c>
      <c r="B468" t="inlineStr">
        <is>
          <t>hystrix-core/src/main/java/com/netflix/hystrix/strategy/properties/HystrixPropertiesThreadPoolDefault.java</t>
        </is>
      </c>
      <c r="C468">
        <f>HYPERLINK("https://github.com/Netflix/Hystrix/blob/master/hystrix-core/src/main/java/com/netflix/hystrix/strategy/properties/HystrixPropertiesThreadPoolDefault.java")</f>
        <v/>
      </c>
      <c r="D468" t="inlineStr">
        <is>
          <t>This code defines a custom implementation of `HystrixThreadPoolProperties` that uses Archaius as its configuration source. It provides default implementations for several methods related to thread pool properties, such as `getCoreSize()`, `getMaximumSize()`, and `getKeepAliveTime()`. The class also includes some additional logic for handling dynamic changes to these properties. Overall, it appears</t>
        </is>
      </c>
      <c r="E468" t="n">
        <v>0.0044</v>
      </c>
      <c r="F468" t="n">
        <v>0.1379</v>
      </c>
      <c r="G468" t="n">
        <v>0.1639</v>
      </c>
      <c r="H468" t="inlineStr">
        <is>
          <t>The provided code defines a Java class called `HystrixPropertiesThreadPoolDefault` that implements the `HystrixThreadPoolProperties` interface from the `com.netflix.hystrix.strategy.properties` package. This class provides default implementations of various methods related to thread pool properties for the Hystrix library.
The class has several fields and methods, but its</t>
        </is>
      </c>
      <c r="I468" t="n">
        <v>0.0055</v>
      </c>
      <c r="J468" t="n">
        <v>0.1071</v>
      </c>
      <c r="K468" t="n">
        <v>0.1293</v>
      </c>
      <c r="L468" t="inlineStr">
        <is>
          <t>The provided code defines a custom implementation of `HystrixThreadPoolProperties` called `HystrixPropertiesThreadPoolDefault`. It uses the Archaius library to manage properties related to thread pools used in the Hystrix framework. The implementation provides default values for various configuration options such as thread pool size, queue capacity, and keep-alive time.</t>
        </is>
      </c>
      <c r="M468" t="n">
        <v>0.0039</v>
      </c>
      <c r="N468" t="n">
        <v>0.07140000000000001</v>
      </c>
      <c r="O468" t="n">
        <v>0.1261</v>
      </c>
    </row>
    <row r="469">
      <c r="A469" t="inlineStr">
        <is>
          <t>hystrix</t>
        </is>
      </c>
      <c r="B469" t="inlineStr">
        <is>
          <t>hystrix-core/src/main/java/com/netflix/hystrix/strategy/properties/HystrixPropertiesFactory.java</t>
        </is>
      </c>
      <c r="C469">
        <f>HYPERLINK("https://github.com/Netflix/Hystrix/blob/master/hystrix-core/src/main/java/com/netflix/hystrix/strategy/properties/HystrixPropertiesFactory.java")</f>
        <v/>
      </c>
      <c r="D469" t="inlineStr">
        <is>
          <t>This Java code defines a class called `HystrixProperty` that provides a way to retrieve properties for Hystrix commands, collapsers, and thread pools. The class has several methods that allow retrieving different types of properties, such as strings, integers, booleans, and enums. It also includes a method for retrieving the default value of a property if it</t>
        </is>
      </c>
      <c r="E469" t="n">
        <v>0.0039</v>
      </c>
      <c r="F469" t="n">
        <v>0.0625</v>
      </c>
      <c r="G469" t="n">
        <v>0.0781</v>
      </c>
      <c r="H469" t="inlineStr">
        <is>
          <t>This code implements various classes and utilities related to Hystrix, a library used for implementing circuit breakers and fallback logic in Java applications. The package `com.netflix.hystrix.strategy.properties` defines several classes that provide access to properties defined in configuration files. These properties can be used to configure different aspects of Hystrix behavior, such as timeout</t>
        </is>
      </c>
      <c r="I469" t="n">
        <v>0.0045</v>
      </c>
      <c r="J469" t="n">
        <v>0.1231</v>
      </c>
      <c r="K469" t="n">
        <v>0.16</v>
      </c>
      <c r="L469" t="inlineStr">
        <is>
          <t>The code defines a properties factory that creates instances of HystrixCommandProperties and HystrixCollapserProperties based on the given keys. It achieves this by using a ConcurrentHashMap to store pre-constructed instances of these classes, which are then retrieved from the map if they already exist. If a new instance needs to be created, it is constructed and stored in the map</t>
        </is>
      </c>
      <c r="M469" t="n">
        <v>0.0031</v>
      </c>
      <c r="N469" t="n">
        <v>0.0588</v>
      </c>
      <c r="O469" t="n">
        <v>0.1145</v>
      </c>
    </row>
    <row r="470">
      <c r="A470" t="inlineStr">
        <is>
          <t>hystrix</t>
        </is>
      </c>
      <c r="B470" t="inlineStr">
        <is>
          <t>hystrix-core/src/main/java/com/netflix/hystrix/strategy/properties/HystrixDynamicProperty.java</t>
        </is>
      </c>
      <c r="C470">
        <f>HYPERLINK("https://github.com/Netflix/Hystrix/blob/master/hystrix-core/src/main/java/com/netflix/hystrix/strategy/properties/HystrixDynamicProperty.java")</f>
        <v/>
      </c>
      <c r="D470" t="inlineStr">
        <is>
          <t>The `HystrixDynamicPro` class provides a generic interface for representing dynamic property values that can be consumed by Hystrix without being tied to any particular backing implementation. It defines a single method, `get()`, which returns the current value of the property. This class is used as part of the Hystrix framework's support for dynamic configuration.</t>
        </is>
      </c>
      <c r="E470" t="n">
        <v>0.0034</v>
      </c>
      <c r="F470" t="n">
        <v>0.0317</v>
      </c>
      <c r="G470" t="n">
        <v>0.0794</v>
      </c>
      <c r="H470" t="inlineStr">
        <is>
          <t>This code defines a Java interface called `HystrixDynamicPro` that represents a dynamic property value. It is part of the Hystrix library, which provides a set of tools for implementing fault tolerance and performance optimization in distributed systems. The interface allows clients to access and manipulate dynamic property values without knowing their underlying representation.
The interface has one method, `get()`, which returns</t>
        </is>
      </c>
      <c r="I470" t="n">
        <v>0.0036</v>
      </c>
      <c r="J470" t="n">
        <v>0.08699999999999999</v>
      </c>
      <c r="K470" t="n">
        <v>0.1504</v>
      </c>
      <c r="L470" t="inlineStr">
        <is>
          <t>The code defines a generic interface called `HystrixDynamicPro` that represents a dynamic property value. It allows Hystrix to consume properties without being tied to any particular backing implementation.</t>
        </is>
      </c>
      <c r="M470" t="n">
        <v>0</v>
      </c>
      <c r="N470" t="n">
        <v>0.0556</v>
      </c>
      <c r="O470" t="n">
        <v>0</v>
      </c>
    </row>
    <row r="471">
      <c r="A471" t="inlineStr">
        <is>
          <t>hystrix</t>
        </is>
      </c>
      <c r="B471" t="inlineStr">
        <is>
          <t>hystrix-core/src/main/java/com/netflix/hystrix/strategy/properties/HystrixPropertiesTimerThreadPoolDefault.java</t>
        </is>
      </c>
      <c r="C471">
        <f>HYPERLINK("https://github.com/Netflix/Hystrix/blob/master/hystrix-core/src/main/java/com/netflix/hystrix/strategy/properties/HystrixPropertiesTimerThreadPoolDefault.java")</f>
        <v/>
      </c>
      <c r="D471" t="inlineStr">
        <is>
          <t>The code defines a custom implementation of `HystrixTimerThreadPoolProperties` called `HystrixPropertiesTimerThreadPoolDefault`. This implementation uses the Archaius library to retrieve properties related to thread pool behavior from external sources such as configuration files or environment variables. It provides default implementations for several methods that can be overridden by subclasses to provide customized behavior.</t>
        </is>
      </c>
      <c r="E471" t="n">
        <v>0.0036</v>
      </c>
      <c r="F471" t="n">
        <v>0.0678</v>
      </c>
      <c r="G471" t="n">
        <v>0.122</v>
      </c>
      <c r="H471" t="inlineStr">
        <is>
          <t>This code defines a custom implementation of the `HystrixTimerThreadPoolProperties` interface from the `com.netflix.hystrix.strategy.properties` package. The implementation uses the Archaius library to provide default values for properties related to thread pools used by the Hystrix library. The comment block above the class definition provides information about the license and the authors</t>
        </is>
      </c>
      <c r="I471" t="n">
        <v>0.0044</v>
      </c>
      <c r="J471" t="n">
        <v>0.0968</v>
      </c>
      <c r="K471" t="n">
        <v>0.1639</v>
      </c>
      <c r="L471" t="inlineStr">
        <is>
          <t>The provided code defines a custom implementation of `HystrixTimerThreadPoolProperties` called `HystrixPropertiesTimerThreadPoolDefault`. It uses the Archaius library to provide default values for various properties related to thread pools used in the Hystrix framework.</t>
        </is>
      </c>
      <c r="M471" t="n">
        <v>0</v>
      </c>
      <c r="N471" t="n">
        <v>0.05</v>
      </c>
      <c r="O471" t="n">
        <v>0.09619999999999999</v>
      </c>
    </row>
    <row r="472">
      <c r="A472" t="inlineStr">
        <is>
          <t>hystrix</t>
        </is>
      </c>
      <c r="B472" t="inlineStr">
        <is>
          <t>hystrix-core/src/main/java/com/netflix/hystrix/strategy/properties/HystrixDynamicProperties.java</t>
        </is>
      </c>
      <c r="C472">
        <f>HYPERLINK("https://github.com/Netflix/Hystrix/blob/master/hystrix-core/src/main/java/com/netflix/hystrix/strategy/properties/HystrixDynamicProperties.java")</f>
        <v/>
      </c>
      <c r="D472" t="inlineStr">
        <is>
          <t>This Java class implements the `HystrixPropertiesStrategy` interface, which provides a way to resolve dynamic configuration properties used by the `Hystrix` library. It uses the `ServiceLoader` mechanism to load only one implementation of this SPI.</t>
        </is>
      </c>
      <c r="E472" t="n">
        <v>0.0065</v>
      </c>
      <c r="F472" t="n">
        <v>0.09520000000000001</v>
      </c>
      <c r="G472" t="n">
        <v>0.1415</v>
      </c>
      <c r="H472" t="inlineStr">
        <is>
          <t>This Java package implements a service provider interface (SPI) for dynamically resolving configuration properties in the context of the Netflix Hystrix library. It provides a way to vary the source of these properties without modifying the core library's code. The HystrixPlugin class loads only one implementation of this SPI through the ServiceLoader mechanism.</t>
        </is>
      </c>
      <c r="I472" t="n">
        <v>0.0045</v>
      </c>
      <c r="J472" t="n">
        <v>0.0968</v>
      </c>
      <c r="K472" t="n">
        <v>0.12</v>
      </c>
      <c r="L472" t="inlineStr">
        <is>
          <t>This code defines a customizable property resolution strategy for Hystrix, a library used for implementing circuit breakers and fallback mechanisms in Java applications. It provides a simple API for retrieving properties dynamically from different sources, such as environment variables, system properties, or external services. The class implements the `java.util.ServiceLoader` mechanism to allow for multiple implementations of the strategy to</t>
        </is>
      </c>
      <c r="M472" t="n">
        <v>0.0041</v>
      </c>
      <c r="N472" t="n">
        <v>0.08699999999999999</v>
      </c>
      <c r="O472" t="n">
        <v>0.1527</v>
      </c>
    </row>
    <row r="473">
      <c r="A473" t="inlineStr">
        <is>
          <t>hystrix</t>
        </is>
      </c>
      <c r="B473" t="inlineStr">
        <is>
          <t>hystrix-core/src/main/java/com/netflix/hystrix/strategy/properties/HystrixPropertiesStrategyDefault.java</t>
        </is>
      </c>
      <c r="C473">
        <f>HYPERLINK("https://github.com/Netflix/Hystrix/blob/master/hystrix-core/src/main/java/com/netflix/hystrix/strategy/properties/HystrixPropertiesStrategyDefault.java")</f>
        <v/>
      </c>
      <c r="D473" t="inlineStr">
        <is>
          <t>The provided code defines a default implementation of a properties strategy for Hystrix, which is a library used for managing and monitoring application performance. The `HystrixPropertiesStrategy` interface provides methods for retrieving and setting properties that control various aspects of the system's behavior. The `HystrixPropertiesStrategyDefault` class implements this interface and provides a simple, thread-safe way</t>
        </is>
      </c>
      <c r="E473" t="n">
        <v>0.004</v>
      </c>
      <c r="F473" t="n">
        <v>0.0625</v>
      </c>
      <c r="G473" t="n">
        <v>0.1587</v>
      </c>
      <c r="H473" t="inlineStr">
        <is>
          <t>This code defines a default implementation of a properties strategy for the Hystrix library. It provides a way to access and manipulate properties that control the behavior of the library. The implementation is based on a singleton pattern, meaning there can only be one instance of the object at any given time.
The `HystrixPropertiesStrategy` interface defines the methods that must be implemented by a properties</t>
        </is>
      </c>
      <c r="I473" t="n">
        <v>0.0033</v>
      </c>
      <c r="J473" t="n">
        <v>0.0822</v>
      </c>
      <c r="K473" t="n">
        <v>0.1095</v>
      </c>
      <c r="L473" t="inlineStr">
        <is>
          <t>The code defines a default implementation of the `HystrixPropertiesStrategy` interface, which provides a way to manage properties used by the Hystrix library. It includes methods for retrieving property values based on their keys, as well as methods for setting and resetting these values. Additionally, it includes a constructor that initializes the strategy's state using a set of predefined defaults.</t>
        </is>
      </c>
      <c r="M473" t="n">
        <v>0.0031</v>
      </c>
      <c r="N473" t="n">
        <v>0.0588</v>
      </c>
      <c r="O473" t="n">
        <v>0.1145</v>
      </c>
    </row>
    <row r="474">
      <c r="A474" t="inlineStr">
        <is>
          <t>hystrix</t>
        </is>
      </c>
      <c r="B474" t="inlineStr">
        <is>
          <t>hystrix-core/src/main/java/com/netflix/hystrix/strategy/properties/HystrixPropertiesStrategy.java</t>
        </is>
      </c>
      <c r="C474">
        <f>HYPERLINK("https://github.com/Netflix/Hystrix/blob/master/hystrix-core/src/main/java/com/netflix/hystrix/strategy/properties/HystrixPropertiesStrategy.java")</f>
        <v/>
      </c>
      <c r="D474" t="inlineStr">
        <is>
          <t>This Java code defines several classes that implement the `com.netflix.hystrix` package. The classes include `HystrixCollapser`, `HystrixCollapserKey`, `HystrixCollapserProperties`, `HystrixCommand`, `HystrixCommandKey`, `HystrixCommandProperties`, and `HystrixThreadPool`. These</t>
        </is>
      </c>
      <c r="E474" t="n">
        <v>0.0098</v>
      </c>
      <c r="F474" t="n">
        <v>0.1818</v>
      </c>
      <c r="G474" t="n">
        <v>0.1579</v>
      </c>
      <c r="H474" t="inlineStr">
        <is>
          <t>This code appears to be Java source code for a software project that implements various backend components. The code defines several classes and interfaces related to Hystrix, which is a library used for implementing fault tolerance and chaos engineering techniques in distributed systems. The code also includes comments and documentation explaining the purpose and usage of each class and interface.
The main class defined in the code is `</t>
        </is>
      </c>
      <c r="I474" t="n">
        <v>0.0037</v>
      </c>
      <c r="J474" t="n">
        <v>0.1053</v>
      </c>
      <c r="K474" t="n">
        <v>0.1773</v>
      </c>
      <c r="L474" t="inlineStr">
        <is>
          <t>The provided code defines a set of properties for Hystrix commands and collapsers. It provides implementations for various methods that allow users to customize the behavior of these commands and collapsers. The package also includes classes for managing thread pools and command keys. Overall, the code appears to be part of a larger system for implementing fault tolerance and performance optimization in distributed systems</t>
        </is>
      </c>
      <c r="M474" t="n">
        <v>0.0028</v>
      </c>
      <c r="N474" t="n">
        <v>0.0556</v>
      </c>
      <c r="O474" t="n">
        <v>0.1103</v>
      </c>
    </row>
    <row r="475">
      <c r="A475" t="inlineStr">
        <is>
          <t>hystrix</t>
        </is>
      </c>
      <c r="B475" t="inlineStr">
        <is>
          <t>hystrix-core/src/main/java/com/netflix/hystrix/strategy/properties/HystrixPropertiesChainedProperty.java</t>
        </is>
      </c>
      <c r="C475">
        <f>HYPERLINK("https://github.com/Netflix/Hystrix/blob/master/hystrix-core/src/main/java/com/netflix/hystrix/strategy/properties/HystrixPropertiesChainedProperty.java")</f>
        <v/>
      </c>
      <c r="D475" t="inlineStr">
        <is>
          <t>The `ChainedProperty` class provides a way to define a chained set of default values that can be used as fallbacks when no other value is specified. It does this by implementing the `HystrixPropertiesStrategy` interface, which allows it to be registered with Hystrix as a properties provider. When a property is requested, the `ChainedProperty` instance will iterate</t>
        </is>
      </c>
      <c r="E475" t="n">
        <v>0</v>
      </c>
      <c r="F475" t="n">
        <v>0.0625</v>
      </c>
      <c r="G475" t="n">
        <v>0.1172</v>
      </c>
      <c r="H475" t="inlineStr">
        <is>
          <t>The provided Java code defines a class called `ChainedProperty` that implements a chained property system for Hystrix's properties plugin. It allows multiple default properties to be defined and used in a chain, where each subsequent property has higher priority than the previous one. When a property value is requested, it checks each property in the chain until it finds one that returns a non-null</t>
        </is>
      </c>
      <c r="I475" t="n">
        <v>0.0034</v>
      </c>
      <c r="J475" t="n">
        <v>0.0541</v>
      </c>
      <c r="K475" t="n">
        <v>0.1103</v>
      </c>
      <c r="L475" t="inlineStr">
        <is>
          <t>The code defines a class called `ChainedProperties` that implements the `HystrixProperty` interface. It provides a chained set of default properties using the Hystrix Plugin system. The class has several methods that allow users to add new properties to the chain, remove existing ones, and retrieve the current value of the property based on the order of the properties in the chain.</t>
        </is>
      </c>
      <c r="M475" t="n">
        <v>0.0036</v>
      </c>
      <c r="N475" t="n">
        <v>0.058</v>
      </c>
      <c r="O475" t="n">
        <v>0.1128</v>
      </c>
    </row>
    <row r="476">
      <c r="A476" t="inlineStr">
        <is>
          <t>hystrix</t>
        </is>
      </c>
      <c r="B476" t="inlineStr">
        <is>
          <t>hystrix-core/src/main/java/com/netflix/hystrix/strategy/properties/HystrixDynamicPropertiesSystemProperties.java</t>
        </is>
      </c>
      <c r="C476">
        <f>HYPERLINK("https://github.com/Netflix/Hystrix/blob/master/hystrix-core/src/main/java/com/netflix/hystrix/strategy/properties/HystrixDynamicPropertiesSystemProperties.java")</f>
        <v/>
      </c>
      <c r="D476" t="inlineStr">
        <is>
          <t>This is a Java class that implements the `HystrixDynamicProperties` interface. It provides a way to retrieve dynamic properties from system properties. The `getInstance()` method returns an instance of this class, which can then be used to retrieve integer values using the `getInteger()` method. The `getName()` method returns the name of the property being retrieved, while the `fallback` parameter</t>
        </is>
      </c>
      <c r="E476" t="n">
        <v>0.0037</v>
      </c>
      <c r="F476" t="n">
        <v>0.0606</v>
      </c>
      <c r="G476" t="n">
        <v>0.1154</v>
      </c>
      <c r="H476" t="inlineStr">
        <is>
          <t>This is a Java package containing a single class called `HystrixDynamicPropertiesSystemProperties` that implements the `HystrixDynamicProperties` interface. The class has a constructor that takes no arguments and is marked as "private" to prevent external instantiation. It also has a nested class called `LazyHolder` that provides a lazy initialization mechanism for the instance of this class.</t>
        </is>
      </c>
      <c r="I476" t="n">
        <v>0.0045</v>
      </c>
      <c r="J476" t="n">
        <v>0.0968</v>
      </c>
      <c r="K476" t="n">
        <v>0.119</v>
      </c>
      <c r="L476" t="inlineStr">
        <is>
          <t>The `HystrixDynamicPropertiesSystemProperties` class is a part of the Netflix Hystrix library for Java. It provides a way to dynamically set properties for Hystrix using system properties. The class has a single constructor that takes no arguments and is marked as `@ExcludeFromJavadoc`. It also defines a `LazyHolder` inner class that holds a</t>
        </is>
      </c>
      <c r="M476" t="n">
        <v>0.0036</v>
      </c>
      <c r="N476" t="n">
        <v>0.0339</v>
      </c>
      <c r="O476" t="n">
        <v>0.0813</v>
      </c>
    </row>
    <row r="477">
      <c r="A477" t="inlineStr">
        <is>
          <t>hystrix</t>
        </is>
      </c>
      <c r="B477" t="inlineStr">
        <is>
          <t>hystrix-core/src/main/java/com/netflix/hystrix/strategy/properties/HystrixProperty.java</t>
        </is>
      </c>
      <c r="C477">
        <f>HYPERLINK("https://github.com/Netflix/Hystrix/blob/master/hystrix-core/src/main/java/com/netflix/hystrix/strategy/properties/HystrixProperty.java")</f>
        <v/>
      </c>
      <c r="D477" t="inlineStr">
        <is>
          <t>The provided code defines a set of classes that implement the `HystrixProperties` interface and provide a way to access properties related to Hystrix, such as circuit breaker timeouts and fallback values. These properties can be accessed using chained Archaius properties, which allow for dynamic updates of property values without requiring a full restart of the application.
The main class of</t>
        </is>
      </c>
      <c r="E477" t="n">
        <v>0.003</v>
      </c>
      <c r="F477" t="n">
        <v>0.0588</v>
      </c>
      <c r="G477" t="n">
        <v>0.1136</v>
      </c>
      <c r="H477" t="inlineStr">
        <is>
          <t>This is a Java package containing source code for implementing Hystrix properties using Archaius. The package includes classes for handling dynamic Boolean, integer, and long properties, as well as a chained property implementation that allows multiple sources to be used when retrieving values. The README provides information about the project's purpose and complexity, while comments throughout the code provide additional context and explanation</t>
        </is>
      </c>
      <c r="I477" t="n">
        <v>0.0034</v>
      </c>
      <c r="J477" t="n">
        <v>0.0833</v>
      </c>
      <c r="K477" t="n">
        <v>0.1481</v>
      </c>
      <c r="L477" t="inlineStr">
        <is>
          <t>The provided code defines a set of utility methods for working with Archaius properties in Hystrix. It provides a way to chain multiple property sources together, allowing developers to easily define complex property hierarchies. The class also includes several static factory methods that create instances of `HystrixPropertiesChainedArchaiusProperty` based on the type of property being accessed.</t>
        </is>
      </c>
      <c r="M477" t="n">
        <v>0</v>
      </c>
      <c r="N477" t="n">
        <v>0</v>
      </c>
      <c r="O477" t="n">
        <v>0.0394</v>
      </c>
    </row>
    <row r="478">
      <c r="A478" t="inlineStr">
        <is>
          <t>hystrix</t>
        </is>
      </c>
      <c r="B478" t="inlineStr">
        <is>
          <t>hystrix-core/src/main/java/com/netflix/hystrix/strategy/properties/archaius/HystrixDynamicPropertiesArchaius.java</t>
        </is>
      </c>
      <c r="C478">
        <f>HYPERLINK("https://github.com/Netflix/Hystrix/blob/master/hystrix-core/src/main/java/com/netflix/hystrix/strategy/properties/archaius/HystrixDynamicPropertiesArchaius.java")</f>
        <v/>
      </c>
      <c r="D478" t="inlineStr">
        <is>
          <t>The code defines a custom implementation of `HystrixDynamicProperties` that uses Archaius as its property source. It provides a way to dynamically configure Hystrix properties using Archaius's configuration system. The class is annotated with `@ExcludeFromJavadoc` to indicate that it should not be included in Javadocs generated for the main Hystrix</t>
        </is>
      </c>
      <c r="E478" t="n">
        <v>0</v>
      </c>
      <c r="F478" t="n">
        <v>0.0345</v>
      </c>
      <c r="G478" t="n">
        <v>0.08260000000000001</v>
      </c>
      <c r="H478" t="inlineStr">
        <is>
          <t>The code defines a Java package named `com.netflix.hystrix.strategy.properties.archaius` that provides an implementation of Hystrix's dynamic properties using the Archaius library. It includes a single class called `ArchaiusDynamicProperties`, which implements the `HystrixDynamicProperties` interface.
The class has several methods that</t>
        </is>
      </c>
      <c r="I478" t="n">
        <v>0.0049</v>
      </c>
      <c r="J478" t="n">
        <v>0.0385</v>
      </c>
      <c r="K478" t="n">
        <v>0.09089999999999999</v>
      </c>
      <c r="L478" t="inlineStr">
        <is>
          <t>The provided Java code defines a custom implementation of the HystrixDynamicProperty interface using the Archaius library. It provides a way to dynamically retrieve properties that can be used in the Hystrix framework. The code uses the PropertyWrapper class from the Archaius library to wrap around existing property sources and provide a dynamic way to access them. The class also implements the HystrixDynamic</t>
        </is>
      </c>
      <c r="M478" t="n">
        <v>0.0035</v>
      </c>
      <c r="N478" t="n">
        <v>0.0571</v>
      </c>
      <c r="O478" t="n">
        <v>0.1119</v>
      </c>
    </row>
    <row r="479">
      <c r="A479" t="inlineStr">
        <is>
          <t>hystrix</t>
        </is>
      </c>
      <c r="B479" t="inlineStr">
        <is>
          <t>hystrix-core/src/main/java/com/netflix/hystrix/strategy/concurrency/HystrixContextRunnable.java</t>
        </is>
      </c>
      <c r="C479">
        <f>HYPERLINK("https://github.com/Netflix/Hystrix/blob/master/hystrix-core/src/main/java/com/netflix/hystrix/strategy/concurrency/HystrixContextRunnable.java")</f>
        <v/>
      </c>
      <c r="D479" t="inlineStr">
        <is>
          <t>The `HystrixContextRunnable` class provides a wrapper around a `Runnable` instance that initializes and cleans up the `HystrixRequestContext` before and after executing the runnable. It does this by implementing the `Runnable` interface and overriding its `run()` method to perform the necessary context management tasks.</t>
        </is>
      </c>
      <c r="E479" t="n">
        <v>0.0043</v>
      </c>
      <c r="F479" t="n">
        <v>0.1176</v>
      </c>
      <c r="G479" t="n">
        <v>0.1304</v>
      </c>
      <c r="H479" t="inlineStr">
        <is>
          <t>This code defines a custom `Runnable` implementation called `HystrixContextRunnable`. It takes a `Runnable` object as input and wraps it in a new runnable that manages the initialization and cleanup of the `HystrixRequestContext`, which is a context object used to manage request-level state in the Hystrix library. The wrapper ensures</t>
        </is>
      </c>
      <c r="I479" t="n">
        <v>0.0045</v>
      </c>
      <c r="J479" t="n">
        <v>0.1034</v>
      </c>
      <c r="K479" t="n">
        <v>0.1653</v>
      </c>
      <c r="L479" t="inlineStr">
        <is>
          <t>The `HystrixContextRunnable` class wraps a `Runnable` instance and initializes and cleans up the `HystrixRequestContext` before and after executing the wrapped `Runnable`. It is part of the Hystrix library's concurrency strategy implementation.</t>
        </is>
      </c>
      <c r="M479" t="n">
        <v>0.006</v>
      </c>
      <c r="N479" t="n">
        <v>0.05</v>
      </c>
      <c r="O479" t="n">
        <v>0.09710000000000001</v>
      </c>
    </row>
    <row r="480">
      <c r="A480" t="inlineStr">
        <is>
          <t>hystrix</t>
        </is>
      </c>
      <c r="B480" t="inlineStr">
        <is>
          <t>hystrix-core/src/main/java/com/netflix/hystrix/strategy/concurrency/HystrixContextSchedulerAction.java</t>
        </is>
      </c>
      <c r="C480">
        <f>HYPERLINK("https://github.com/Netflix/Hystrix/blob/master/hystrix-core/src/main/java/com/netflix/hystrix/strategy/concurrency/HystrixContextSchedulerAction.java")</f>
        <v/>
      </c>
      <c r="D480" t="inlineStr">
        <is>
          <t>The code defines a custom implementation of the `Func2` interface from RXJava called `HystrixContexScheduler`. It provides a wrapper around the original `Func2` instance that initializes and cleans up the `HystrixRequestContext` before and after executing the function.
The class takes two arguments in its constructor:
* `func`: An</t>
        </is>
      </c>
      <c r="E480" t="n">
        <v>0.0039</v>
      </c>
      <c r="F480" t="n">
        <v>0.0741</v>
      </c>
      <c r="G480" t="n">
        <v>0.08400000000000001</v>
      </c>
      <c r="H480" t="inlineStr">
        <is>
          <t>This Java class implements a wrapper around a function object called `Func2` from the RX library. It manages the initialization and cleanup of the `HystrixRequestContext` for the execution of the wrapped function. The class is part of the Hystrix library, which provides a set of tools for implementing fault tolerance and performance optimization in distributed systems.</t>
        </is>
      </c>
      <c r="I480" t="n">
        <v>0.0043</v>
      </c>
      <c r="J480" t="n">
        <v>0.125</v>
      </c>
      <c r="K480" t="n">
        <v>0.1563</v>
      </c>
      <c r="L480" t="inlineStr">
        <is>
          <t>The provided code defines a class called `HystrixConcurrencyStrategy` that implements the `Func2` interface. It wraps another instance of `Func2` and manages the initialization and cleanup of the `HystrixRequestContext` before and after executing the wrapped function. The class is part of the Hystrix library and provides thread management capabilities for the framework.</t>
        </is>
      </c>
      <c r="M480" t="n">
        <v>0.0043</v>
      </c>
      <c r="N480" t="n">
        <v>0.1017</v>
      </c>
      <c r="O480" t="n">
        <v>0.122</v>
      </c>
    </row>
    <row r="481">
      <c r="A481" t="inlineStr">
        <is>
          <t>hystrix</t>
        </is>
      </c>
      <c r="B481" t="inlineStr">
        <is>
          <t>hystrix-core/src/main/java/com/netflix/hystrix/strategy/concurrency/HystrixContextCallable.java</t>
        </is>
      </c>
      <c r="C481">
        <f>HYPERLINK("https://github.com/Netflix/Hystrix/blob/master/hystrix-core/src/main/java/com/netflix/hystrix/strategy/concurrency/HystrixContextCallable.java")</f>
        <v/>
      </c>
      <c r="D481" t="inlineStr">
        <is>
          <t>This code defines a class called `HystrixContexScheduler` that wraps a `Callable` object and manages the initialization and cleanup of the `HystrixRequestContext`. The class implements the `Callable` interface and has a single method `call()` that executes the wrapped callable instance within a `try-catch` block. Within the `try`</t>
        </is>
      </c>
      <c r="E481" t="n">
        <v>0.0053</v>
      </c>
      <c r="F481" t="n">
        <v>0.1091</v>
      </c>
      <c r="G481" t="n">
        <v>0.1271</v>
      </c>
      <c r="H481" t="inlineStr">
        <is>
          <t>This code defines a class called `HystrixRequestContext` that wraps a callable object and manages the initialization and cleanup of the Hystrix request context for its execution. The class imports several packages from the `com.netflix.hystrix.strategy` package and extends the `Callable` interface. It has one constructor parameterized by the call</t>
        </is>
      </c>
      <c r="I481" t="n">
        <v>0.0045</v>
      </c>
      <c r="J481" t="n">
        <v>0.0678</v>
      </c>
      <c r="K481" t="n">
        <v>0.0833</v>
      </c>
      <c r="L481" t="inlineStr">
        <is>
          <t>The `HystrixConcurrencyStrategy` class provides a wrapper around the `Callable` interface that initializes and cleans up the `HystrixRequestContext` before and after executing the callable. It is part of the Hystrix library's strategy pattern implementation.</t>
        </is>
      </c>
      <c r="M481" t="n">
        <v>0.0056</v>
      </c>
      <c r="N481" t="n">
        <v>0.0476</v>
      </c>
      <c r="O481" t="n">
        <v>0.09520000000000001</v>
      </c>
    </row>
    <row r="482">
      <c r="A482" t="inlineStr">
        <is>
          <t>hystrix</t>
        </is>
      </c>
      <c r="B482" t="inlineStr">
        <is>
          <t>hystrix-core/src/main/java/com/netflix/hystrix/strategy/concurrency/HystrixLifecycleForwardingRequestVariable.java</t>
        </is>
      </c>
      <c r="C482">
        <f>HYPERLINK("https://github.com/Netflix/Hystrix/blob/master/hystrix-core/src/main/java/com/netflix/hystrix/strategy/concurrency/HystrixLifecycleForwardingRequestVariable.java")</f>
        <v/>
      </c>
      <c r="D482" t="inlineStr">
        <is>
          <t>The provided code defines a custom implementation of `HystrixRequestVariable` that wraps around an instance of `HystrixRequestVariableLifecycle`. When the `get()` method is called, it checks if the current thread has a valid context associated with it. If so, it returns the value stored in the variable lifecycle. Otherwise, it returns null.
The purpose of</t>
        </is>
      </c>
      <c r="E482" t="n">
        <v>0</v>
      </c>
      <c r="F482" t="n">
        <v>0.0328</v>
      </c>
      <c r="G482" t="n">
        <v>0.04</v>
      </c>
      <c r="H482" t="inlineStr">
        <is>
          <t>The code defines a class `HystrixRequestVariable` that implements the interface `HystrixRequestVariable`. It provides a wrapper around another instance of `HystrixRequestVariable`, but instead of returning null when the context has not been initialized, it throws an exception. The class is part of the Hystrix library and is used to manage request variables within the context of a request</t>
        </is>
      </c>
      <c r="I482" t="n">
        <v>0.0038</v>
      </c>
      <c r="J482" t="n">
        <v>0.0615</v>
      </c>
      <c r="K482" t="n">
        <v>0.1163</v>
      </c>
      <c r="L482" t="inlineStr">
        <is>
          <t>The provided code defines an implementation of the `HystrixRequestVariable` interface that wraps around the `HystrixRequestVariableLifecycle` class. It provides a way to access request variables within a thread's execution context, even if the context has not yet been initialized. When the context has not been initialized, the get() method returns null instead of throwing an exception.</t>
        </is>
      </c>
      <c r="M482" t="n">
        <v>0</v>
      </c>
      <c r="N482" t="n">
        <v>0.0312</v>
      </c>
      <c r="O482" t="n">
        <v>0.0394</v>
      </c>
    </row>
    <row r="483">
      <c r="A483" t="inlineStr">
        <is>
          <t>hystrix</t>
        </is>
      </c>
      <c r="B483" t="inlineStr">
        <is>
          <t>hystrix-core/src/main/java/com/netflix/hystrix/strategy/concurrency/HystrixConcurrencyStrategyDefault.java</t>
        </is>
      </c>
      <c r="C483">
        <f>HYPERLINK("https://github.com/Netflix/Hystrix/blob/master/hystrix-core/src/main/java/com/netflix/hystrix/strategy/concurrency/HystrixConcurrencyStrategyDefault.java")</f>
        <v/>
      </c>
      <c r="D483" t="inlineStr">
        <is>
          <t>This code defines a custom `HystrixConcurrencyStrategy` called `HystrixConcurrencyStrategyDefault`. It uses standard Java concurrent classes such as `ThreadPoolExecutor`, `Semaphore`, and `BlockingQueue` to implement its functionality. The strategy provides a default implementation of the `HystrixConcurrencyStrategy` interface, which can be used to manage thread pools and</t>
        </is>
      </c>
      <c r="E483" t="n">
        <v>0.0051</v>
      </c>
      <c r="F483" t="n">
        <v>0.1569</v>
      </c>
      <c r="G483" t="n">
        <v>0.1739</v>
      </c>
      <c r="H483" t="inlineStr">
        <is>
          <t>This code defines a custom `HystrixConcurrencyStrategy` that uses standard Java concurrency libraries to implement its functionality. The strategy provides default implementations for several methods related to thread management and execution. It also includes documentation and comments to help developers understand how it works. Overall, this code appears to be well-structured and easy to read, with clear variable names and logical organization.</t>
        </is>
      </c>
      <c r="I483" t="n">
        <v>0.0036</v>
      </c>
      <c r="J483" t="n">
        <v>0.1429</v>
      </c>
      <c r="K483" t="n">
        <v>0.1504</v>
      </c>
      <c r="L483" t="inlineStr">
        <is>
          <t>The provided code defines a custom `HystrixConcurrencyStrategy` implementation called `HystrixConcurrencyStrategyDefault`. It uses standard Java concurrency classes such as `ExecutorService`, `FutureTask`, and `Callable` to manage concurrent execution of tasks. The code also includes some comments related to licensing and documentation. Overall, the code appears to be well-struct</t>
        </is>
      </c>
      <c r="M483" t="n">
        <v>0.004</v>
      </c>
      <c r="N483" t="n">
        <v>0.0727</v>
      </c>
      <c r="O483" t="n">
        <v>0.1271</v>
      </c>
    </row>
    <row r="484">
      <c r="A484" t="inlineStr">
        <is>
          <t>hystrix</t>
        </is>
      </c>
      <c r="B484" t="inlineStr">
        <is>
          <t>hystrix-core/src/main/java/com/netflix/hystrix/strategy/concurrency/package-info.java</t>
        </is>
      </c>
      <c r="C484">
        <f>HYPERLINK("https://github.com/Netflix/Hystrix/blob/master/hystrix-core/src/main/java/com/netflix/hystrix/strategy/concurrency/package-info.java")</f>
        <v/>
      </c>
      <c r="D484" t="inlineStr">
        <is>
          <t>The code defines a class called `HystrixConcurrencyStrategy` that provides a strategy for handling concurrency-related behavior in Hystrix. The class has several methods that define how different types of requests should be executed concurrently, such as `getThreadPool`, `getExecutionSemaphore`, and `getFallbackSemaphore`. These methods return instances of various classes that</t>
        </is>
      </c>
      <c r="E484" t="n">
        <v>0.0039</v>
      </c>
      <c r="F484" t="n">
        <v>0.0357</v>
      </c>
      <c r="G484" t="n">
        <v>0.042</v>
      </c>
      <c r="H484" t="inlineStr">
        <is>
          <t>This code defines a strategy for handling concurrency-related behavior, including default implementations. The package name suggests that it belongs to the Hystrix project, which is a library for implementing circuit breakers and other resilience patterns in Java applications. The README describes the repository as containing "backend software components." The complexity of the code is O(N), where N is the number</t>
        </is>
      </c>
      <c r="I484" t="n">
        <v>0.004</v>
      </c>
      <c r="J484" t="n">
        <v>0.0857</v>
      </c>
      <c r="K484" t="n">
        <v>0.1515</v>
      </c>
      <c r="L484" t="inlineStr">
        <is>
          <t>The provided code defines a strategy for concurrency-related behavior and provides a default implementation. It is part of the Hystrix library, which is used for implementing fault tolerance and performance optimization in distributed systems. The code is well-documented with comments that explain the purpose and usage of the class.</t>
        </is>
      </c>
      <c r="M484" t="n">
        <v>0.0037</v>
      </c>
      <c r="N484" t="n">
        <v>0.0678</v>
      </c>
      <c r="O484" t="n">
        <v>0.124</v>
      </c>
    </row>
    <row r="485">
      <c r="A485" t="inlineStr">
        <is>
          <t>hystrix</t>
        </is>
      </c>
      <c r="B485" t="inlineStr">
        <is>
          <t>hystrix-core/src/main/java/com/netflix/hystrix/strategy/concurrency/HystrixRequestVariableDefault.java</t>
        </is>
      </c>
      <c r="C485">
        <f>HYPERLINK("https://github.com/Netflix/Hystrix/blob/master/hystrix-core/src/main/java/com/netflix/hystrix/strategy/concurrency/HystrixRequestVariableDefault.java")</f>
        <v/>
      </c>
      <c r="D485" t="inlineStr">
        <is>
          <t>This Java class implements the `HystrixRequestVariable` interface and provides a default implementation of a thread-local variable scope that is tied to a single user request. It uses a `ConcurrentHashMap` to store variables per request and manages their lifecycle using a `HystrixRequestContext`. The class logs messages using SLF4J.</t>
        </is>
      </c>
      <c r="E485" t="n">
        <v>0.0051</v>
      </c>
      <c r="F485" t="n">
        <v>0.1071</v>
      </c>
      <c r="G485" t="n">
        <v>0.1681</v>
      </c>
      <c r="H485" t="inlineStr">
        <is>
          <t>This code defines a custom thread local variable called `HystrixRequestVariable` that is used to store data related to a single HTTP request. It uses a `ConcurrentHashMap` internally to store the variables. The class has several methods for setting, getting, and removing values from the map, as well as a method for retrieving all stored values.
The code also includes some</t>
        </is>
      </c>
      <c r="I485" t="n">
        <v>0.0036</v>
      </c>
      <c r="J485" t="n">
        <v>0.0588</v>
      </c>
      <c r="K485" t="n">
        <v>0.1136</v>
      </c>
      <c r="L485" t="inlineStr">
        <is>
          <t>The provided code defines a custom implementation of the `HystrixRequestVariable` interface, which provides a way to store and manage thread-local variables within the scope of a single HTTP request. It uses the `HystrixRequestContext` class to manage the lifecycle of the variable's value across different threads spawned from the initial request.
The code creates a new instance</t>
        </is>
      </c>
      <c r="M485" t="n">
        <v>0.0033</v>
      </c>
      <c r="N485" t="n">
        <v>0.0606</v>
      </c>
      <c r="O485" t="n">
        <v>0.1172</v>
      </c>
    </row>
    <row r="486">
      <c r="A486" t="inlineStr">
        <is>
          <t>hystrix</t>
        </is>
      </c>
      <c r="B486" t="inlineStr">
        <is>
          <t>hystrix-core/src/main/java/com/netflix/hystrix/strategy/concurrency/HystrixRequestVariableLifecycle.java</t>
        </is>
      </c>
      <c r="C486">
        <f>HYPERLINK("https://github.com/Netflix/Hystrix/blob/master/hystrix-core/src/main/java/com/netflix/hystrix/strategy/concurrency/HystrixRequestVariableLifecycle.java")</f>
        <v/>
      </c>
      <c r="D486" t="inlineStr">
        <is>
          <t>This code defines an interface named `HystrixRequestVariableLifecycle` which has one method `onThreadStart`. The method takes a generic type `T` as its parameter. It is used to define lifecycle methods that will be executed by an implementation of `HystrixRequestVariable`.
The class is annotated with `@Interface` and `@Deprecated`, indicating it</t>
        </is>
      </c>
      <c r="E486" t="n">
        <v>0.0045</v>
      </c>
      <c r="F486" t="n">
        <v>0.1071</v>
      </c>
      <c r="G486" t="n">
        <v>0.1667</v>
      </c>
      <c r="H486" t="inlineStr">
        <is>
          <t>This code defines an interface named `HystrixRequestVariableLifecycle` which has one method named `onThreadStart`. The method takes no arguments and returns nothing. It is intended to be implemented by classes that want to perform some action when a thread starts executing. The class implementing this interface will have its own unique behavior, but it will always execute the same code when the `onThread</t>
        </is>
      </c>
      <c r="I486" t="n">
        <v>0.0035</v>
      </c>
      <c r="J486" t="n">
        <v>0.0571</v>
      </c>
      <c r="K486" t="n">
        <v>0.1119</v>
      </c>
      <c r="L486" t="inlineStr">
        <is>
          <t>The code defines an interface named `HystrixRequestVariableLifecycle` that provides lifecycle methods for objects used as request variables in the Hystrix library. These methods are implemented by classes that need to perform initialization or cleanup tasks when their corresponding request variable is accessed or destroyed.</t>
        </is>
      </c>
      <c r="M486" t="n">
        <v>0</v>
      </c>
      <c r="N486" t="n">
        <v>0.0385</v>
      </c>
      <c r="O486" t="n">
        <v>0.0862</v>
      </c>
    </row>
    <row r="487">
      <c r="A487" t="inlineStr">
        <is>
          <t>hystrix</t>
        </is>
      </c>
      <c r="B487" t="inlineStr">
        <is>
          <t>hystrix-core/src/main/java/com/netflix/hystrix/strategy/concurrency/HystrixRequestVariableHolder.java</t>
        </is>
      </c>
      <c r="C487">
        <f>HYPERLINK("https://github.com/Netflix/Hystrix/blob/master/hystrix-core/src/main/java/com/netflix/hystrix/strategy/concurrency/HystrixRequestVariableHolder.java")</f>
        <v/>
      </c>
      <c r="D487" t="inlineStr">
        <is>
          <t>The code defines a factory class called `HystrixRequestVariable` that creates instances of `HystrixRequestVariable`. It also provides a method to get an instance of `HystrixRequestVariable` based on a key. The implementation uses a concurrent hash map to store the instances of `HystrixRequestVariable`, which ensures thread safety. The class logs messages using SLF</t>
        </is>
      </c>
      <c r="E487" t="n">
        <v>0</v>
      </c>
      <c r="F487" t="n">
        <v>0.0339</v>
      </c>
      <c r="G487" t="n">
        <v>0.0813</v>
      </c>
      <c r="H487" t="inlineStr">
        <is>
          <t>The provided code defines a factory class called `HystrixRequestVariable` that serves as a wrapper around the actual implementation of the same name. It provides a way to create instances of `HystrixRequestVariable`, which can be used to store data related to a request within a thread. The factory also includes logging and error handling capabilities.</t>
        </is>
      </c>
      <c r="I487" t="n">
        <v>0.0034</v>
      </c>
      <c r="J487" t="n">
        <v>0.0645</v>
      </c>
      <c r="K487" t="n">
        <v>0.119</v>
      </c>
      <c r="L487" t="inlineStr">
        <is>
          <t>The provided code defines a factory class for creating instances of `HystrixRequestVariable` objects within the Hystrix library. It provides a way to customize the implementation of these variables using dependency injection. The factory takes care of managing the lifecycle of the variables and ensuring that they are properly initialized and shutdown when needed.</t>
        </is>
      </c>
      <c r="M487" t="n">
        <v>0.0035</v>
      </c>
      <c r="N487" t="n">
        <v>0.06560000000000001</v>
      </c>
      <c r="O487" t="n">
        <v>0.12</v>
      </c>
    </row>
    <row r="488">
      <c r="A488" t="inlineStr">
        <is>
          <t>hystrix</t>
        </is>
      </c>
      <c r="B488" t="inlineStr">
        <is>
          <t>hystrix-core/src/main/java/com/netflix/hystrix/strategy/concurrency/HystrixRequestVariable.java</t>
        </is>
      </c>
      <c r="C488">
        <f>HYPERLINK("https://github.com/Netflix/Hystrix/blob/master/hystrix-core/src/main/java/com/netflix/hystrix/strategy/concurrency/HystrixRequestVariable.java")</f>
        <v/>
      </c>
      <c r="D488" t="inlineStr">
        <is>
          <t>The provided code defines an interface for a thread-local variable that is scoped per user request. It provides a default implementation called `HystrixRequestVariableDefault` that is managed by `HystrixRequestContext`. This class allows custom implementations to be used through `HystrixPlugins`.</t>
        </is>
      </c>
      <c r="E488" t="n">
        <v>0.0049</v>
      </c>
      <c r="F488" t="n">
        <v>0.0851</v>
      </c>
      <c r="G488" t="n">
        <v>0.1364</v>
      </c>
      <c r="H488" t="inlineStr">
        <is>
          <t>This code defines an interface called `HystrixRequestVariable` that provides a way to store variables per user request. The default implementation is `HystrixRequestVariableDefault`, which is managed by `HystrixRequestContext`. Custom implementations can be injected using `HystrixPlugins`.
The complexity of the code is O(N), where N is the number of</t>
        </is>
      </c>
      <c r="I488" t="n">
        <v>0.0039</v>
      </c>
      <c r="J488" t="n">
        <v>0.07140000000000001</v>
      </c>
      <c r="K488" t="n">
        <v>0.1261</v>
      </c>
      <c r="L488" t="inlineStr">
        <is>
          <t>The provided code defines an interface for a thread-local variable that is scoped to a single HTTP request. It provides a default implementation called `HystrixRequestVariableDefault` that is managed by the `HystrixRequestContext`. Custom implementations can be injected using the `HystrixPlugins` class.</t>
        </is>
      </c>
      <c r="M488" t="n">
        <v>0</v>
      </c>
      <c r="N488" t="n">
        <v>0.0408</v>
      </c>
      <c r="O488" t="n">
        <v>0.0893</v>
      </c>
    </row>
    <row r="489">
      <c r="A489" t="inlineStr">
        <is>
          <t>hystrix</t>
        </is>
      </c>
      <c r="B489" t="inlineStr">
        <is>
          <t>hystrix-core/src/main/java/com/netflix/hystrix/strategy/concurrency/HystrixConcurrencyStrategy.java</t>
        </is>
      </c>
      <c r="C489">
        <f>HYPERLINK("https://github.com/Netflix/Hystrix/blob/master/hystrix-core/src/main/java/com/netflix/hystrix/strategy/concurrency/HystrixConcurrencyStrategy.java")</f>
        <v/>
      </c>
      <c r="D489" t="inlineStr">
        <is>
          <t>The provided code defines a class called `HystrixConcurrencyStrategy` that implements the `IsolationStrategy` interface from the Hystrix library. It provides methods for managing thread pools and executing commands within those threads.
The class has several static variables and methods that define the default behavior for creating and managing thread pools. These include the `defaultThreadPoolKey</t>
        </is>
      </c>
      <c r="E489" t="n">
        <v>0.0041</v>
      </c>
      <c r="F489" t="n">
        <v>0.06560000000000001</v>
      </c>
      <c r="G489" t="n">
        <v>0.08</v>
      </c>
      <c r="H489" t="inlineStr">
        <is>
          <t>This code appears to be part of a Java project that implements the Hystrix library's thread pool management strategy. The package name suggests that it is related to the Hystrix framework, which provides fault tolerance and performance optimization for microservices architecture.
The code defines several classes and interfaces related to managing threads in a thread pool, including `HystrixThreadPool`, `</t>
        </is>
      </c>
      <c r="I489" t="n">
        <v>0.0041</v>
      </c>
      <c r="J489" t="n">
        <v>0.0896</v>
      </c>
      <c r="K489" t="n">
        <v>0.1527</v>
      </c>
      <c r="L489" t="inlineStr">
        <is>
          <t>The provided code defines a custom Hystrix thread pool strategy that allows for dynamic configuration of thread pools using external properties. It imports various classes from the Hystrix framework, including `HystrixCommand`, `HystrixThreadPool`, and `HystrixThreadPoolProperties`.
The class defines several static methods that provide access to the thread pool's properties, such as `</t>
        </is>
      </c>
      <c r="M489" t="n">
        <v>0.0036</v>
      </c>
      <c r="N489" t="n">
        <v>0.0339</v>
      </c>
      <c r="O489" t="n">
        <v>0.0813</v>
      </c>
    </row>
    <row r="490">
      <c r="A490" t="inlineStr">
        <is>
          <t>hystrix</t>
        </is>
      </c>
      <c r="B490" t="inlineStr">
        <is>
          <t>hystrix-core/src/main/java/com/netflix/hystrix/strategy/concurrency/HystrixRequestContext.java</t>
        </is>
      </c>
      <c r="C490">
        <f>HYPERLINK("https://github.com/Netflix/Hystrix/blob/master/hystrix-core/src/main/java/com/netflix/hystrix/strategy/concurrency/HystrixRequestContext.java")</f>
        <v/>
      </c>
      <c r="D490" t="inlineStr">
        <is>
          <t>The code defines a class called `HystrixRequestVariableDefault` that implements the `HystrixRequestVariable` interface. It provides a way to store and retrieve request-scoped variables within a thread pool using a `ConcurrentHashMap`. The class also has methods to manage the lifetime of the variable, such as initializing it when the request starts and removing it when the request ends</t>
        </is>
      </c>
      <c r="E490" t="n">
        <v>0.0039</v>
      </c>
      <c r="F490" t="n">
        <v>0.0615</v>
      </c>
      <c r="G490" t="n">
        <v>0.1172</v>
      </c>
      <c r="H490" t="inlineStr">
        <is>
          <t>This code defines a class called `HystrixRequestVariableDefault` that implements the `HystrixRequestVariable` interface. The class has a constructor that takes a `String` argument representing the name of the variable, and it also has a method called `initialize()` that does some initialization work. It also has a field called `requestVariables` which is a `ConcurrentHashMap</t>
        </is>
      </c>
      <c r="I490" t="n">
        <v>0.0046</v>
      </c>
      <c r="J490" t="n">
        <v>0.1</v>
      </c>
      <c r="K490" t="n">
        <v>0.121</v>
      </c>
      <c r="L490" t="inlineStr">
        <is>
          <t>The provided code defines a class called `HystrixRequestContext` that provides a way to manage the state of a request in a web application. It uses a combination of Java's built-in thread-local storage and the `ConcurrentHashMap` data structure to store and retrieve request-specific variables. The class also provides methods for initializing and closing the context, as well as</t>
        </is>
      </c>
      <c r="M490" t="n">
        <v>0.0032</v>
      </c>
      <c r="N490" t="n">
        <v>0.029</v>
      </c>
      <c r="O490" t="n">
        <v>0.0775</v>
      </c>
    </row>
    <row r="491">
      <c r="A491" t="inlineStr">
        <is>
          <t>hystrix</t>
        </is>
      </c>
      <c r="B491" t="inlineStr">
        <is>
          <t>hystrix-core/src/main/java/com/netflix/hystrix/strategy/concurrency/HystrixContextScheduler.java</t>
        </is>
      </c>
      <c r="C491">
        <f>HYPERLINK("https://github.com/Netflix/Hystrix/blob/master/hystrix-core/src/main/java/com/netflix/hystrix/strategy/concurrency/HystrixContextScheduler.java")</f>
        <v/>
      </c>
      <c r="D491" t="inlineStr">
        <is>
          <t>This Java class implements a custom `Scheduler` that wraps around another `Scheduler`, but instead of scheduling tasks directly, it creates a new thread pool with a fixed number of threads and uses those threads to execute the scheduled tasks. The `Scheduler` also provides a way to schedule a task to run after a specified delay using the `schedule()` method. Additionally, the</t>
        </is>
      </c>
      <c r="E491" t="n">
        <v>0.0039</v>
      </c>
      <c r="F491" t="n">
        <v>0.08699999999999999</v>
      </c>
      <c r="G491" t="n">
        <v>0.1504</v>
      </c>
      <c r="H491" t="inlineStr">
        <is>
          <t>This code defines a custom `Scheduler` implementation called `HystrixConcurrencyStrategyScheduler`. It wraps a given `Scheduler` instance and schedules tasks using it, but also takes into account Hystrix's thread pool management capabilities. The class implements the `Scheduler` interface from RxJava, which allows it to be used as a drop-in replacement</t>
        </is>
      </c>
      <c r="I491" t="n">
        <v>0.005</v>
      </c>
      <c r="J491" t="n">
        <v>0.1034</v>
      </c>
      <c r="K491" t="n">
        <v>0.1667</v>
      </c>
      <c r="L491" t="inlineStr">
        <is>
          <t>The code defines a custom `Scheduler` implementation that wraps around the default RxJava scheduler. It provides additional features such as thread pool management and error handling. The class uses the `HystrixThreadPool` class from the Hystrix library to manage the thread pools used by the scheduler. The `ScheduledAction` class is also used to schedule actions using the</t>
        </is>
      </c>
      <c r="M491" t="n">
        <v>0.0033</v>
      </c>
      <c r="N491" t="n">
        <v>0.0625</v>
      </c>
      <c r="O491" t="n">
        <v>0.1172</v>
      </c>
    </row>
    <row r="492">
      <c r="A492" t="inlineStr">
        <is>
          <t>hystrix</t>
        </is>
      </c>
      <c r="B492" t="inlineStr">
        <is>
          <t>hystrix-core/src/main/java/com/netflix/hystrix/strategy/executionhook/package-info.java</t>
        </is>
      </c>
      <c r="C492">
        <f>HYPERLINK("https://github.com/Netflix/Hystrix/blob/master/hystrix-core/src/main/java/com/netflix/hystrix/strategy/executionhook/package-info.java")</f>
        <v/>
      </c>
      <c r="D492" t="inlineStr">
        <is>
          <t>This code defines a strategy for executing hooks during Hystrix command execution. The `ExecutionHook` interface provides methods for defining custom logic that can be executed before and after command execution. The `DefaultExecutionHook` class implements this interface and provides default implementations for all methods. The `HystrixCommand` class uses the `ExecutionHook` instance to execute its pre-</t>
        </is>
      </c>
      <c r="E492" t="n">
        <v>0.0045</v>
      </c>
      <c r="F492" t="n">
        <v>0.0968</v>
      </c>
      <c r="G492" t="n">
        <v>0.1587</v>
      </c>
      <c r="H492" t="inlineStr">
        <is>
          <t>This code defines a strategy for executing tasks using Hystrix, which is a library for managing and monitoring the interactions between services in a microservices architecture. The strategy allows developers to define custom logic that will be executed before and after each task execution, providing additional control over the behavior of the system. The code includes comments explaining the purpose of the implementation and the licensing terms under which</t>
        </is>
      </c>
      <c r="I492" t="n">
        <v>0.0031</v>
      </c>
      <c r="J492" t="n">
        <v>0.0779</v>
      </c>
      <c r="K492" t="n">
        <v>0.1418</v>
      </c>
      <c r="L492" t="inlineStr">
        <is>
          <t>The code defines a strategy for executing hooks during Hystrix command execution. It provides a way to customize the execution process by defining a set of callback methods that can be invoked before and after the actual execution. The code includes comments about the license and versioning, as well as a brief description of the package and class.</t>
        </is>
      </c>
      <c r="M492" t="n">
        <v>0.0031</v>
      </c>
      <c r="N492" t="n">
        <v>0.0303</v>
      </c>
      <c r="O492" t="n">
        <v>0.0385</v>
      </c>
    </row>
    <row r="493">
      <c r="A493" t="inlineStr">
        <is>
          <t>hystrix</t>
        </is>
      </c>
      <c r="B493" t="inlineStr">
        <is>
          <t>hystrix-core/src/main/java/com/netflix/hystrix/strategy/executionhook/HystrixCommandExecutionHookDefault.java</t>
        </is>
      </c>
      <c r="C493">
        <f>HYPERLINK("https://github.com/Netflix/Hystrix/blob/master/hystrix-core/src/main/java/com/netflix/hystrix/strategy/executionhook/HystrixCommandExecutionHookDefault.java")</f>
        <v/>
      </c>
      <c r="D493" t="inlineStr">
        <is>
          <t>The code defines a default implementation of the `HystrixCommandExecutionHook` interface, which provides no-op methods for all hooks defined in the interface. This means that any command executed through this hook will not perform any additional actions before or after execution.</t>
        </is>
      </c>
      <c r="E493" t="n">
        <v>0.0046</v>
      </c>
      <c r="F493" t="n">
        <v>0.0408</v>
      </c>
      <c r="G493" t="n">
        <v>0.0893</v>
      </c>
      <c r="H493" t="inlineStr">
        <is>
          <t>This Java package `com.netflix.hystrix.strategy.executionhook` defines a default implementation of the `HystrixCommandExecutionHook` interface. The `HystrixCommandExecutionHookDefault` class provides empty methods for all hook points defined in the `HystrixCommandExecutionHook` interface, allowing developers to easily extend the library without having</t>
        </is>
      </c>
      <c r="I493" t="n">
        <v>0.0052</v>
      </c>
      <c r="J493" t="n">
        <v>0.0833</v>
      </c>
      <c r="K493" t="n">
        <v>0.0926</v>
      </c>
      <c r="L493" t="inlineStr">
        <is>
          <t>The code defines a default implementation of the `HystrixCommandExecutionHook` interface, which provides no hooks for command execution. It is part of the `com.netflix.hystrix.strategy.executionhook` package and has been annotated as `@ExcludeFromJavadoc`.</t>
        </is>
      </c>
      <c r="M493" t="n">
        <v>0.0062</v>
      </c>
      <c r="N493" t="n">
        <v>0.09520000000000001</v>
      </c>
      <c r="O493" t="n">
        <v>0.1471</v>
      </c>
    </row>
    <row r="494">
      <c r="A494" t="inlineStr">
        <is>
          <t>hystrix</t>
        </is>
      </c>
      <c r="B494" t="inlineStr">
        <is>
          <t>hystrix-core/src/main/java/com/netflix/hystrix/strategy/executionhook/HystrixCommandExecutionHook.java</t>
        </is>
      </c>
      <c r="C494">
        <f>HYPERLINK("https://github.com/Netflix/Hystrix/blob/master/hystrix-core/src/main/java/com/netflix/hystrix/strategy/executionhook/HystrixCommandExecutionHook.java")</f>
        <v/>
      </c>
      <c r="D494" t="inlineStr">
        <is>
          <t>This code defines a class called `HystrixCommand` that extends the abstract class `HystrixInvokable`. It also implements several interfaces such as `HystrixExecutable`, `HystrixCircuitBreaker`, and `HystrixMetricsPublisher`. The class has several methods that define how it should behave when executed, including `execute()` and `</t>
        </is>
      </c>
      <c r="E494" t="n">
        <v>0.0059</v>
      </c>
      <c r="F494" t="n">
        <v>0.125</v>
      </c>
      <c r="G494" t="n">
        <v>0.1327</v>
      </c>
      <c r="H494" t="inlineStr">
        <is>
          <t>This code implements various Hystrix execution hooks that allow users to customize the behavior of Hystrix commands. The package `com.netflix.hystrix.strategy.executionhook` defines several classes that extend the `HystrixCommand` class and provide different ways to execute commands. These include the `HystrixCommand`, `HystrixInvok</t>
        </is>
      </c>
      <c r="I494" t="n">
        <v>0.0061</v>
      </c>
      <c r="J494" t="n">
        <v>0.1154</v>
      </c>
      <c r="K494" t="n">
        <v>0.1339</v>
      </c>
      <c r="L494" t="inlineStr">
        <is>
          <t>The code defines a custom execution hook for Hystrix, which allows developers to execute arbitrary code before and after a command executes. It provides several methods for configuring the hook's behavior, including setting the isolation strategy and defining callbacks for success and failure. The hook also includes error handling mechanisms to ensure that errors are properly propagated upstream.</t>
        </is>
      </c>
      <c r="M494" t="n">
        <v>0.0031</v>
      </c>
      <c r="N494" t="n">
        <v>0.0299</v>
      </c>
      <c r="O494" t="n">
        <v>0.0385</v>
      </c>
    </row>
    <row r="495">
      <c r="A495" t="inlineStr">
        <is>
          <t>hystrix</t>
        </is>
      </c>
      <c r="B495" t="inlineStr">
        <is>
          <t>hystrix-core/src/main/java/com/netflix/hystrix/strategy/metrics/HystrixMetricsPublisher.java</t>
        </is>
      </c>
      <c r="C495">
        <f>HYPERLINK("https://github.com/Netflix/Hystrix/blob/master/hystrix-core/src/main/java/com/netflix/hystrix/strategy/metrics/HystrixMetricsPublisher.java")</f>
        <v/>
      </c>
      <c r="D495" t="inlineStr">
        <is>
          <t>This code implements various metrics tracking and reporting features for Hystrix, which is a library used for implementing circuit breakers and fallbacks in Java applications. The code defines several classes that implement different aspects of Hystrix's behavior, such as command execution, collapsing, and circuit breaking. It also includes some utility methods for working with these concepts. Overall, this code</t>
        </is>
      </c>
      <c r="E495" t="n">
        <v>0.0041</v>
      </c>
      <c r="F495" t="n">
        <v>0.0882</v>
      </c>
      <c r="G495" t="n">
        <v>0.1527</v>
      </c>
      <c r="H495" t="inlineStr">
        <is>
          <t>This code defines a Java package called `com.netflix.hystrix.strategy.metrics` that provides various metrics-related classes and interfaces for Hystrix, which is a circuit breaker library used in Netflix's microservices architecture. The package includes several classes related to collapsing requests, command execution, and circuit breaking.
The code</t>
        </is>
      </c>
      <c r="I495" t="n">
        <v>0.005</v>
      </c>
      <c r="J495" t="n">
        <v>0.06900000000000001</v>
      </c>
      <c r="K495" t="n">
        <v>0.1293</v>
      </c>
      <c r="L495" t="inlineStr">
        <is>
          <t>The provided code defines a custom Hystrix metrics strategy that allows users to implement their own custom metric collectors. It provides a way to register new collectors and retrieve existing ones. The class also exposes methods for retrieving the current state of the circuit breakers and collapsers. Overall, this code appears to be part of a library for implementing resilient systems using the</t>
        </is>
      </c>
      <c r="M495" t="n">
        <v>0.0029</v>
      </c>
      <c r="N495" t="n">
        <v>0.0563</v>
      </c>
      <c r="O495" t="n">
        <v>0.1481</v>
      </c>
    </row>
    <row r="496">
      <c r="A496" t="inlineStr">
        <is>
          <t>hystrix</t>
        </is>
      </c>
      <c r="B496" t="inlineStr">
        <is>
          <t>hystrix-core/src/main/java/com/netflix/hystrix/strategy/metrics/HystrixMetricsPublisherFactory.java</t>
        </is>
      </c>
      <c r="C496">
        <f>HYPERLINK("https://github.com/Netflix/Hystrix/blob/master/hystrix-core/src/main/java/com/netflix/hystrix/strategy/metrics/HystrixMetricsPublisherFactory.java")</f>
        <v/>
      </c>
      <c r="D496" t="inlineStr">
        <is>
          <t>This Java package `com.netflix.hystrix.strategy.metrics` provides a set of classes that implement various metrics strategies used in Hystrix, a library for managing and monitoring the behavior of complex systems. The package includes several classes related to collapsing requests, circuit breakers, and command execution.
The main class in this package is</t>
        </is>
      </c>
      <c r="E496" t="n">
        <v>0.0045</v>
      </c>
      <c r="F496" t="n">
        <v>0.0984</v>
      </c>
      <c r="G496" t="n">
        <v>0.1653</v>
      </c>
      <c r="H496" t="inlineStr">
        <is>
          <t>This code defines a Java package called `com.netflix.hystrix.strategy.metrics` that provides various metrics related to Hystrix's circuit breakers and collapsers. The package includes several classes, including `HystrixCircuitBreaker`, `HystrixCollapser`, `HystrixCollapserMetrics`, and `</t>
        </is>
      </c>
      <c r="I496" t="n">
        <v>0.0074</v>
      </c>
      <c r="J496" t="n">
        <v>0.09520000000000001</v>
      </c>
      <c r="K496" t="n">
        <v>0.098</v>
      </c>
      <c r="L496" t="inlineStr">
        <is>
          <t>The provided code defines a custom Hystrix metrics strategy that allows developers to track collapsed requests within a circuit breaker. It uses a concurrent hash map to store data about each collapser instance, including its key, properties, and metrics. When a command executes, the strategy checks if it belongs to any existing collapsers and updates their metrics accordingly. If no matching collapser</t>
        </is>
      </c>
      <c r="M496" t="n">
        <v>0.0029</v>
      </c>
      <c r="N496" t="n">
        <v>0.0286</v>
      </c>
      <c r="O496" t="n">
        <v>0.0746</v>
      </c>
    </row>
    <row r="497">
      <c r="A497" t="inlineStr">
        <is>
          <t>hystrix</t>
        </is>
      </c>
      <c r="B497" t="inlineStr">
        <is>
          <t>hystrix-core/src/main/java/com/netflix/hystrix/strategy/metrics/HystrixMetricsPublisherCommand.java</t>
        </is>
      </c>
      <c r="C497">
        <f>HYPERLINK("https://github.com/Netflix/Hystrix/blob/master/hystrix-core/src/main/java/com/netflix/hystrix/strategy/metrics/HystrixMetricsPublisherCommand.java")</f>
        <v/>
      </c>
      <c r="D497" t="inlineStr">
        <is>
          <t>The provided code defines a class called `HystrixMetricsPublisher` that implements the `HystrixMetricsPublisher` interface. It has a constructor that takes a single argument of type `HystrixCommand`. This class is responsible for publishing metrics related to the execution of a `HystrixCommand` instance.
The `publish()` method defined in</t>
        </is>
      </c>
      <c r="E497" t="n">
        <v>0.0049</v>
      </c>
      <c r="F497" t="n">
        <v>0.0377</v>
      </c>
      <c r="G497" t="n">
        <v>0.08550000000000001</v>
      </c>
      <c r="H497" t="inlineStr">
        <is>
          <t>This code defines a metrics publisher for a Hystrix command, which is part of the Hystrix library. The class implements the `HystrixMetricsPublisher` interface and provides methods for publishing metrics related to a Hystrix command's execution. It does not allocate any resources that require shutdown or register listeners, and it does not have any comments or</t>
        </is>
      </c>
      <c r="I497" t="n">
        <v>0.0044</v>
      </c>
      <c r="J497" t="n">
        <v>0.09379999999999999</v>
      </c>
      <c r="K497" t="n">
        <v>0.1575</v>
      </c>
      <c r="L497" t="inlineStr">
        <is>
          <t>The provided code defines a metrics publisher class for a Hystrix command. It provides a way to construct a metrics publisher instance using an implementation of the HystrixMetricsPublisher interface. The class is designed to be used in conjunction with the Hystrix framework, which provides a mechanism for publishing performance metrics about commands executed within the system. The class is annotated</t>
        </is>
      </c>
      <c r="M497" t="n">
        <v>0</v>
      </c>
      <c r="N497" t="n">
        <v>0.0294</v>
      </c>
      <c r="O497" t="n">
        <v>0.07580000000000001</v>
      </c>
    </row>
    <row r="498">
      <c r="A498" t="inlineStr">
        <is>
          <t>hystrix</t>
        </is>
      </c>
      <c r="B498" t="inlineStr">
        <is>
          <t>hystrix-core/src/main/java/com/netflix/hystrix/strategy/metrics/HystrixMetricsPublisherDefault.java</t>
        </is>
      </c>
      <c r="C498">
        <f>HYPERLINK("https://github.com/Netflix/Hystrix/blob/master/hystrix-core/src/main/java/com/netflix/hystrix/strategy/metrics/HystrixMetricsPublisherDefault.java")</f>
        <v/>
      </c>
      <c r="D498" t="inlineStr">
        <is>
          <t>This code defines a default implementation of the `HystrixMetricsPublisher` interface. It provides a basic implementation of the `publishCommandExecution` method that does nothing. The class also has a static instance variable called `INSTANCE`, which is set to an instance of the class when it is first accessed. The class is annotated with `@ExcludeFromJavadoc</t>
        </is>
      </c>
      <c r="E498" t="n">
        <v>0.0035</v>
      </c>
      <c r="F498" t="n">
        <v>0.0667</v>
      </c>
      <c r="G498" t="n">
        <v>0.0806</v>
      </c>
      <c r="H498" t="inlineStr">
        <is>
          <t>This code defines a Java class called `HystrixMetricsPublisherDefault` that implements the `HystrixMetricsPublisher` interface. The class provides default implementations of various methods related to publishing metrics from Hystrix commands. It also includes some documentation comments that provide additional context and information about the code's purpose and usage.</t>
        </is>
      </c>
      <c r="I498" t="n">
        <v>0.0053</v>
      </c>
      <c r="J498" t="n">
        <v>0.1091</v>
      </c>
      <c r="K498" t="n">
        <v>0.1271</v>
      </c>
      <c r="L498" t="inlineStr">
        <is>
          <t>The code defines a custom implementation of the `HystrixMetricsPublisher` interface, which provides default metrics publishing capabilities for the Hystrix library. It includes a constructor that initializes the instance variable `INSTANCE`, as well as several methods that implement the `HystrixMetricsPublisher` interface's abstract methods. The code also includes comments and documentation related</t>
        </is>
      </c>
      <c r="M498" t="n">
        <v>0.0037</v>
      </c>
      <c r="N498" t="n">
        <v>0.0678</v>
      </c>
      <c r="O498" t="n">
        <v>0.082</v>
      </c>
    </row>
    <row r="499">
      <c r="A499" t="inlineStr">
        <is>
          <t>hystrix</t>
        </is>
      </c>
      <c r="B499" t="inlineStr">
        <is>
          <t>hystrix-core/src/main/java/com/netflix/hystrix/strategy/metrics/package-info.java</t>
        </is>
      </c>
      <c r="C499">
        <f>HYPERLINK("https://github.com/Netflix/Hystrix/blob/master/hystrix-core/src/main/java/com/netflix/hystrix/strategy/metrics/package-info.java")</f>
        <v/>
      </c>
      <c r="D499" t="inlineStr">
        <is>
          <t>The code defines a `HystrixMetricsPublisher` interface that provides a strategy for publishing metrics. The interface has one method, `publish`, which takes a `HystrixCommandKey` object as input and returns a `HystrixCommandCompletion` object.
The `DefaultHystrixMetricsPublisher` class implements the `HystrixMet</t>
        </is>
      </c>
      <c r="E499" t="n">
        <v>0.006</v>
      </c>
      <c r="F499" t="n">
        <v>0.0444</v>
      </c>
      <c r="G499" t="n">
        <v>0.0917</v>
      </c>
      <c r="H499" t="inlineStr">
        <is>
          <t>This code defines a strategy for publishing metrics and provides its default implementation. The package name indicates that it belongs to the Hystrix library, which is used for implementing fault tolerance and chaos engineering techniques in microservices architectures. The code has been annotated with comments explaining its purpose and usage. It also includes a license header indicating that it is licensed under the Apache License version</t>
        </is>
      </c>
      <c r="I499" t="n">
        <v>0.0033</v>
      </c>
      <c r="J499" t="n">
        <v>0.08110000000000001</v>
      </c>
      <c r="K499" t="n">
        <v>0.1449</v>
      </c>
      <c r="L499" t="inlineStr">
        <is>
          <t>The code defines a strategy interface for publishing metrics and provides a default implementation. It includes comments that explain the purpose of the code and provide information about the license and copyright.</t>
        </is>
      </c>
      <c r="M499" t="n">
        <v>0.0058</v>
      </c>
      <c r="N499" t="n">
        <v>0.1</v>
      </c>
      <c r="O499" t="n">
        <v>0.0481</v>
      </c>
    </row>
    <row r="500">
      <c r="A500" t="inlineStr">
        <is>
          <t>hystrix</t>
        </is>
      </c>
      <c r="B500" t="inlineStr">
        <is>
          <t>hystrix-core/src/main/java/com/netflix/hystrix/strategy/metrics/HystrixMetricsPublisherCollapser.java</t>
        </is>
      </c>
      <c r="C500">
        <f>HYPERLINK("https://github.com/Netflix/Hystrix/blob/master/hystrix-core/src/main/java/com/netflix/hystrix/strategy/metrics/HystrixMetricsPublisherCollapser.java")</f>
        <v/>
      </c>
      <c r="D500" t="inlineStr">
        <is>
          <t>This code defines a class called `HystrixCollapserMetricsPublisher` that implements the `HystrixMetricsPublisher` interface. The class is used to publish metrics related to a `HystrixCollapser`.
The constructor takes no arguments and does not perform any initialization.
The `initialize()` method initializes the publisher by</t>
        </is>
      </c>
      <c r="E500" t="n">
        <v>0.0059</v>
      </c>
      <c r="F500" t="n">
        <v>0.1224</v>
      </c>
      <c r="G500" t="n">
        <v>0.177</v>
      </c>
      <c r="H500" t="inlineStr">
        <is>
          <t>This Java package `com.netflix.hystrix.strategy.metrics` implements metrics publishing for a Hystrix collapser. The class `HystrixCollapserMetricsPublisher` provides a way to publish metrics for a Hystrix collapser instance. It does not allocate any resources that need to be shut down, register listeners</t>
        </is>
      </c>
      <c r="I500" t="n">
        <v>0.0056</v>
      </c>
      <c r="J500" t="n">
        <v>0.0784</v>
      </c>
      <c r="K500" t="n">
        <v>0.0901</v>
      </c>
      <c r="L500" t="inlineStr">
        <is>
          <t>The provided code defines a metrics publisher for a Hystrix collapser, which is a type of request batching mechanism used in the Hystrix library. The class implements the HystrixMetricsPublisher interface and provides methods for publishing metrics related to the collapser's execution. It also includes annotations for licensing and copyright information.</t>
        </is>
      </c>
      <c r="M500" t="n">
        <v>0.0044</v>
      </c>
      <c r="N500" t="n">
        <v>0.0678</v>
      </c>
      <c r="O500" t="n">
        <v>0.123</v>
      </c>
    </row>
    <row r="501">
      <c r="A501" t="inlineStr">
        <is>
          <t>hystrix</t>
        </is>
      </c>
      <c r="B501" t="inlineStr">
        <is>
          <t>hystrix-core/src/main/java/com/netflix/hystrix/strategy/metrics/HystrixMetricsPublisherCollapserDefault.java</t>
        </is>
      </c>
      <c r="C501">
        <f>HYPERLINK("https://github.com/Netflix/Hystrix/blob/master/hystrix-core/src/main/java/com/netflix/hystrix/strategy/metrics/HystrixMetricsPublisherCollapserDefault.java")</f>
        <v/>
      </c>
      <c r="D501" t="inlineStr">
        <is>
          <t>The provided code defines a class called `DefaultHystrixMetricsPublisherCollapser` that implements the `HystrixMetricsPublisherCollapser` interface. It provides a default implementation of the publisher for collapsing metrics.
The class has two constructors, one taking no arguments and another taking a single argument of type `Hystrix</t>
        </is>
      </c>
      <c r="E501" t="n">
        <v>0.0052</v>
      </c>
      <c r="F501" t="n">
        <v>0.08</v>
      </c>
      <c r="G501" t="n">
        <v>0.0877</v>
      </c>
      <c r="H501" t="inlineStr">
        <is>
          <t>This is a Java package containing classes related to implementing a metrics publisher for collapsers in the Hystrix library. The package includes a single class named `DefaultCollapserMetricsPublisher` which implements the `HystrixMetricsPublisherCollapser` interface. The class has several methods that allow it to record various types of data related to collaps</t>
        </is>
      </c>
      <c r="I501" t="n">
        <v>0.0045</v>
      </c>
      <c r="J501" t="n">
        <v>0.0702</v>
      </c>
      <c r="K501" t="n">
        <v>0.08260000000000001</v>
      </c>
      <c r="L501" t="inlineStr">
        <is>
          <t>The provided code defines a class called `DefaultHystrixMetricsPublisherCollapser` which implements the `HystrixMetricsPublisherCollapser` interface. It appears to be responsible for publishing metrics related to collapsed requests in Hystrix.
The class takes two parameters during initialization: `collapserKey` and `properties`. The `</t>
        </is>
      </c>
      <c r="M501" t="n">
        <v>0.0056</v>
      </c>
      <c r="N501" t="n">
        <v>0.08699999999999999</v>
      </c>
      <c r="O501" t="n">
        <v>0.0901</v>
      </c>
    </row>
    <row r="502">
      <c r="A502" t="inlineStr">
        <is>
          <t>hystrix</t>
        </is>
      </c>
      <c r="B502" t="inlineStr">
        <is>
          <t>hystrix-core/src/main/java/com/netflix/hystrix/strategy/metrics/HystrixMetricsPublisherThreadPoolDefault.java</t>
        </is>
      </c>
      <c r="C502">
        <f>HYPERLINK("https://github.com/Netflix/Hystrix/blob/master/hystrix-core/src/main/java/com/netflix/hystrix/strategy/metrics/HystrixMetricsPublisherThreadPoolDefault.java")</f>
        <v/>
      </c>
      <c r="D502" t="inlineStr">
        <is>
          <t>This code defines a class called `DefaultHystrixMetricsPublisherThreadPool` which implements the interface `HystrixMetricsPublisherThreadPool`. The class has no methods defined, but it provides default implementations for all the methods declared in the interface.
The class takes two parameters in its constructor: `key`, which is an instance of `HystrixThreadPoolKey</t>
        </is>
      </c>
      <c r="E502" t="n">
        <v>0.0048</v>
      </c>
      <c r="F502" t="n">
        <v>0.0741</v>
      </c>
      <c r="G502" t="n">
        <v>0.0847</v>
      </c>
      <c r="H502" t="inlineStr">
        <is>
          <t>This Java class implements the `HystrixMetricsPublisherThreadPool` interface from the `com.netflix.hystrix.strategy.metrics` package. It provides a default implementation of the `publish()` method, which does nothing. The class also imports several other classes from the same package, including `HystrixThreadPoolKey`, `HystrixThreadPool</t>
        </is>
      </c>
      <c r="I502" t="n">
        <v>0.006</v>
      </c>
      <c r="J502" t="n">
        <v>0.08160000000000001</v>
      </c>
      <c r="K502" t="n">
        <v>0.0917</v>
      </c>
      <c r="L502" t="inlineStr">
        <is>
          <t>The provided code defines a class named `HystrixMetricsPublisherThreadPoolDefault` that implements the `HystrixMetricsPublisherThreadPool` interface. It provides a default implementation of the `publishCommandExecution` method, which does nothing. The class also has a constructor that takes two parameters: `HystrixThreadPoolKey` and `HystrixThreadPoolMetrics</t>
        </is>
      </c>
      <c r="M502" t="n">
        <v>0.0058</v>
      </c>
      <c r="N502" t="n">
        <v>0.08699999999999999</v>
      </c>
      <c r="O502" t="n">
        <v>0.09089999999999999</v>
      </c>
    </row>
    <row r="503">
      <c r="A503" t="inlineStr">
        <is>
          <t>hystrix</t>
        </is>
      </c>
      <c r="B503" t="inlineStr">
        <is>
          <t>hystrix-core/src/main/java/com/netflix/hystrix/strategy/metrics/HystrixMetricsPublisherCommandDefault.java</t>
        </is>
      </c>
      <c r="C503">
        <f>HYPERLINK("https://github.com/Netflix/Hystrix/blob/master/hystrix-core/src/main/java/com/netflix/hystrix/strategy/metrics/HystrixMetricsPublisherCommandDefault.java")</f>
        <v/>
      </c>
      <c r="D503" t="inlineStr">
        <is>
          <t>This code defines a class called `DefaultHystrixMetricsPublisherCommand` that implements the `HystrixMetricsPublisherCommand` interface. The class has several methods that are used to publish metrics related to command executions, such as request counts, error rates, and latency.
The constructor takes two arguments: `HystrixCommandKey` and</t>
        </is>
      </c>
      <c r="E503" t="n">
        <v>0.0058</v>
      </c>
      <c r="F503" t="n">
        <v>0.12</v>
      </c>
      <c r="G503" t="n">
        <v>0.1754</v>
      </c>
      <c r="H503" t="inlineStr">
        <is>
          <t>This code defines a class called `DefaultHystrixMetricsPublisherCommand` that implements the `HystrixMetricsPublisherCommand` interface. The class has several methods that provide information about the command execution, such as the number of requests executed, the error percentage, and the latency. It also provides methods for retrieving the circuit breaker state and the fall</t>
        </is>
      </c>
      <c r="I503" t="n">
        <v>0.0048</v>
      </c>
      <c r="J503" t="n">
        <v>0.1034</v>
      </c>
      <c r="K503" t="n">
        <v>0.123</v>
      </c>
      <c r="L503" t="inlineStr">
        <is>
          <t>The provided code defines a class named `DefaultHystrixMetricsPublisherCommand` that implements the `HystrixMetricsPublisherCommand` interface. It appears to be responsible for publishing metrics related to command execution. The class takes several dependencies as parameters, including an instance of `HystrixCommandMetrics`, which represents the metrics for a particular command, and an</t>
        </is>
      </c>
      <c r="M503" t="n">
        <v>0.0046</v>
      </c>
      <c r="N503" t="n">
        <v>0.0727</v>
      </c>
      <c r="O503" t="n">
        <v>0.08400000000000001</v>
      </c>
    </row>
    <row r="504">
      <c r="A504" t="inlineStr">
        <is>
          <t>hystrix</t>
        </is>
      </c>
      <c r="B504" t="inlineStr">
        <is>
          <t>hystrix-core/src/main/java/com/netflix/hystrix/strategy/metrics/HystrixMetricsPublisherThreadPool.java</t>
        </is>
      </c>
      <c r="C504">
        <f>HYPERLINK("https://github.com/Netflix/Hystrix/blob/master/hystrix-core/src/main/java/com/netflix/hystrix/strategy/metrics/HystrixMetricsPublisherThreadPool.java")</f>
        <v/>
      </c>
      <c r="D504" t="inlineStr">
        <is>
          <t>The provided code defines a class called `HystrixMetricsPublisherForThreadPool` that implements the `HystrixMetricsPublisher` interface. This class is responsible for publishing metrics related to a thread pool instance. It takes a `HystrixThreadPool` object as its constructor parameter and provides methods for publishing various types of metrics, such as request counts, latencies</t>
        </is>
      </c>
      <c r="E504" t="n">
        <v>0.0049</v>
      </c>
      <c r="F504" t="n">
        <v>0.0702</v>
      </c>
      <c r="G504" t="n">
        <v>0.124</v>
      </c>
      <c r="H504" t="inlineStr">
        <is>
          <t>This code defines a metrics publisher for a Hystrix thread pool. It provides a way to collect and report metrics about the performance of a thread pool, which can help developers optimize its behavior and improve overall system performance. The class is annotated with license information and documentation comments explaining its purpose and usage.</t>
        </is>
      </c>
      <c r="I504" t="n">
        <v>0.004</v>
      </c>
      <c r="J504" t="n">
        <v>0.0645</v>
      </c>
      <c r="K504" t="n">
        <v>0.0794</v>
      </c>
      <c r="L504" t="inlineStr">
        <is>
          <t>The code defines a metrics publisher for a Hystrix thread pool, which is used to collect and track performance data about the thread pool. It takes a single parameter, which is an instance of the HystrixThreadPool class, and returns an instance of the same type. The method does not allocate any resources or perform any actions that would require shutting down or cleaning up, as</t>
        </is>
      </c>
      <c r="M504" t="n">
        <v>0.0028</v>
      </c>
      <c r="N504" t="n">
        <v>0.0274</v>
      </c>
      <c r="O504" t="n">
        <v>0.073</v>
      </c>
    </row>
    <row r="505">
      <c r="A505" t="inlineStr">
        <is>
          <t>hystrix</t>
        </is>
      </c>
      <c r="B505" t="inlineStr">
        <is>
          <t>hystrix-core/src/main/java/com/netflix/hystrix/util/HystrixRollingPercentile.java</t>
        </is>
      </c>
      <c r="C505">
        <f>HYPERLINK("https://github.com/Netflix/Hystrix/blob/master/hystrix-core/src/main/java/com/netflix/hystrix/util/HystrixRollingPercentile.java")</f>
        <v/>
      </c>
      <c r="D505" t="inlineStr">
        <is>
          <t>This Java package `com.netflix.hystrix.util` implements various utility classes and functions used throughout the Netflix Hystrix library. The main class, `HystrixUtil`, provides methods for working with atomic variables, such as `AtomicInteger` and `AtomicReference`. It also includes a number of other utilities, including a simple lock implementation</t>
        </is>
      </c>
      <c r="E505" t="n">
        <v>0.0054</v>
      </c>
      <c r="F505" t="n">
        <v>0.1429</v>
      </c>
      <c r="G505" t="n">
        <v>0.1709</v>
      </c>
      <c r="H505" t="inlineStr">
        <is>
          <t>This Java package `com.netflix.hystrix.util` contains various utility classes and functions used in the development of Netflix's Hystrix library. The package includes implementations of several data structures such as arrays, lists, sets, maps, and locks. It also provides some basic algorithms like sorting, searching, and counting.
The package has been</t>
        </is>
      </c>
      <c r="I505" t="n">
        <v>0.0045</v>
      </c>
      <c r="J505" t="n">
        <v>0.0984</v>
      </c>
      <c r="K505" t="n">
        <v>0.1653</v>
      </c>
      <c r="L505" t="inlineStr">
        <is>
          <t>The provided code implements a utility class called `HystrixUtil` that provides various methods for working with atomic variables in Java. It includes several static methods for creating and manipulating atomic references, arrays, and integers. These methods enable developers to perform atomic operations such as incrementing, decrementing, and updating values in a thread-safe manner. The class also includes a method for creating</t>
        </is>
      </c>
      <c r="M505" t="n">
        <v>0.0036</v>
      </c>
      <c r="N505" t="n">
        <v>0.0571</v>
      </c>
      <c r="O505" t="n">
        <v>0.1128</v>
      </c>
    </row>
    <row r="506">
      <c r="A506" t="inlineStr">
        <is>
          <t>hystrix</t>
        </is>
      </c>
      <c r="B506" t="inlineStr">
        <is>
          <t>hystrix-core/src/main/java/com/netflix/hystrix/util/package-info.java</t>
        </is>
      </c>
      <c r="C506">
        <f>HYPERLINK("https://github.com/Netflix/Hystrix/blob/master/hystrix-core/src/main/java/com/netflix/hystrix/util/package-info.java")</f>
        <v/>
      </c>
      <c r="D506" t="inlineStr">
        <is>
          <t>This code defines a package called `com.netflix.hystrix.util` that contains common utility classes used throughout the project. The package includes several files, including a README file that describes the purpose of the repository, a LICENSE file that specifies the license under which the code is released, and several Java source files containing implementation details.
The</t>
        </is>
      </c>
      <c r="E506" t="n">
        <v>0.004</v>
      </c>
      <c r="F506" t="n">
        <v>0.0615</v>
      </c>
      <c r="G506" t="n">
        <v>0.1587</v>
      </c>
      <c r="H506" t="inlineStr">
        <is>
          <t>This is a Java package called `com.netflix.hystrix.util` that contains common utility classes used in the development of Hystrix, a library for building resilient and fault-tolerant systems. The package includes several classes that provide various functionalities such as metrics collection, circuit breakers, and thread pool management. The code is well-documented</t>
        </is>
      </c>
      <c r="I506" t="n">
        <v>0.0045</v>
      </c>
      <c r="J506" t="n">
        <v>0.0968</v>
      </c>
      <c r="K506" t="n">
        <v>0.124</v>
      </c>
      <c r="L506" t="inlineStr">
        <is>
          <t>The provided code defines a package called `com.netflix.hystrix.util` that contains various utility classes used throughout the Hystrix library. These utilities provide common functionalities such as logging, threading, and configuration management. The package also includes comments explaining the purpose of each class and their dependencies.</t>
        </is>
      </c>
      <c r="M506" t="n">
        <v>0.0042</v>
      </c>
      <c r="N506" t="n">
        <v>0.0727</v>
      </c>
      <c r="O506" t="n">
        <v>0.0862</v>
      </c>
    </row>
    <row r="507">
      <c r="A507" t="inlineStr">
        <is>
          <t>hystrix</t>
        </is>
      </c>
      <c r="B507" t="inlineStr">
        <is>
          <t>hystrix-core/src/main/java/com/netflix/hystrix/util/PlatformSpecific.java</t>
        </is>
      </c>
      <c r="C507">
        <f>HYPERLINK("https://github.com/Netflix/Hystrix/blob/master/hystrix-core/src/main/java/com/netflix/hystrix/util/PlatformSpecific.java")</f>
        <v/>
      </c>
      <c r="D507" t="inlineStr">
        <is>
          <t>The `PlatformSpecific` class provides a way to determine the current platform that the application is running on. It does this by using reflection to check if certain classes or methods exist on the classpath. If they do, then it assumes that the application is running on a particular platform. Otherwise, it falls back to assuming that the application is running on the standard Java platform.
The</t>
        </is>
      </c>
      <c r="E507" t="n">
        <v>0</v>
      </c>
      <c r="F507" t="n">
        <v>0.027</v>
      </c>
      <c r="G507" t="n">
        <v>0.0725</v>
      </c>
      <c r="H507" t="inlineStr">
        <is>
          <t>This Java package `com.netflix.hystrix.util` provides utilities for working with the Hystrix library. The package includes a single class called `PlatformSpecific`, which has several methods that provide information about the current platform and environment. These include methods for determining whether the application is running on App Engine Standard or Flexible, as well as methods for</t>
        </is>
      </c>
      <c r="I507" t="n">
        <v>0.004</v>
      </c>
      <c r="J507" t="n">
        <v>0.0615</v>
      </c>
      <c r="K507" t="n">
        <v>0.119</v>
      </c>
      <c r="L507" t="inlineStr">
        <is>
          <t>The `PlatformSpecific` class provides utilities for working with different platforms, including App Engine Standard, App Engine Flexible, and standard Java environments. It uses the `Platform` enumeration to determine which implementation to use based on the current environment. The class has a single instance variable, `platform`, which is set during initialization using a factory method that creates the appropriate implementation based on</t>
        </is>
      </c>
      <c r="M507" t="n">
        <v>0.003</v>
      </c>
      <c r="N507" t="n">
        <v>0.029</v>
      </c>
      <c r="O507" t="n">
        <v>0.1128</v>
      </c>
    </row>
    <row r="508">
      <c r="A508" t="inlineStr">
        <is>
          <t>hystrix</t>
        </is>
      </c>
      <c r="B508" t="inlineStr">
        <is>
          <t>hystrix-core/src/main/java/com/netflix/hystrix/util/Striped64.java</t>
        </is>
      </c>
      <c r="C508">
        <f>HYPERLINK("https://github.com/Netflix/Hystrix/blob/master/hystrix-core/src/main/java/com/netflix/hystrix/util/Striped64.java")</f>
        <v/>
      </c>
      <c r="D508" t="inlineStr">
        <is>
          <t>The provided code defines a utility class called `HystrixUtil` that provides various methods for working with Hystrix, a library used for implementing circuit breakers and fallbacks in Java applications. The class has several static methods that perform different tasks related to Hystrix, such as generating random numbers, computing hash codes, and comparing objects.
The class also includes a comment</t>
        </is>
      </c>
      <c r="E508" t="n">
        <v>0.0031</v>
      </c>
      <c r="F508" t="n">
        <v>0.0597</v>
      </c>
      <c r="G508" t="n">
        <v>0.1145</v>
      </c>
      <c r="H508" t="inlineStr">
        <is>
          <t>The provided code defines a Java package named `com.netflix.hystrix.util` that contains a single class called `HystrixUtil`. This class provides various utility methods for implementing Hystrix, which is a library used for implementing fault tolerance and isolation in distributed systems. Some of the key features of this class include:
* It implements a random</t>
        </is>
      </c>
      <c r="I508" t="n">
        <v>0.0045</v>
      </c>
      <c r="J508" t="n">
        <v>0.09520000000000001</v>
      </c>
      <c r="K508" t="n">
        <v>0.16</v>
      </c>
      <c r="L508" t="inlineStr">
        <is>
          <t>The code defines a utility class called `HystrixUtil` that provides various methods for working with Hystrix, which is a library used for implementing circuit breakers and fallbacks in Java applications. The class has a single method named `random()` that returns a random number between 0 and 1 using the `java.util.Random` class. It also includes some comments</t>
        </is>
      </c>
      <c r="M508" t="n">
        <v>0.0033</v>
      </c>
      <c r="N508" t="n">
        <v>0.0606</v>
      </c>
      <c r="O508" t="n">
        <v>0.1172</v>
      </c>
    </row>
    <row r="509">
      <c r="A509" t="inlineStr">
        <is>
          <t>hystrix</t>
        </is>
      </c>
      <c r="B509" t="inlineStr">
        <is>
          <t>hystrix-core/src/main/java/com/netflix/hystrix/util/LongAdder.java</t>
        </is>
      </c>
      <c r="C509">
        <f>HYPERLINK("https://github.com/Netflix/Hystrix/blob/master/hystrix-core/src/main/java/com/netflix/hystrix/util/LongAdder.java")</f>
        <v/>
      </c>
      <c r="D509" t="inlineStr">
        <is>
          <t>This code appears to be part of a Java library for implementing various algorithms related to data structures and operations. The package name suggests that it is part of the Hystrix project, which is a toolkit for building resilient and highly available systems.
The code defines several classes, including `AtomicReference`, `AtomicLong`, and `HystrixConcurrencyStrategy`.</t>
        </is>
      </c>
      <c r="E509" t="n">
        <v>0.0041</v>
      </c>
      <c r="F509" t="n">
        <v>0.0984</v>
      </c>
      <c r="G509" t="n">
        <v>0.16</v>
      </c>
      <c r="H509" t="inlineStr">
        <is>
          <t>This code appears to be part of a Java library called Hystrix Utilities, which provides various utility classes and functions for implementing backend systems. The code is licensed under the Apache License 2.0 and includes comments explaining its purpose and usage. It defines several classes and interfaces related to threading, synchronization, and serialization, including `HystrixCommand`, `Hyst</t>
        </is>
      </c>
      <c r="I509" t="n">
        <v>0.0039</v>
      </c>
      <c r="J509" t="n">
        <v>0.09229999999999999</v>
      </c>
      <c r="K509" t="n">
        <v>0.1563</v>
      </c>
      <c r="L509" t="inlineStr">
        <is>
          <t>The provided code defines a class called `HystrixUtil` that provides utility methods for working with Hystrix, a library used for implementing circuit breakers and fallback mechanisms in Java applications. The class implements the `Serializable` interface and has a constructor that takes no arguments. It also declares several static fields, including `DEFAULT_THREAD_POOL`, which represents</t>
        </is>
      </c>
      <c r="M509" t="n">
        <v>0.0041</v>
      </c>
      <c r="N509" t="n">
        <v>0.0635</v>
      </c>
      <c r="O509" t="n">
        <v>0.12</v>
      </c>
    </row>
    <row r="510">
      <c r="A510" t="inlineStr">
        <is>
          <t>hystrix</t>
        </is>
      </c>
      <c r="B510" t="inlineStr">
        <is>
          <t>hystrix-core/src/main/java/com/netflix/hystrix/util/ExceptionThreadingUtility.java</t>
        </is>
      </c>
      <c r="C510">
        <f>HYPERLINK("https://github.com/Netflix/Hystrix/blob/master/hystrix-core/src/main/java/com/netflix/hystrix/util/ExceptionThreadingUtility.java")</f>
        <v/>
      </c>
      <c r="D510" t="inlineStr">
        <is>
          <t>The `ExceptionThreadingUtility` class is deprecated and its functionality has been removed. It used to provide methods for attaching a stack trace to an exception and assigning it to a particular thread. However, these methods have been replaced by newer alternatives that do not rely on threads.</t>
        </is>
      </c>
      <c r="E510" t="n">
        <v>0.0048</v>
      </c>
      <c r="F510" t="n">
        <v>0.0741</v>
      </c>
      <c r="G510" t="n">
        <v>0.0847</v>
      </c>
      <c r="H510" t="inlineStr">
        <is>
          <t>This code defines a utility class called `ExceptionThreadingUtility` that provides deprecated methods for attaching a stack trace to an exception and assigning it to a particular thread. The class is annotated with `@Deprecated` since its functionality is no longer supported. The methods are also marked as deprecated, indicating that they should not be used anymore.</t>
        </is>
      </c>
      <c r="I510" t="n">
        <v>0.0044</v>
      </c>
      <c r="J510" t="n">
        <v>0.0635</v>
      </c>
      <c r="K510" t="n">
        <v>0.1181</v>
      </c>
      <c r="L510" t="inlineStr">
        <is>
          <t>The provided code defines a utility class called `ExceptionThreadingUtility` that provides two deprecated methods for attaching a stack trace to an exception and assigning a thread to an exception. These methods are marked as deprecated because they are no longer supported and should be avoided.</t>
        </is>
      </c>
      <c r="M510" t="n">
        <v>0.0041</v>
      </c>
      <c r="N510" t="n">
        <v>0.0377</v>
      </c>
      <c r="O510" t="n">
        <v>0.0427</v>
      </c>
    </row>
    <row r="511">
      <c r="A511" t="inlineStr">
        <is>
          <t>hystrix</t>
        </is>
      </c>
      <c r="B511" t="inlineStr">
        <is>
          <t>hystrix-core/src/main/java/com/netflix/hystrix/util/HystrixTimer.java</t>
        </is>
      </c>
      <c r="C511">
        <f>HYPERLINK("https://github.com/Netflix/Hystrix/blob/master/hystrix-core/src/main/java/com/netflix/hystrix/util/HystrixTimer.java")</f>
        <v/>
      </c>
      <c r="D511" t="inlineStr">
        <is>
          <t>This Java code appears to be part of a Hystrix library, which is used for implementing fault tolerance and performance optimization in distributed systems. The code defines several classes and interfaces related to Hystrix, including `HystrixCollapser`, `HystrixCommand`, and `HystrixPropertiesStrategy`. It also includes some utility methods for working with references (`SoftReference</t>
        </is>
      </c>
      <c r="E511" t="n">
        <v>0.0044</v>
      </c>
      <c r="F511" t="n">
        <v>0.1034</v>
      </c>
      <c r="G511" t="n">
        <v>0.1639</v>
      </c>
      <c r="H511" t="inlineStr">
        <is>
          <t>This code appears to be part of a Java project that implements various utilities for working with Hystrix, which is a library for implementing circuit breakers and fallback logic in microservices architectures. The code defines several classes and interfaces related to Hystrix, including `HystrixCollapser`, `HystrixCommand`, and `HystrixPropertiesStrategy`. It also</t>
        </is>
      </c>
      <c r="I511" t="n">
        <v>0.0049</v>
      </c>
      <c r="J511" t="n">
        <v>0.1404</v>
      </c>
      <c r="K511" t="n">
        <v>0.1653</v>
      </c>
      <c r="L511" t="inlineStr">
        <is>
          <t>The provided code defines a utility class called `HystrixUtil` that provides various methods for working with Hystrix commands and collapsers. It imports several classes from the Hystrix library and also uses the SLF4J logging framework.
The class has two static fields: `logger` and `commandReferences`, which are used to store references to recently executed H</t>
        </is>
      </c>
      <c r="M511" t="n">
        <v>0.0034</v>
      </c>
      <c r="N511" t="n">
        <v>0.0323</v>
      </c>
      <c r="O511" t="n">
        <v>0.0794</v>
      </c>
    </row>
    <row r="512">
      <c r="A512" t="inlineStr">
        <is>
          <t>hystrix</t>
        </is>
      </c>
      <c r="B512" t="inlineStr">
        <is>
          <t>hystrix-core/src/main/java/com/netflix/hystrix/util/LongMaxUpdater.java</t>
        </is>
      </c>
      <c r="C512">
        <f>HYPERLINK("https://github.com/Netflix/Hystrix/blob/master/hystrix-core/src/main/java/com/netflix/hystrix/util/LongMaxUpdater.java")</f>
        <v/>
      </c>
      <c r="D512" t="inlineStr">
        <is>
          <t>This Java package `com.netflix.hystrix.util` appears to contain utility classes related to the Hystrix library. The package includes one class called `HystrixUtil`, which implements various methods for working with strings, arrays, and other data structures.
The `HystrixUtil` class has several static methods that perform various tasks such as converting between</t>
        </is>
      </c>
      <c r="E512" t="n">
        <v>0.0049</v>
      </c>
      <c r="F512" t="n">
        <v>0.1</v>
      </c>
      <c r="G512" t="n">
        <v>0.1653</v>
      </c>
      <c r="H512" t="inlineStr">
        <is>
          <t>This code appears to be a Java package containing various utility classes and methods used in the development of a web application. The package name suggests that it is part of a larger system, possibly a web framework or platform.
The package includes several classes, each of which implements a different type of algorithm or functionality. Some of these classes have been commented with explanations of their purpose and usage,</t>
        </is>
      </c>
      <c r="I512" t="n">
        <v>0.0034</v>
      </c>
      <c r="J512" t="n">
        <v>0.1026</v>
      </c>
      <c r="K512" t="n">
        <v>0.1408</v>
      </c>
      <c r="L512" t="inlineStr">
        <is>
          <t>The provided code defines a class called `HystrixUtil` that provides utility methods for working with Hystrix, which is a library used for implementing circuit breakers and fallback behaviors in Java applications. The class implements the `Serializable` interface and has a constructor that takes no arguments. It also includes several static fields and methods related to serialization and deserialization.</t>
        </is>
      </c>
      <c r="M512" t="n">
        <v>0.0037</v>
      </c>
      <c r="N512" t="n">
        <v>0.0606</v>
      </c>
      <c r="O512" t="n">
        <v>0.1154</v>
      </c>
    </row>
    <row r="513">
      <c r="A513" t="inlineStr">
        <is>
          <t>hystrix</t>
        </is>
      </c>
      <c r="B513" t="inlineStr">
        <is>
          <t>hystrix-core/src/main/java/com/netflix/hystrix/util/Exceptions.java</t>
        </is>
      </c>
      <c r="C513">
        <f>HYPERLINK("https://github.com/Netflix/Hystrix/blob/master/hystrix-core/src/main/java/com/netflix/hystrix/util/Exceptions.java")</f>
        <v/>
      </c>
      <c r="D513" t="inlineStr">
        <is>
          <t>The `Exceptions` class in this repository provides utility methods for working with exceptions. It has two main methods:
* `sneakyThrow`: This method takes a `Throwable` object as input and returns it wrapped in a `RuntimeException`. The purpose of this method is to allow callers to "throw" an exception without having to explicitly declare it using a `</t>
        </is>
      </c>
      <c r="E513" t="n">
        <v>0.0038</v>
      </c>
      <c r="F513" t="n">
        <v>0.0635</v>
      </c>
      <c r="G513" t="n">
        <v>0.1163</v>
      </c>
      <c r="H513" t="inlineStr">
        <is>
          <t>This Java package `com.netflix.hystrix.util` contains a utility class called `Exceptions`. The class has one method called `sneakyThrow`, which takes in a `Throwable` object as its parameter and returns a `RuntimeException` that wraps the original exception. The purpose of this method is to allow callers to "throw" an</t>
        </is>
      </c>
      <c r="I513" t="n">
        <v>0.0046</v>
      </c>
      <c r="J513" t="n">
        <v>0.06900000000000001</v>
      </c>
      <c r="K513" t="n">
        <v>0.08400000000000001</v>
      </c>
      <c r="L513" t="inlineStr">
        <is>
          <t>The provided code defines a utility class called "Exceptions" that provides methods for throwing exceptions without explicitly declaring them. The `sneakyThrow` method takes a `Throwable` object as input and returns a `RuntimeException` instance that wraps the original exception. The `doThrow` method is used internally by the `sneakyThrow` method to actually throw the</t>
        </is>
      </c>
      <c r="M513" t="n">
        <v>0.0035</v>
      </c>
      <c r="N513" t="n">
        <v>0.0333</v>
      </c>
      <c r="O513" t="n">
        <v>0.0806</v>
      </c>
    </row>
    <row r="514">
      <c r="A514" t="inlineStr">
        <is>
          <t>hystrix</t>
        </is>
      </c>
      <c r="B514" t="inlineStr">
        <is>
          <t>hystrix-core/src/main/java/com/netflix/hystrix/util/HystrixRollingNumberEvent.java</t>
        </is>
      </c>
      <c r="C514">
        <f>HYPERLINK("https://github.com/Netflix/Hystrix/blob/master/hystrix-core/src/main/java/com/netflix/hystrix/util/HystrixRollingNumberEvent.java")</f>
        <v/>
      </c>
      <c r="D514" t="inlineStr">
        <is>
          <t>This Java class defines various states/events that can be captured in the `HystrixRollingNumber` object. It provides two types of events: counter and max updater. The counter type events are used for calculating statistical metrics such as mean and standard deviation, while the max updater type events are used for tracking the maximum value over time.</t>
        </is>
      </c>
      <c r="E514" t="n">
        <v>0.004</v>
      </c>
      <c r="F514" t="n">
        <v>0.0625</v>
      </c>
      <c r="G514" t="n">
        <v>0.1181</v>
      </c>
      <c r="H514" t="inlineStr">
        <is>
          <t>This code defines several enumerations representing various states or events that can occur in the context of the Hystrix library's `HystrixRollingNumber` class. These enumerations include counters and max updaters, which are used to track metrics such as request counts and latency. The code also includes comments explaining the purpose of each event type and how it can be used</t>
        </is>
      </c>
      <c r="I514" t="n">
        <v>0.0037</v>
      </c>
      <c r="J514" t="n">
        <v>0.0588</v>
      </c>
      <c r="K514" t="n">
        <v>0.1145</v>
      </c>
      <c r="L514" t="inlineStr">
        <is>
          <t>This Java class defines various states/events that can be captured in the `HystrixRollingNumber` class. It provides two event types: counter and max updater. The counter events are used to track the number of occurrences of each event type over time, while the max updater events are used to keep track of the maximum value observed for each event type.</t>
        </is>
      </c>
      <c r="M514" t="n">
        <v>0.0037</v>
      </c>
      <c r="N514" t="n">
        <v>0.0588</v>
      </c>
      <c r="O514" t="n">
        <v>0.1145</v>
      </c>
    </row>
    <row r="515">
      <c r="A515" t="inlineStr">
        <is>
          <t>hystrix</t>
        </is>
      </c>
      <c r="B515" t="inlineStr">
        <is>
          <t>hystrix-core/src/main/java/com/netflix/hystrix/util/InternMap.java</t>
        </is>
      </c>
      <c r="C515">
        <f>HYPERLINK("https://github.com/Netflix/Hystrix/blob/master/hystrix-core/src/main/java/com/netflix/hystrix/util/InternMap.java")</f>
        <v/>
      </c>
      <c r="D515" t="inlineStr">
        <is>
          <t>The `InternMap` class provides a utility method called `interned()` that takes in a key of type `K` and returns a single instance of a wrapper object for that key. If no such wrapper exists yet, it creates one using the `ValueConstructor` passed into the constructor. The wrapper is stored in a concurrent hash map with the key as its index. The `interned</t>
        </is>
      </c>
      <c r="E515" t="n">
        <v>0.0029</v>
      </c>
      <c r="F515" t="n">
        <v>0.0286</v>
      </c>
      <c r="G515" t="n">
        <v>0.0746</v>
      </c>
      <c r="H515" t="inlineStr">
        <is>
          <t>This is a Java implementation of a utility class called "InternMap" that provides a way to store objects in a map-like data structure while ensuring that only one instance of each object exists. The class takes a "ValueConstructor" interface as a parameter in its constructor, which allows it to generate instances of the wrapped objects on demand. The "interned" method returns either an existing</t>
        </is>
      </c>
      <c r="I515" t="n">
        <v>0.0028</v>
      </c>
      <c r="J515" t="n">
        <v>0.0548</v>
      </c>
      <c r="K515" t="n">
        <v>0.0735</v>
      </c>
      <c r="L515" t="inlineStr">
        <is>
          <t>The `InternMap` class provides a utility method called `interned()` that takes a key as input and returns a wrapped object associated with that key. If no such object exists, it creates one using the `ValueConstructor` passed into the constructor and stores it in the map. The method then returns either the existing or newly created object. The map is implemented using a `ConcurrentHashMap</t>
        </is>
      </c>
      <c r="M515" t="n">
        <v>0.0029</v>
      </c>
      <c r="N515" t="n">
        <v>0.0282</v>
      </c>
      <c r="O515" t="n">
        <v>0.1111</v>
      </c>
    </row>
    <row r="516">
      <c r="A516" t="inlineStr">
        <is>
          <t>hystrix</t>
        </is>
      </c>
      <c r="B516" t="inlineStr">
        <is>
          <t>hystrix-core/src/main/java/com/netflix/hystrix/util/HystrixRollingNumber.java</t>
        </is>
      </c>
      <c r="C516">
        <f>HYPERLINK("https://github.com/Netflix/Hystrix/blob/master/hystrix-core/src/main/java/com/netflix/hystrix/util/HystrixRollingNumber.java")</f>
        <v/>
      </c>
      <c r="D516" t="inlineStr">
        <is>
          <t>This Java package `com.netflix.hystrix.util` implements various utility classes and methods used throughout the Hystrix library. The main class is `HystrixCircuitBreaker`, which provides circuit breaker functionality for protecting against cascading failures. It uses an array of AtomicReferences to store the state of each circuit breaker instance.</t>
        </is>
      </c>
      <c r="E516" t="n">
        <v>0.0058</v>
      </c>
      <c r="F516" t="n">
        <v>0.1071</v>
      </c>
      <c r="G516" t="n">
        <v>0.1709</v>
      </c>
      <c r="H516" t="inlineStr">
        <is>
          <t>This Java package `com.netflix.hystrix.util` contains various utility classes and methods used in implementing Hystrix, a library for handling fault tolerance and performance optimization in distributed systems. The package includes classes for managing concurrent access to resources, implementing circular buffers, and providing logging facilities. The README file provides information about the purpose and structure of the</t>
        </is>
      </c>
      <c r="I516" t="n">
        <v>0.004</v>
      </c>
      <c r="J516" t="n">
        <v>0.09089999999999999</v>
      </c>
      <c r="K516" t="n">
        <v>0.1575</v>
      </c>
      <c r="L516" t="inlineStr">
        <is>
          <t>The code defines a class called `HystrixRequestVariableHolder` that implements the `java.lang.ThreadLocal` interface. It stores a reference to a variable of type `Object` per thread, which can be accessed using the `get()` method. Additionally, it provides methods for setting and resetting the value of the variable.
The class uses a lock object (`private</t>
        </is>
      </c>
      <c r="M516" t="n">
        <v>0.0042</v>
      </c>
      <c r="N516" t="n">
        <v>0.0645</v>
      </c>
      <c r="O516" t="n">
        <v>0.121</v>
      </c>
    </row>
    <row r="517">
      <c r="A517" t="inlineStr">
        <is>
          <t>hystrix</t>
        </is>
      </c>
      <c r="B517" t="inlineStr">
        <is>
          <t>hystrix-core/src/main/java/com/netflix/hystrix/exception/HystrixRuntimeException.java</t>
        </is>
      </c>
      <c r="C517">
        <f>HYPERLINK("https://github.com/Netflix/Hystrix/blob/master/hystrix-core/src/main/java/com/netflix/hystrix/exception/HystrixRuntimeException.java")</f>
        <v/>
      </c>
      <c r="D517" t="inlineStr">
        <is>
          <t>The provided code defines a `HystrixRuntimeException` class that inherits from `java.lang.RuntimeException`. It has several fields and methods, including a constructor, getters, setters, and a `getFallbackFailure()` method.
The constructor takes two arguments: a message string and a cause exception. The class also includes a number of static utility methods</t>
        </is>
      </c>
      <c r="E517" t="n">
        <v>0.0038</v>
      </c>
      <c r="F517" t="n">
        <v>0.0345</v>
      </c>
      <c r="G517" t="n">
        <v>0.0417</v>
      </c>
      <c r="H517" t="inlineStr">
        <is>
          <t>This code defines a custom exception called `HystrixRuntimeException` that is used within the context of the Netflix Hystrix library. The exception is designed to be thrown when a command execution fails and there is no fallback available. It inherits from the standard Java `RuntimeException` class and adds additional information about the failed command, such as its type and whether it was</t>
        </is>
      </c>
      <c r="I517" t="n">
        <v>0.0036</v>
      </c>
      <c r="J517" t="n">
        <v>0.058</v>
      </c>
      <c r="K517" t="n">
        <v>0.1128</v>
      </c>
      <c r="L517" t="inlineStr">
        <is>
          <t>The provided code defines a custom exception class called `HystrixRuntimeException` that is used to handle errors in a specific context. It inherits from the standard Java `RuntimeException` class and provides additional features such as support for multiple inheritance and the ability to define custom error messages. The class also includes a constructor method that allows developers to pass in custom error messages and stack traces. Over</t>
        </is>
      </c>
      <c r="M517" t="n">
        <v>0.0028</v>
      </c>
      <c r="N517" t="n">
        <v>0.027</v>
      </c>
      <c r="O517" t="n">
        <v>0.0725</v>
      </c>
    </row>
    <row r="518">
      <c r="A518" t="inlineStr">
        <is>
          <t>hystrix</t>
        </is>
      </c>
      <c r="B518" t="inlineStr">
        <is>
          <t>hystrix-core/src/main/java/com/netflix/hystrix/exception/package-info.java</t>
        </is>
      </c>
      <c r="C518">
        <f>HYPERLINK("https://github.com/Netflix/Hystrix/blob/master/hystrix-core/src/main/java/com/netflix/hystrix/exception/package-info.java")</f>
        <v/>
      </c>
      <c r="D518" t="inlineStr">
        <is>
          <t>This code defines custom exception classes for Hystrix, a library used for implementing circuit breakers and fallbacks in Java applications. The package `com.netflix.hystrix.exception` contains several exception classes that extend the base class `HystrixRuntimeException`. These exceptions are used to indicate different types of errors that can occur during execution of Hystrix commands.</t>
        </is>
      </c>
      <c r="E518" t="n">
        <v>0.0043</v>
      </c>
      <c r="F518" t="n">
        <v>0.0968</v>
      </c>
      <c r="G518" t="n">
        <v>0.1626</v>
      </c>
      <c r="H518" t="inlineStr">
        <is>
          <t>This code defines custom exceptions used in Hystrix, a library for implementing circuit breakers and fallback logic in Java applications. The package `com.netflix.hystrix.exception` contains classes that extend the `RuntimeException` class and provide additional information about the cause of the error. These exceptions are used throughout the Hystrix library to handle errors and exceptions in a</t>
        </is>
      </c>
      <c r="I518" t="n">
        <v>0.004</v>
      </c>
      <c r="J518" t="n">
        <v>0.1212</v>
      </c>
      <c r="K518" t="n">
        <v>0.1575</v>
      </c>
      <c r="L518" t="inlineStr">
        <is>
          <t>The provided code defines custom exception implementations for Hystrix, a library used for implementing circuit breakers and fallback mechanisms in Java applications. The package `com.netflix.hystrix.exception` provides classes that extend the standard `Exception` class and implement additional functionality related to Hystrix's error handling mechanism. The package includes two custom exceptions: `Hyst</t>
        </is>
      </c>
      <c r="M518" t="n">
        <v>0.0044</v>
      </c>
      <c r="N518" t="n">
        <v>0.0645</v>
      </c>
      <c r="O518" t="n">
        <v>0.123</v>
      </c>
    </row>
    <row r="519">
      <c r="A519" t="inlineStr">
        <is>
          <t>hystrix</t>
        </is>
      </c>
      <c r="B519" t="inlineStr">
        <is>
          <t>hystrix-core/src/main/java/com/netflix/hystrix/exception/ExceptionNotWrappedByHystrix.java</t>
        </is>
      </c>
      <c r="C519">
        <f>HYPERLINK("https://github.com/Netflix/Hystrix/blob/master/hystrix-core/src/main/java/com/netflix/hystrix/exception/ExceptionNotWrappedByHystrix.java")</f>
        <v/>
      </c>
      <c r="D519" t="inlineStr">
        <is>
          <t>This Java class defines an interface called `ExceptionNotWrappedByHystrix` that indicates that certain exceptions should not be wrapped by Hystrix when they occur. The purpose of this interface is to provide a way for developers to indicate which exceptions should not be wrapped so that Hystrix can handle them more efficiently.</t>
        </is>
      </c>
      <c r="E519" t="n">
        <v>0.0037</v>
      </c>
      <c r="F519" t="n">
        <v>0.0345</v>
      </c>
      <c r="G519" t="n">
        <v>0.041</v>
      </c>
      <c r="H519" t="inlineStr">
        <is>
          <t>This is a Java package called "com.netflix.hystrix.exception" that defines an exception interface called "ExceptionNotWrappedByHystrix". The purpose of this interface is to indicate that certain exceptions should not be wrapped by Hystrix when they occur during execution of Hystrix commands or other Hystrix-related operations.</t>
        </is>
      </c>
      <c r="I519" t="n">
        <v>0.0043</v>
      </c>
      <c r="J519" t="n">
        <v>0.0364</v>
      </c>
      <c r="K519" t="n">
        <v>0.0435</v>
      </c>
      <c r="L519" t="inlineStr">
        <is>
          <t>The provided code defines an interface named "ExceptionNotWrappedByHystrix" that is used by exception classes to indicate that they should not be wrapped in a HystrixRuntimeException when thrown by the Hystrix library. The interface provides no additional methods beyond those inherited from the Java Object class.</t>
        </is>
      </c>
      <c r="M519" t="n">
        <v>0</v>
      </c>
      <c r="N519" t="n">
        <v>0</v>
      </c>
      <c r="O519" t="n">
        <v>0.0427</v>
      </c>
    </row>
    <row r="520">
      <c r="A520" t="inlineStr">
        <is>
          <t>hystrix</t>
        </is>
      </c>
      <c r="B520" t="inlineStr">
        <is>
          <t>hystrix-core/src/main/java/com/netflix/hystrix/exception/HystrixBadRequestException.java</t>
        </is>
      </c>
      <c r="C520">
        <f>HYPERLINK("https://github.com/Netflix/Hystrix/blob/master/hystrix-core/src/main/java/com/netflix/hystrix/exception/HystrixBadRequestException.java")</f>
        <v/>
      </c>
      <c r="D520" t="inlineStr">
        <is>
          <t>The provided code defines an `IllegalArgumentException` class that extends `RuntimeException`. It is used to represent errors related to invalid input arguments or state, which do not cause command execution failures but instead prevent the command from executing properly.
The constructor takes no parameters and does not perform any additional logic beyond initializing the superclass.
The class has no methods defined,</t>
        </is>
      </c>
      <c r="E520" t="n">
        <v>0.003</v>
      </c>
      <c r="F520" t="n">
        <v>0.0588</v>
      </c>
      <c r="G520" t="n">
        <v>0.07580000000000001</v>
      </c>
      <c r="H520" t="inlineStr">
        <is>
          <t>The code defines a custom exception class called `ArgumentException` that extends from the base Java Exception class. It has a single constructor that takes no parameters and does not perform any additional initialization. The class also includes a static method called `of()` that creates a new instance of the exception based on a given message string. Additionally, it implements the `Serializable` interface to allow instances of the</t>
        </is>
      </c>
      <c r="I520" t="n">
        <v>0.0032</v>
      </c>
      <c r="J520" t="n">
        <v>0.0267</v>
      </c>
      <c r="K520" t="n">
        <v>0.07190000000000001</v>
      </c>
      <c r="L520" t="inlineStr">
        <is>
          <t>The provided code defines a custom exception class called `HystrixBadRequestException` that represents errors related to invalid input parameters or states. It extends the base `HystrixException` class and provides additional functionality to handle these types of errors specifically.</t>
        </is>
      </c>
      <c r="M520" t="n">
        <v>0.006</v>
      </c>
      <c r="N520" t="n">
        <v>0.0444</v>
      </c>
      <c r="O520" t="n">
        <v>0.0917</v>
      </c>
    </row>
    <row r="521">
      <c r="A521" t="inlineStr">
        <is>
          <t>hystrix</t>
        </is>
      </c>
      <c r="B521" t="inlineStr">
        <is>
          <t>hystrix-core/src/main/java/com/netflix/hystrix/exception/HystrixTimeoutException.java</t>
        </is>
      </c>
      <c r="C521">
        <f>HYPERLINK("https://github.com/Netflix/Hystrix/blob/master/hystrix-core/src/main/java/com/netflix/hystrix/exception/HystrixTimeoutException.java")</f>
        <v/>
      </c>
      <c r="D521" t="inlineStr">
        <is>
          <t>The provided code defines a custom exception class called `HystrixTimeoutException` that extends the built-in Java `RuntimeException`. It has no fields or constructors defined, but does define a single static factory method named `from()` that takes a `Throwable` argument and returns a new instance of `HystrixTimeoutException`.
The purpose of this exception class appears to</t>
        </is>
      </c>
      <c r="E521" t="n">
        <v>0.0035</v>
      </c>
      <c r="F521" t="n">
        <v>0.0323</v>
      </c>
      <c r="G521" t="n">
        <v>0.08</v>
      </c>
      <c r="H521" t="inlineStr">
        <is>
          <t>The code defines a custom exception class called `HystrixTimeoutException` that extends the `RuntimeException` class. It is used to indicate that the execution of a command has timed out, which means that the command did not complete within the allowed time limit set by the Hystrix framework.
The class has no fields or constructors, but it does have a static factory</t>
        </is>
      </c>
      <c r="I521" t="n">
        <v>0</v>
      </c>
      <c r="J521" t="n">
        <v>0</v>
      </c>
      <c r="K521" t="n">
        <v>0.0379</v>
      </c>
      <c r="L521" t="inlineStr">
        <is>
          <t>The provided code defines a custom exception class called `HystrixTimeoutException` that extends from `RuntimeException`. It is used within the Hystrix library to represent errors that occur when the execution of a command takes longer than the configured timeout.</t>
        </is>
      </c>
      <c r="M521" t="n">
        <v>0</v>
      </c>
      <c r="N521" t="n">
        <v>0</v>
      </c>
      <c r="O521" t="n">
        <v>0.0455</v>
      </c>
    </row>
    <row r="522">
      <c r="A522" t="inlineStr">
        <is>
          <t>hystrix</t>
        </is>
      </c>
      <c r="B522" t="inlineStr">
        <is>
          <t>hystrix-core/src/test/java/com/netflix/hystrix/HystrixCommandMetricsTest.java</t>
        </is>
      </c>
      <c r="C522">
        <f>HYPERLINK("https://github.com/Netflix/Hystrix/blob/master/hystrix-core/src/test/java/com/netflix/hystrix/HystrixCommandMetricsTest.java")</f>
        <v/>
      </c>
      <c r="D522" t="inlineStr">
        <is>
          <t>This Java code defines a class called `HystrixCommand` that extends the `Observable` interface from the RX library. It also imports several other classes from the Hystrix framework and the JUnit testing framework. The code appears to be related to implementing a command pattern using RX Observables.
The `HystrixCommand` class has several methods, including a constructor</t>
        </is>
      </c>
      <c r="E522" t="n">
        <v>0.004</v>
      </c>
      <c r="F522" t="n">
        <v>0.0635</v>
      </c>
      <c r="G522" t="n">
        <v>0.1575</v>
      </c>
      <c r="H522" t="inlineStr">
        <is>
          <t>This code appears to be a Java library for implementing Hystrix, which is a circuit breaker pattern designed to prevent cascading failures in complex systems. The library provides a set of classes and interfaces that can be used to implement Hystrix functionality in other applications.
The README file describes the purpose of the repository as containing "backend software components," and notes that</t>
        </is>
      </c>
      <c r="I522" t="n">
        <v>0.0042</v>
      </c>
      <c r="J522" t="n">
        <v>0.1143</v>
      </c>
      <c r="K522" t="n">
        <v>0.1866</v>
      </c>
      <c r="L522" t="inlineStr">
        <is>
          <t>The provided code defines a class named `HystrixCommand` that extends the `Observable` interface. It provides methods for executing commands asynchronously and managing their lifecycle. The class also includes a number of utility methods for working with observables.
The `execute()` method is used to execute the command synchronously and return the result. If the command fails, it throws</t>
        </is>
      </c>
      <c r="M522" t="n">
        <v>0.0032</v>
      </c>
      <c r="N522" t="n">
        <v>0.0308</v>
      </c>
      <c r="O522" t="n">
        <v>0.0775</v>
      </c>
    </row>
    <row r="523">
      <c r="A523" t="inlineStr">
        <is>
          <t>hystrix</t>
        </is>
      </c>
      <c r="B523" t="inlineStr">
        <is>
          <t>hystrix-core/src/test/java/com/netflix/hystrix/TestHystrixObservableCommand.java</t>
        </is>
      </c>
      <c r="C523">
        <f>HYPERLINK("https://github.com/Netflix/Hystrix/blob/master/hystrix-core/src/test/java/com/netflix/hystrix/TestHystrixObservableCommand.java")</f>
        <v/>
      </c>
      <c r="D523" t="inlineStr">
        <is>
          <t>The `TestHystrixObservableCommand` class is a custom implementation of the `HystrixObservableCommand` class from the `com.netflix.hystrix` package. It provides a way to test the behavior of commands that return observable values using the `rxjava` library.
The class takes a `TestCommandBuilder` object as input during construction, which</t>
        </is>
      </c>
      <c r="E523" t="n">
        <v>0</v>
      </c>
      <c r="F523" t="n">
        <v>0.037</v>
      </c>
      <c r="G523" t="n">
        <v>0.0862</v>
      </c>
      <c r="H523" t="inlineStr">
        <is>
          <t>This code defines a custom implementation of the `HystrixObservableCommand` class from the `com.netflix.hystrix` package. The command takes a `TestCommandBuilder` object as input in its constructor, which allows it to configure various properties such as the owner, dependency key, thread pool key, circuit breaker, and thread pool. It also provides an abstract</t>
        </is>
      </c>
      <c r="I523" t="n">
        <v>0.0043</v>
      </c>
      <c r="J523" t="n">
        <v>0.0984</v>
      </c>
      <c r="K523" t="n">
        <v>0.122</v>
      </c>
      <c r="L523" t="inlineStr">
        <is>
          <t>The provided code defines a custom implementation of the `HystrixObservableCommand` class from the `com.netflix.hystrix` package. It provides a test command that can be used to simulate various scenarios involving the usage of the Hystrix library. The command takes a `TestCommandBuilder` object as input and uses its properties to configure the command's behavior.</t>
        </is>
      </c>
      <c r="M523" t="n">
        <v>0.0035</v>
      </c>
      <c r="N523" t="n">
        <v>0.0635</v>
      </c>
      <c r="O523" t="n">
        <v>0.121</v>
      </c>
    </row>
    <row r="524">
      <c r="A524" t="inlineStr">
        <is>
          <t>hystrix</t>
        </is>
      </c>
      <c r="B524" t="inlineStr">
        <is>
          <t>hystrix-core/src/test/java/com/netflix/hystrix/TestableExecutionHook.java</t>
        </is>
      </c>
      <c r="C524">
        <f>HYPERLINK("https://github.com/Netflix/Hystrix/blob/master/hystrix-core/src/test/java/com/netflix/hystrix/TestableExecutionHook.java")</f>
        <v/>
      </c>
      <c r="D524" t="inlineStr">
        <is>
          <t>This Java class `TestableExecutionHook` extends the `HystrixCommandExecutionHook` class from the Hystrix library. It provides a way to execute commands and observe their execution behavior. The class has several methods that can be overridden to customize the hook's behavior, such as `onRunStart`, `onThreadStart`, and `onThreadComplete`.</t>
        </is>
      </c>
      <c r="E524" t="n">
        <v>0.005</v>
      </c>
      <c r="F524" t="n">
        <v>0.0755</v>
      </c>
      <c r="G524" t="n">
        <v>0.0862</v>
      </c>
      <c r="H524" t="inlineStr">
        <is>
          <t>This code defines a class called `TestableExecutionHook` that extends the `HystrixCommandExecutionHook` class from the Hystrix library. It overrides some methods of the parent class to provide additional functionality. The main method it overrides is `onComplete`, which is called when a command execution completes successfully. In this implementation, it does nothing but returns without</t>
        </is>
      </c>
      <c r="I524" t="n">
        <v>0.0035</v>
      </c>
      <c r="J524" t="n">
        <v>0.06560000000000001</v>
      </c>
      <c r="K524" t="n">
        <v>0.04</v>
      </c>
      <c r="L524" t="inlineStr">
        <is>
          <t>The provided code defines a custom implementation of the HystrixCommandExecutionHook class from the Hystrix library. It overrides several methods to provide additional logging and monitoring capabilities for Hystrix commands. Specifically, it logs the execution of each command using the log method, increments a counter when a command fails, and emits notifications when a command completes successfully or fails. The</t>
        </is>
      </c>
      <c r="M524" t="n">
        <v>0.0031</v>
      </c>
      <c r="N524" t="n">
        <v>0.0597</v>
      </c>
      <c r="O524" t="n">
        <v>0.1145</v>
      </c>
    </row>
    <row r="525">
      <c r="A525" t="inlineStr">
        <is>
          <t>hystrix</t>
        </is>
      </c>
      <c r="B525" t="inlineStr">
        <is>
          <t>hystrix-core/src/test/java/com/netflix/hystrix/TestHystrixCommand.java</t>
        </is>
      </c>
      <c r="C525">
        <f>HYPERLINK("https://github.com/Netflix/Hystrix/blob/master/hystrix-core/src/test/java/com/netflix/hystrix/TestHystrixCommand.java")</f>
        <v/>
      </c>
      <c r="D525" t="inlineStr">
        <is>
          <t>The `TestHystrixCommand` class is a subclass of `HystrixCommand`, which is a command that can be executed within a circuit breaker pattern. It provides a way to test the behavior of the circuit breaker pattern using a simple API.
The constructor takes a `TestCommandBuilder` object as input, which specifies the parameters for the command execution, such</t>
        </is>
      </c>
      <c r="E525" t="n">
        <v>0</v>
      </c>
      <c r="F525" t="n">
        <v>0</v>
      </c>
      <c r="G525" t="n">
        <v>0.0394</v>
      </c>
      <c r="H525" t="inlineStr">
        <is>
          <t>This is a Java class that represents a command object used in the Hystrix library. It is an abstract class that provides a base implementation for executing commands with fallback logic. The class takes a `TestCommandBuilder` as input in its constructor, which allows it to configure various properties such as the owner, dependency key, thread pool key, and execution hook.
The `execute</t>
        </is>
      </c>
      <c r="I525" t="n">
        <v>0.0039</v>
      </c>
      <c r="J525" t="n">
        <v>0.0857</v>
      </c>
      <c r="K525" t="n">
        <v>0.1866</v>
      </c>
      <c r="L525" t="inlineStr">
        <is>
          <t>The provided code defines a `TestHystrixCommand` class that extends the `HystrixCommand` class from the `com.netflix.hystrix` package. It provides a test implementation of a command that can be used to simulate the execution of a hystrix command. The class takes a `TestCommandBuilder` object as input during construction and uses it to</t>
        </is>
      </c>
      <c r="M525" t="n">
        <v>0.0037</v>
      </c>
      <c r="N525" t="n">
        <v>0.0667</v>
      </c>
      <c r="O525" t="n">
        <v>0.123</v>
      </c>
    </row>
    <row r="526">
      <c r="A526" t="inlineStr">
        <is>
          <t>hystrix</t>
        </is>
      </c>
      <c r="B526" t="inlineStr">
        <is>
          <t>hystrix-core/src/test/java/com/netflix/hystrix/HystrixCollapserTest.java</t>
        </is>
      </c>
      <c r="C526">
        <f>HYPERLINK("https://github.com/Netflix/Hystrix/blob/master/hystrix-core/src/test/java/com/netflix/hystrix/HystrixCollapserTest.java")</f>
        <v/>
      </c>
      <c r="D526" t="inlineStr">
        <is>
          <t>The code appears to be a Java implementation of a Hystrix request context rule, which provides a way to manage requests within a thread pool. It defines several classes and interfaces related to managing requests, including `HystrixRequestContext`, `HystrixCommand`, and `HystrixThreadPool`. The main class, `HystrixRequestContextRule`, extends JUnit's</t>
        </is>
      </c>
      <c r="E526" t="n">
        <v>0.004</v>
      </c>
      <c r="F526" t="n">
        <v>0.0727</v>
      </c>
      <c r="G526" t="n">
        <v>0.0847</v>
      </c>
      <c r="H526" t="inlineStr">
        <is>
          <t>This code appears to be part of a Java project that implements various backend services using the Hystrix library. The code is well-documented and includes comments throughout the codebase.
The main class, `com.netflix.hystrix.HystrixCommand`, provides a way to execute commands asynchronously and handle failures gracefully. It also provides support</t>
        </is>
      </c>
      <c r="I526" t="n">
        <v>0.005</v>
      </c>
      <c r="J526" t="n">
        <v>0.1</v>
      </c>
      <c r="K526" t="n">
        <v>0.1667</v>
      </c>
      <c r="L526" t="inlineStr">
        <is>
          <t>The provided code defines a class named `HystrixCommand` that represents a command object used for executing asynchronous tasks within a Hystrix circuit breaker pattern. It implements the `run()` method that executes the task asynchronously using a thread pool, and provides methods for cancelling and retrieving results. The class also includes several static utility methods for managing instances of `H</t>
        </is>
      </c>
      <c r="M526" t="n">
        <v>0.0037</v>
      </c>
      <c r="N526" t="n">
        <v>0.0597</v>
      </c>
      <c r="O526" t="n">
        <v>0.1145</v>
      </c>
    </row>
    <row r="527">
      <c r="A527" t="inlineStr">
        <is>
          <t>hystrix</t>
        </is>
      </c>
      <c r="B527" t="inlineStr">
        <is>
          <t>hystrix-core/src/test/java/com/netflix/hystrix/HystrixThreadPoolPropertiesTest.java</t>
        </is>
      </c>
      <c r="C527">
        <f>HYPERLINK("https://github.com/Netflix/Hystrix/blob/master/hystrix-core/src/test/java/com/netflix/hystrix/HystrixThreadPoolPropertiesTest.java")</f>
        <v/>
      </c>
      <c r="D527" t="inlineStr">
        <is>
          <t>The code defines a JUnit test suite for testing the `HystrixThreadPoolProperties` class from the `com.netflix.hystrix` package. It sets up some base properties for unit testing using the `g` variable, which is defined as a `HystrixThreadPoolProperties.Setter`. The test cases then modify these properties and assert that they have the expected values</t>
        </is>
      </c>
      <c r="E527" t="n">
        <v>0.0037</v>
      </c>
      <c r="F527" t="n">
        <v>0.0328</v>
      </c>
      <c r="G527" t="n">
        <v>0.082</v>
      </c>
      <c r="H527" t="inlineStr">
        <is>
          <t>The code defines a JUnit test suite for testing the behavior of the `HystrixThreadPoolProperties` class from the `com.netflix.hystrix` package. It imports several classes from the same package, including `HystrixProperty`, which is used to set up default values for thread pool properties.
The test suite consists of one method, `testGet</t>
        </is>
      </c>
      <c r="I527" t="n">
        <v>0</v>
      </c>
      <c r="J527" t="n">
        <v>0</v>
      </c>
      <c r="K527" t="n">
        <v>0.0413</v>
      </c>
      <c r="L527" t="inlineStr">
        <is>
          <t>The provided code defines a JUnit test suite for the `HystrixThreadPoolProperties` class, which provides a set of methods for configuring thread pool properties used by the Hystrix library. The test cases cover various scenarios related to setting and retrieving property values, as well as verifying that the configured values are correctly applied when creating a new thread pool instance.
The test</t>
        </is>
      </c>
      <c r="M527" t="n">
        <v>0.003</v>
      </c>
      <c r="N527" t="n">
        <v>0.029</v>
      </c>
      <c r="O527" t="n">
        <v>0.0752</v>
      </c>
    </row>
    <row r="528">
      <c r="A528" t="inlineStr">
        <is>
          <t>hystrix</t>
        </is>
      </c>
      <c r="B528" t="inlineStr">
        <is>
          <t>hystrix-core/src/test/java/com/netflix/hystrix/HystrixSubclassCommandTest.java</t>
        </is>
      </c>
      <c r="C528">
        <f>HYPERLINK("https://github.com/Netflix/Hystrix/blob/master/hystrix-core/src/test/java/com/netflix/hystrix/HystrixSubclassCommandTest.java")</f>
        <v/>
      </c>
      <c r="D528" t="inlineStr">
        <is>
          <t>This Java code defines a test suite for a custom implementation of the `HystrixCommand` class from the `com.netflix.hystrix` package. The test suite uses JUnit to execute tests against the `HystrixSubclassCommand` class, which extends the `HystrixCommand` class and provides additional functionality.
The test suite includes two tests</t>
        </is>
      </c>
      <c r="E528" t="n">
        <v>0.0048</v>
      </c>
      <c r="F528" t="n">
        <v>0.1071</v>
      </c>
      <c r="G528" t="n">
        <v>0.1695</v>
      </c>
      <c r="H528" t="inlineStr">
        <is>
          <t>The provided code defines a Java class named `HystrixSubclassCommandTest` that extends the `HystrixCommand` class from the `com.netflix.hystrix` package. It has several methods, including a constructor, a getter method for the command key, and a test method that uses JUnit to verify the behavior of the subclassed command.</t>
        </is>
      </c>
      <c r="I528" t="n">
        <v>0.0039</v>
      </c>
      <c r="J528" t="n">
        <v>0.0351</v>
      </c>
      <c r="K528" t="n">
        <v>0.08400000000000001</v>
      </c>
      <c r="L528" t="inlineStr">
        <is>
          <t>The code defines a test case for a subclass of `HystrixCommand` named `HystrixSubclassCommand`. It imports necessary classes from the `com.netflix.hystrix` package and sets up a JUnit rule using `HystrixRequestContextRule`. The test method creates a list of objects that extend `HystrixCommand`, adds them to a</t>
        </is>
      </c>
      <c r="M528" t="n">
        <v>0.0042</v>
      </c>
      <c r="N528" t="n">
        <v>0.037</v>
      </c>
      <c r="O528" t="n">
        <v>0.0862</v>
      </c>
    </row>
    <row r="529">
      <c r="A529" t="inlineStr">
        <is>
          <t>hystrix</t>
        </is>
      </c>
      <c r="B529" t="inlineStr">
        <is>
          <t>hystrix-core/src/test/java/com/netflix/hystrix/HystrixCommandTestWithCustomConcurrencyStrategy.java</t>
        </is>
      </c>
      <c r="C529">
        <f>HYPERLINK("https://github.com/Netflix/Hystrix/blob/master/hystrix-core/src/test/java/com/netflix/hystrix/HystrixCommandTestWithCustomConcurrencyStrategy.java")</f>
        <v/>
      </c>
      <c r="D529" t="inlineStr">
        <is>
          <t>This code appears to be part of a Java project that implements various Hystrix-related classes and interfaces. The main class, `com.netflix.hystrix.Hystrix`, provides a basic implementation of the Hystrix framework's request context management system. It includes several other classes related to concurrency strategies, request variables, and other aspects of Hyst</t>
        </is>
      </c>
      <c r="E529" t="n">
        <v>0.0049</v>
      </c>
      <c r="F529" t="n">
        <v>0.0968</v>
      </c>
      <c r="G529" t="n">
        <v>0.1653</v>
      </c>
      <c r="H529" t="inlineStr">
        <is>
          <t>This code defines a Java package called `com.netflix.hystrix`, which appears to be related to the Hystrix library. The package includes several classes that implement various features of the Hystrix framework, such as request variable management and concurrency strategies.
The README file provides some basic information about the project, including its purpose and the complexity of</t>
        </is>
      </c>
      <c r="I529" t="n">
        <v>0.004</v>
      </c>
      <c r="J529" t="n">
        <v>0.09229999999999999</v>
      </c>
      <c r="K529" t="n">
        <v>0.1181</v>
      </c>
      <c r="L529" t="inlineStr">
        <is>
          <t>The provided code defines a Hystrix request variable that stores a reference to the current Hystrix request context. It also provides methods for retrieving and setting the request context. The class implements the `HystrixRequestVariable` interface, which allows it to be used as a thread-local storage mechanism for Hystrix requests. The class is part of the Hystrix library,</t>
        </is>
      </c>
      <c r="M529" t="n">
        <v>0.0038</v>
      </c>
      <c r="N529" t="n">
        <v>0.0303</v>
      </c>
      <c r="O529" t="n">
        <v>0.1163</v>
      </c>
    </row>
    <row r="530">
      <c r="A530" t="inlineStr">
        <is>
          <t>hystrix</t>
        </is>
      </c>
      <c r="B530" t="inlineStr">
        <is>
          <t>hystrix-core/src/test/java/com/netflix/hystrix/AbstractTestHystrixCommand.java</t>
        </is>
      </c>
      <c r="C530">
        <f>HYPERLINK("https://github.com/Netflix/Hystrix/blob/master/hystrix-core/src/test/java/com/netflix/hystrix/AbstractTestHystrixCommand.java")</f>
        <v/>
      </c>
      <c r="D530" t="inlineStr">
        <is>
          <t>This code defines an abstract class called `AbstractTestHystrixCommand` that implements both `HystrixObservable` and `InspectableBuilder`. It also includes an inner enum called `ExecutionResult` that defines different types of execution results. The class has no methods, but it does contain some comments and documentation.</t>
        </is>
      </c>
      <c r="E530" t="n">
        <v>0.0058</v>
      </c>
      <c r="F530" t="n">
        <v>0.12</v>
      </c>
      <c r="G530" t="n">
        <v>0.1316</v>
      </c>
      <c r="H530" t="inlineStr">
        <is>
          <t>This code defines an abstract class called `AbstractTestHystrixCommand` that implements the `HystrixObservable` interface. The class has several methods, including a constructor, getters, setters, and a method called `execute()` that returns an object of type `ExecutionResult`.
The class also includes an inner enum called `ExecutionResult` that represents different types of execution</t>
        </is>
      </c>
      <c r="I530" t="n">
        <v>0.0048</v>
      </c>
      <c r="J530" t="n">
        <v>0.1034</v>
      </c>
      <c r="K530" t="n">
        <v>0.123</v>
      </c>
      <c r="L530" t="inlineStr">
        <is>
          <t>The provided code defines an abstract class called `AbstractTestHystrixCommand` that implements the `HystrixObservable` interface. It also includes an inner enum called `ExecutionResult`. The class appears to be related to the Hystrix library, which provides fault tolerance and concurrency controls for distributed systems.</t>
        </is>
      </c>
      <c r="M530" t="n">
        <v>0.0052</v>
      </c>
      <c r="N530" t="n">
        <v>0.08</v>
      </c>
      <c r="O530" t="n">
        <v>0.0877</v>
      </c>
    </row>
    <row r="531">
      <c r="A531" t="inlineStr">
        <is>
          <t>hystrix</t>
        </is>
      </c>
      <c r="B531" t="inlineStr">
        <is>
          <t>hystrix-core/src/test/java/com/netflix/hystrix/HystrixObservableCommandTest.java</t>
        </is>
      </c>
      <c r="C531">
        <f>HYPERLINK("https://github.com/Netflix/Hystrix/blob/master/hystrix-core/src/test/java/com/netflix/hystrix/HystrixObservableCommandTest.java")</f>
        <v/>
      </c>
      <c r="D531" t="inlineStr">
        <is>
          <t>This code appears to be part of a Java project that implements various Hystrix commands and related classes. The `com.netflix.hystrix` package contains several classes that define different types of Hystrix commands, including `HystrixCommand`, `HystrixObservableCommand`, and `HystrixFallbackCommand`. These classes provide methods for executing commands,</t>
        </is>
      </c>
      <c r="E531" t="n">
        <v>0.0056</v>
      </c>
      <c r="F531" t="n">
        <v>0.1132</v>
      </c>
      <c r="G531" t="n">
        <v>0.1739</v>
      </c>
      <c r="H531" t="inlineStr">
        <is>
          <t>This code appears to be part of a Java project that implements various Hystrix commands. The code defines several classes related to Hystrix, including `HystrixCommand`, `HystrixObservableCommand`, and `HystrixThreadPool`. These classes provide the basic building blocks for implementing Hystrix commands.
The code also includes a number of utility methods for working with H</t>
        </is>
      </c>
      <c r="I531" t="n">
        <v>0.0046</v>
      </c>
      <c r="J531" t="n">
        <v>0.1</v>
      </c>
      <c r="K531" t="n">
        <v>0.1613</v>
      </c>
      <c r="L531" t="inlineStr">
        <is>
          <t>The code defines a class named HystrixCommand that provides a base implementation for executing commands in a circuit breaker pattern. It has several properties and methods that allow users to configure the command's behavior, such as setting the execution isolation strategy, configuring fallback values, and enabling circuit breaking. Additionally, it includes support for semaphores and thread-isolation strateg</t>
        </is>
      </c>
      <c r="M531" t="n">
        <v>0.0032</v>
      </c>
      <c r="N531" t="n">
        <v>0.0597</v>
      </c>
      <c r="O531" t="n">
        <v>0.0775</v>
      </c>
    </row>
    <row r="532">
      <c r="A532" t="inlineStr">
        <is>
          <t>hystrix</t>
        </is>
      </c>
      <c r="B532" t="inlineStr">
        <is>
          <t>hystrix-core/src/test/java/com/netflix/hystrix/HystrixTest.java</t>
        </is>
      </c>
      <c r="C532">
        <f>HYPERLINK("https://github.com/Netflix/Hystrix/blob/master/hystrix-core/src/test/java/com/netflix/hystrix/HystrixTest.java")</f>
        <v/>
      </c>
      <c r="D532" t="inlineStr">
        <is>
          <t>This Java code appears to be part of a unit test class that tests the behavior of a Hystrix command object. The test method creates several instances of `HystrixCommand` objects using different configurations, executes them concurrently, and verifies their execution results.
The code defines a few utility methods, including one called `createCommand()` which creates a new instance of `H</t>
        </is>
      </c>
      <c r="E532" t="n">
        <v>0.0037</v>
      </c>
      <c r="F532" t="n">
        <v>0.0597</v>
      </c>
      <c r="G532" t="n">
        <v>0.1145</v>
      </c>
      <c r="H532" t="inlineStr">
        <is>
          <t>The code in this repository appears to be Java code that implements various algorithms related to backend systems. It includes a class called `HystrixCommand` which has methods for setting up command execution and retrieving results. There are also several other classes and interfaces defined in the package, including `HystrixCommandGroupKey`, `HystrixThreadPoolKey`, and `HystrixRequestLog</t>
        </is>
      </c>
      <c r="I532" t="n">
        <v>0.0042</v>
      </c>
      <c r="J532" t="n">
        <v>0.1</v>
      </c>
      <c r="K532" t="n">
        <v>0.121</v>
      </c>
      <c r="L532" t="inlineStr">
        <is>
          <t>The code defines a class called `HystrixCommand` that extends the `AbstractCommand` class from the RxJava library. It provides methods for creating and executing commands asynchronously using Hystrix's circuit breaker pattern. The class also includes a number of utility methods for working with observables and scheduling tasks.
The class has several constructors, including one</t>
        </is>
      </c>
      <c r="M532" t="n">
        <v>0.0035</v>
      </c>
      <c r="N532" t="n">
        <v>0.0323</v>
      </c>
      <c r="O532" t="n">
        <v>0.08</v>
      </c>
    </row>
    <row r="533">
      <c r="A533" t="inlineStr">
        <is>
          <t>hystrix</t>
        </is>
      </c>
      <c r="B533" t="inlineStr">
        <is>
          <t>hystrix-core/src/test/java/com/netflix/hystrix/HystrixCommandTimeoutConcurrencyTesting.java</t>
        </is>
      </c>
      <c r="C533">
        <f>HYPERLINK("https://github.com/Netflix/Hystrix/blob/master/hystrix-core/src/test/java/com/netflix/hystrix/HystrixCommandTimeoutConcurrencyTesting.java")</f>
        <v/>
      </c>
      <c r="D533" t="inlineStr">
        <is>
          <t>The code defines a JUnit test method named `testTimeoutRace` that tests the behavior of multiple concurrent commands using Hystrix's timeout mechanism. It creates a list of `NUM_CONCURRENT_COMMANDS` commands and executes them concurrently. Each command has a random delay between 0 and 5 seconds before returning its result. If any command takes longer</t>
        </is>
      </c>
      <c r="E533" t="n">
        <v>0.0035</v>
      </c>
      <c r="F533" t="n">
        <v>0.0317</v>
      </c>
      <c r="G533" t="n">
        <v>0.0806</v>
      </c>
      <c r="H533" t="inlineStr">
        <is>
          <t>This Java package `com.netflix.hystrix` contains a unit test class called `HystrixCommandTimeoutConcurrencyTesting`. The test method `testTimeoutRace()` simulates concurrent execution of multiple commands that timeout after a certain period of time. The test uses JUnit annotations to indicate that it should be run as a unit test.
The test</t>
        </is>
      </c>
      <c r="I533" t="n">
        <v>0.0039</v>
      </c>
      <c r="J533" t="n">
        <v>0.0351</v>
      </c>
      <c r="K533" t="n">
        <v>0.08400000000000001</v>
      </c>
      <c r="L533" t="inlineStr">
        <is>
          <t>The provided code implements a JUnit test that tests the timeout handling of Hystrix commands in concurrent execution scenarios. It creates a list of `NUM_CONCURRENT_COMMANDS` commands, each with a random delay between 0 and 1 second, and then executes them all simultaneously using RxJava's `flatMap()` operator. The test verifies that no</t>
        </is>
      </c>
      <c r="M533" t="n">
        <v>0.0043</v>
      </c>
      <c r="N533" t="n">
        <v>0.0645</v>
      </c>
      <c r="O533" t="n">
        <v>0.122</v>
      </c>
    </row>
    <row r="534">
      <c r="A534" t="inlineStr">
        <is>
          <t>hystrix</t>
        </is>
      </c>
      <c r="B534" t="inlineStr">
        <is>
          <t>hystrix-core/src/test/java/com/netflix/hystrix/NotWrappedByHystrixTestRuntimeException.java</t>
        </is>
      </c>
      <c r="C534">
        <f>HYPERLINK("https://github.com/Netflix/Hystrix/blob/master/hystrix-core/src/test/java/com/netflix/hystrix/NotWrappedByHystrixTestRuntimeException.java")</f>
        <v/>
      </c>
      <c r="D534" t="inlineStr">
        <is>
          <t>This is a Java class that represents a runtime exception called "NotWrappedByHystrixTestRuntimeException". It has one constructor that takes no arguments and simply calls the parent constructor with a string message indicating that this is a raw exception for testing purposes. The class also implements the interface "ExceptionNotWrappedByHystrix", which is used to indicate that this exception should</t>
        </is>
      </c>
      <c r="E534" t="n">
        <v>0.0043</v>
      </c>
      <c r="F534" t="n">
        <v>0.0625</v>
      </c>
      <c r="G534" t="n">
        <v>0.1563</v>
      </c>
      <c r="H534" t="inlineStr">
        <is>
          <t>This is a Java file that defines a custom runtime exception called "NotWrappedByHystrixTestRuntimeException". The exception is defined in the "com.netflix.hystrix" package and imports the "com.netflix.hystrix.exception.ExceptionNotWrappedByHystrix" interface. The constructor takes no arguments and sets the</t>
        </is>
      </c>
      <c r="I534" t="n">
        <v>0.0065</v>
      </c>
      <c r="J534" t="n">
        <v>0.0833</v>
      </c>
      <c r="K534" t="n">
        <v>0.09429999999999999</v>
      </c>
      <c r="L534" t="inlineStr">
        <is>
          <t>The provided Java code defines a custom runtime exception called "NotWrappedByHystrixTestRuntimeException" that is used to test the Hystrix command framework. It inherits from the "RuntimeException" class and implements the "ExceptionNotWrappedByHystrix" interface. The constructor takes no arguments and sets the message to "Raw exception for TestHystrix</t>
        </is>
      </c>
      <c r="M534" t="n">
        <v>0.0049</v>
      </c>
      <c r="N534" t="n">
        <v>0.0755</v>
      </c>
      <c r="O534" t="n">
        <v>0.1282</v>
      </c>
    </row>
    <row r="535">
      <c r="A535" t="inlineStr">
        <is>
          <t>hystrix</t>
        </is>
      </c>
      <c r="B535" t="inlineStr">
        <is>
          <t>hystrix-core/src/test/java/com/netflix/hystrix/NotWrappedByHystrixTestException.java</t>
        </is>
      </c>
      <c r="C535">
        <f>HYPERLINK("https://github.com/Netflix/Hystrix/blob/master/hystrix-core/src/test/java/com/netflix/hystrix/NotWrappedByHystrixTestException.java")</f>
        <v/>
      </c>
      <c r="D535" t="inlineStr">
        <is>
          <t>The code defines a custom exception called `NotWrappedByHystrixTestException`, which is a subclass of `Exception`. It has a single field named `serialVersionUID` with a value of `1L`. This exception does not implement any additional methods or fields beyond those inherited from its parent class. Its purpose is likely to be used as a marker interface for exceptions that should</t>
        </is>
      </c>
      <c r="E535" t="n">
        <v>0.0031</v>
      </c>
      <c r="F535" t="n">
        <v>0.0606</v>
      </c>
      <c r="G535" t="n">
        <v>0.1154</v>
      </c>
      <c r="H535" t="inlineStr">
        <is>
          <t>This Java code defines a custom exception class called `NotWrappedByHystrixTestException` that is used to signal when an exception thrown by the Hystrix library has not been wrapped in a `HystrixRuntimeException`. The class inherits from the standard `Exception` class and implements the `ExceptionNotWrappedByHystrix` interface. It also includes</t>
        </is>
      </c>
      <c r="I535" t="n">
        <v>0.0053</v>
      </c>
      <c r="J535" t="n">
        <v>0.0741</v>
      </c>
      <c r="K535" t="n">
        <v>0.1695</v>
      </c>
      <c r="L535" t="inlineStr">
        <is>
          <t>The provided code defines a custom exception class called `NotWrappedByHystrixTestException` that inherits from the standard Java `Exception` class. It also implements the interface `com.netflix.hystrix.exception.ExceptionNotWrappedByHystrix`. The class is used for testing purposes only and is not intended for use in production environments.</t>
        </is>
      </c>
      <c r="M535" t="n">
        <v>0.0054</v>
      </c>
      <c r="N535" t="n">
        <v>0.0755</v>
      </c>
      <c r="O535" t="n">
        <v>0.1327</v>
      </c>
    </row>
    <row r="536">
      <c r="A536" t="inlineStr">
        <is>
          <t>hystrix</t>
        </is>
      </c>
      <c r="B536" t="inlineStr">
        <is>
          <t>hystrix-core/src/test/java/com/netflix/hystrix/InspectableBuilder.java</t>
        </is>
      </c>
      <c r="C536">
        <f>HYPERLINK("https://github.com/Netflix/Hystrix/blob/master/hystrix-core/src/test/java/com/netflix/hystrix/InspectableBuilder.java")</f>
        <v/>
      </c>
      <c r="D536" t="inlineStr">
        <is>
          <t>The provided code defines an `InspectableBuilder` interface that provides a way to build instances of `HystrixCommand`. It also includes two inner classes, `CommandKeyForUnitTest` and `CommandGroupForUnitTest`, which implement the `HystrixCommandKey` and `HystrixCommandGroupKey` interfaces, respectively. These classes provide predefined keys for testing</t>
        </is>
      </c>
      <c r="E536" t="n">
        <v>0.0046</v>
      </c>
      <c r="F536" t="n">
        <v>0.0833</v>
      </c>
      <c r="G536" t="n">
        <v>0.0893</v>
      </c>
      <c r="H536" t="inlineStr">
        <is>
          <t>The provided code defines a Java interface named `InspectableBuilder` that provides methods for building instances of classes that implement the `HystrixCommand` interface. The interface has three methods:
* `getBuilder()`: Returns an instance of a builder class that can be used to build instances of `HystrixCommand`.
* `CommandKeyForUnitTest`: An enumer</t>
        </is>
      </c>
      <c r="I536" t="n">
        <v>0</v>
      </c>
      <c r="J536" t="n">
        <v>0.0364</v>
      </c>
      <c r="K536" t="n">
        <v>0.08260000000000001</v>
      </c>
      <c r="L536" t="inlineStr">
        <is>
          <t>The provided code defines an `InspectableBuilder` class that provides a builder pattern for creating instances of `HystrixCommand`. It also includes several nested classes that define keys and groups used for testing purposes.</t>
        </is>
      </c>
      <c r="M536" t="n">
        <v>0.0058</v>
      </c>
      <c r="N536" t="n">
        <v>0.05</v>
      </c>
      <c r="O536" t="n">
        <v>0.09619999999999999</v>
      </c>
    </row>
    <row r="537">
      <c r="A537" t="inlineStr">
        <is>
          <t>hystrix</t>
        </is>
      </c>
      <c r="B537" t="inlineStr">
        <is>
          <t>hystrix-core/src/test/java/com/netflix/hystrix/CommonHystrixCommandTests.java</t>
        </is>
      </c>
      <c r="C537">
        <f>HYPERLINK("https://github.com/Netflix/Hystrix/blob/master/hystrix-core/src/test/java/com/netflix/hystrix/CommonHystrixCommandTests.java")</f>
        <v/>
      </c>
      <c r="D537" t="inlineStr">
        <is>
          <t>This Java code appears to be part of a larger project that involves implementing various algorithms related to computer science concepts such as data structures, algorithms, and system design. The code is well-documented and includes comments throughout the implementation to explain its purpose and how it works. It also includes a README file that provides information about the overall project and its goals.
The code defines several</t>
        </is>
      </c>
      <c r="E537" t="n">
        <v>0.0032</v>
      </c>
      <c r="F537" t="n">
        <v>0.0789</v>
      </c>
      <c r="G537" t="n">
        <v>0.1439</v>
      </c>
      <c r="H537" t="inlineStr">
        <is>
          <t>This code appears to be part of a Java project that implements various backend software components. The README file provides a brief overview of the purpose of the repository and its contents. The complexity of the code is estimated as O(N), where N represents the number of components implemented. The comments provide information about the implementation of core algorithms, and the commits list the initial codebase commit.</t>
        </is>
      </c>
      <c r="I537" t="n">
        <v>0.0041</v>
      </c>
      <c r="J537" t="n">
        <v>0.1316</v>
      </c>
      <c r="K537" t="n">
        <v>0.2158</v>
      </c>
      <c r="L537" t="inlineStr">
        <is>
          <t>The provided code implements a Hystrix command that provides a wrapper around a piece of business logic. It allows for execution isolation, caching, fallback mechanisms, and error handling. The command takes in input parameters and returns output values based on the specified execution strategy.</t>
        </is>
      </c>
      <c r="M537" t="n">
        <v>0.0055</v>
      </c>
      <c r="N537" t="n">
        <v>0.0769</v>
      </c>
      <c r="O537" t="n">
        <v>0.1293</v>
      </c>
    </row>
    <row r="538">
      <c r="A538" t="inlineStr">
        <is>
          <t>hystrix</t>
        </is>
      </c>
      <c r="B538" t="inlineStr">
        <is>
          <t>hystrix-core/src/test/java/com/netflix/hystrix/HystrixCommandTest.java</t>
        </is>
      </c>
      <c r="C538">
        <f>HYPERLINK("https://github.com/Netflix/Hystrix/blob/master/hystrix-core/src/test/java/com/netflix/hystrix/HystrixCommandTest.java")</f>
        <v/>
      </c>
      <c r="D538" t="inlineStr">
        <is>
          <t>This code appears to be part of a Java project that implements various functionalities related to circuit breakers and semaphores. The `com.netflix.hystrix` package contains classes related to Hystrix, which is a library used for implementing circuit breakers and fallbacks in microservices architectures.
The `HystrixCommand` class seems to</t>
        </is>
      </c>
      <c r="E538" t="n">
        <v>0.0051</v>
      </c>
      <c r="F538" t="n">
        <v>0.1404</v>
      </c>
      <c r="G538" t="n">
        <v>0.1681</v>
      </c>
      <c r="H538" t="inlineStr">
        <is>
          <t>This code appears to be part of a Java project that implements various Hystrix components. The package name suggests that it belongs to the `com.netflix.hystrix` namespace, which is used by Netflix for their own internal projects.
The code imports several classes from other packages within the same namespace, including `AbstractCommand`, `HystrixCircuit</t>
        </is>
      </c>
      <c r="I538" t="n">
        <v>0.0043</v>
      </c>
      <c r="J538" t="n">
        <v>0.06560000000000001</v>
      </c>
      <c r="K538" t="n">
        <v>0.122</v>
      </c>
      <c r="L538" t="inlineStr">
        <is>
          <t>The provided code defines a class named `HystrixCommand` that implements the `AbstractCommand` interface. It provides methods for executing commands, managing circuit breakers, and handling fallbacks. The class also has several static fields and methods related to configuration and testing.</t>
        </is>
      </c>
      <c r="M538" t="n">
        <v>0.0056</v>
      </c>
      <c r="N538" t="n">
        <v>0.0851</v>
      </c>
      <c r="O538" t="n">
        <v>0.0901</v>
      </c>
    </row>
    <row r="539">
      <c r="A539" t="inlineStr">
        <is>
          <t>hystrix</t>
        </is>
      </c>
      <c r="B539" t="inlineStr">
        <is>
          <t>hystrix-core/src/test/java/com/netflix/hystrix/HystrixCircuitBreakerTest.java</t>
        </is>
      </c>
      <c r="C539">
        <f>HYPERLINK("https://github.com/Netflix/Hystrix/blob/master/hystrix-core/src/test/java/com/netflix/hystrix/HystrixCircuitBreakerTest.java")</f>
        <v/>
      </c>
      <c r="D539" t="inlineStr">
        <is>
          <t>This Java code appears to be part of a project related to Hystrix, which is a library used for implementing circuit breakers and fallbacks in distributed systems. The code defines several classes and methods that implement various features of the Hystrix library, such as request caching, command execution, and exception handling.
The `HystrixCommand` class is the main entry point</t>
        </is>
      </c>
      <c r="E539" t="n">
        <v>0.0037</v>
      </c>
      <c r="F539" t="n">
        <v>0.0896</v>
      </c>
      <c r="G539" t="n">
        <v>0.1527</v>
      </c>
      <c r="H539" t="inlineStr">
        <is>
          <t>This code appears to be part of a Java project that implements various algorithms related to the Hystrix library. The code includes several classes and interfaces, each with its own set of methods and properties.
The `com.netflix.hystrix` package contains the main implementation of the Hystrix library, which provides circuit breaker pattern for handling errors and timeouts in</t>
        </is>
      </c>
      <c r="I539" t="n">
        <v>0.0042</v>
      </c>
      <c r="J539" t="n">
        <v>0.0896</v>
      </c>
      <c r="K539" t="n">
        <v>0.155</v>
      </c>
      <c r="L539" t="inlineStr">
        <is>
          <t>The provided code defines a class called `HystrixCommand` that extends `AbstractCommand`. It provides a simple implementation of a command object that can be executed using Hystrix's request caching mechanism. The class has several methods, including `execute()`, which executes the command and returns its result, `getFallback()` which returns a fallback value if the command fails, and</t>
        </is>
      </c>
      <c r="M539" t="n">
        <v>0.0033</v>
      </c>
      <c r="N539" t="n">
        <v>0.0625</v>
      </c>
      <c r="O539" t="n">
        <v>0.1181</v>
      </c>
    </row>
    <row r="540">
      <c r="A540" t="inlineStr">
        <is>
          <t>hystrix</t>
        </is>
      </c>
      <c r="B540" t="inlineStr">
        <is>
          <t>hystrix-core/src/test/java/com/netflix/hystrix/HystrixCommandPropertiesTest.java</t>
        </is>
      </c>
      <c r="C540">
        <f>HYPERLINK("https://github.com/Netflix/Hystrix/blob/master/hystrix-core/src/test/java/com/netflix/hystrix/HystrixCommandPropertiesTest.java")</f>
        <v/>
      </c>
      <c r="D540" t="inlineStr">
        <is>
          <t>The provided code defines a Java class named `HystrixCommandPr` that implements the `com.netflix.hystrix.HystrixCommand` interface. It appears to be a utility class used to configure and manage instances of the `HystrixCommand` class.
The class has several methods that set properties related to execution isolation, such as `set</t>
        </is>
      </c>
      <c r="E540" t="n">
        <v>0.0048</v>
      </c>
      <c r="F540" t="n">
        <v>0.0702</v>
      </c>
      <c r="G540" t="n">
        <v>0.1271</v>
      </c>
      <c r="H540" t="inlineStr">
        <is>
          <t>The code defines a Java package named `com.netflix.hystrix` that provides classes and interfaces related to implementing fault tolerant systems using the Hystrix library. The package includes several classes, including `HystrixCommand`, which represents a command that can be executed in a fault-tolerant manner, and `HystrixCommandProperties`, which encapsul</t>
        </is>
      </c>
      <c r="I540" t="n">
        <v>0.004</v>
      </c>
      <c r="J540" t="n">
        <v>0.0702</v>
      </c>
      <c r="K540" t="n">
        <v>0.1271</v>
      </c>
      <c r="L540" t="inlineStr">
        <is>
          <t>The code defines a Java class named `HystrixCommandPr` that implements the `HystrixCommand` interface from the `com.netflix.hystrix` package. It provides a simple implementation of a command that can be executed multiple times in parallel using the `execute()` method. The command has several properties that can be configured using the `Setter` class, including</t>
        </is>
      </c>
      <c r="M540" t="n">
        <v>0.0036</v>
      </c>
      <c r="N540" t="n">
        <v>0.0328</v>
      </c>
      <c r="O540" t="n">
        <v>0.0813</v>
      </c>
    </row>
    <row r="541">
      <c r="A541" t="inlineStr">
        <is>
          <t>hystrix</t>
        </is>
      </c>
      <c r="B541" t="inlineStr">
        <is>
          <t>hystrix-core/src/test/java/com/netflix/hystrix/HystrixObservableCollapserTest.java</t>
        </is>
      </c>
      <c r="C541">
        <f>HYPERLINK("https://github.com/Netflix/Hystrix/blob/master/hystrix-core/src/test/java/com/netflix/hystrix/HystrixObservableCollapserTest.java")</f>
        <v/>
      </c>
      <c r="D541" t="inlineStr">
        <is>
          <t>This code appears to be part of a Java project that implements various features related to circuit breakers and fallbacks. The main class `com.netflix.hystrix.HystrixCommand` defines a command object that can be executed multiple times and has built-in support for circuit breaking and fallback behavior. It also provides a way to track metrics such as execution time</t>
        </is>
      </c>
      <c r="E541" t="n">
        <v>0.0043</v>
      </c>
      <c r="F541" t="n">
        <v>0.0882</v>
      </c>
      <c r="G541" t="n">
        <v>0.1563</v>
      </c>
      <c r="H541" t="inlineStr">
        <is>
          <t>This is a Java package containing classes and interfaces related to Hystrix, a library for implementing circuit breakers and fallback logic in distributed systems. The package includes several classes that implement different aspects of the Hystrix framework, such as command execution, request caching, and metrics collection. It also includes a number of utility classes and interfaces for working with collections, threads, and other common tasks</t>
        </is>
      </c>
      <c r="I541" t="n">
        <v>0.0033</v>
      </c>
      <c r="J541" t="n">
        <v>0.1096</v>
      </c>
      <c r="K541" t="n">
        <v>0.146</v>
      </c>
      <c r="L541" t="inlineStr">
        <is>
          <t>The provided code implements a data structure called `HystrixCircuitBreaker` that manages the state of circuit breakers within a system. It uses a combination of concurrent collections and locks to ensure thread safety while allowing multiple threads to access the data structure simultaneously.
The `HystrixCircuitBreaker` class has several methods that perform different functions related to managing</t>
        </is>
      </c>
      <c r="M541" t="n">
        <v>0.004</v>
      </c>
      <c r="N541" t="n">
        <v>0.0635</v>
      </c>
      <c r="O541" t="n">
        <v>0.1181</v>
      </c>
    </row>
    <row r="542">
      <c r="A542" t="inlineStr">
        <is>
          <t>hystrix</t>
        </is>
      </c>
      <c r="B542" t="inlineStr">
        <is>
          <t>hystrix-core/src/test/java/com/netflix/hystrix/HystrixRequestCacheTest.java</t>
        </is>
      </c>
      <c r="C542">
        <f>HYPERLINK("https://github.com/Netflix/Hystrix/blob/master/hystrix-core/src/test/java/com/netflix/hystrix/HystrixRequestCacheTest.java")</f>
        <v/>
      </c>
      <c r="D542" t="inlineStr">
        <is>
          <t>The code defines a class called `HystrixConcurrencyStrategy` that implements the `HystrixConcurrencyStrategy` interface. It provides a default implementation of the `getThreadPool` method, which returns a thread pool instance. The `getExecutionHook` method returns an execution hook instance. The `getRequestVariable` method returns a request variable instance. The `getAsyncTask</t>
        </is>
      </c>
      <c r="E542" t="n">
        <v>0.0041</v>
      </c>
      <c r="F542" t="n">
        <v>0.0377</v>
      </c>
      <c r="G542" t="n">
        <v>0.0427</v>
      </c>
      <c r="H542" t="inlineStr">
        <is>
          <t>This code defines a Java package named `com.netflix.hystrix` that provides a library for implementing Hystrix, which is a circuit breaker pattern used to prevent cascading failures in a microservices architecture. The package includes several classes and interfaces related to Hystrix, such as `HystrixCommand`, `HystrixObservableCommand`, and `</t>
        </is>
      </c>
      <c r="I542" t="n">
        <v>0.0048</v>
      </c>
      <c r="J542" t="n">
        <v>0.1091</v>
      </c>
      <c r="K542" t="n">
        <v>0.1695</v>
      </c>
      <c r="L542" t="inlineStr">
        <is>
          <t>The provided code implements a Hystrix Concurrency Strategy that provides a default implementation of the HystrixConcurrencyStrategy interface. It defines several methods that allow users to customize the execution of requests within a HystrixCommand object.
The code includes a JUnit test class that tests the correctness of the implemented methods. The test cases cover various scenarios such as null input</t>
        </is>
      </c>
      <c r="M542" t="n">
        <v>0.0031</v>
      </c>
      <c r="N542" t="n">
        <v>0.0299</v>
      </c>
      <c r="O542" t="n">
        <v>0.0382</v>
      </c>
    </row>
    <row r="543">
      <c r="A543" t="inlineStr">
        <is>
          <t>hystrix</t>
        </is>
      </c>
      <c r="B543" t="inlineStr">
        <is>
          <t>hystrix-core/src/test/java/com/netflix/hystrix/UnsubscribedTasksRequestCacheTest.java</t>
        </is>
      </c>
      <c r="C543">
        <f>HYPERLINK("https://github.com/Netflix/Hystrix/blob/master/hystrix-core/src/test/java/com/netflix/hystrix/UnsubscribedTasksRequestCacheTest.java")</f>
        <v/>
      </c>
      <c r="D543" t="inlineStr">
        <is>
          <t>This Java code appears to be part of a project related to the Hystrix library, which provides fault tolerance and performance monitoring capabilities for distributed systems. The code defines several classes and methods that support the execution of commands within a request context using the Hystrix framework.
The `HystrixCommand` class represents a command that can be executed within a Hystrix request context</t>
        </is>
      </c>
      <c r="E543" t="n">
        <v>0.0035</v>
      </c>
      <c r="F543" t="n">
        <v>0.0571</v>
      </c>
      <c r="G543" t="n">
        <v>0.1119</v>
      </c>
      <c r="H543" t="inlineStr">
        <is>
          <t>This is a Java project that implements various Hystrix commands and their execution hooks. The project includes unit tests and documentation, but it does not have any external dependencies or build scripts. The README file describes the purpose of the project and provides some basic information about its structure and complexity. The comments provide additional context and explain the reasoning behind certain design decisions. The commits list shows</t>
        </is>
      </c>
      <c r="I543" t="n">
        <v>0.0035</v>
      </c>
      <c r="J543" t="n">
        <v>0.0789</v>
      </c>
      <c r="K543" t="n">
        <v>0.1071</v>
      </c>
      <c r="L543" t="inlineStr">
        <is>
          <t>The code defines a class named `HystrixCommand` that implements the `Runnable` interface. It has several methods, including a constructor, a `run()` method, and a `getFallback()` method. The `run()` method performs some computation and returns a result, while the `getFallback()` method provides a fallback value if the computation fails. The</t>
        </is>
      </c>
      <c r="M543" t="n">
        <v>0.0045</v>
      </c>
      <c r="N543" t="n">
        <v>0.0702</v>
      </c>
      <c r="O543" t="n">
        <v>0.08260000000000001</v>
      </c>
    </row>
    <row r="544">
      <c r="A544" t="inlineStr">
        <is>
          <t>hystrix</t>
        </is>
      </c>
      <c r="B544" t="inlineStr">
        <is>
          <t>hystrix-core/src/test/java/com/netflix/hystrix/HystrixThreadPoolTest.java</t>
        </is>
      </c>
      <c r="C544">
        <f>HYPERLINK("https://github.com/Netflix/Hystrix/blob/master/hystrix-core/src/test/java/com/netflix/hystrix/HystrixThreadPoolTest.java")</f>
        <v/>
      </c>
      <c r="D544" t="inlineStr">
        <is>
          <t>This code appears to be part of a Java project that implements various Hystrix thread pool related classes and utilities. The main class `com.netflix.hystrix.HystrixThreadPool` is responsible for managing threads within a thread pool, while other classes such as `HystrixThreadPool.Factory`, `HystrixPlugins`, and `Hystrix</t>
        </is>
      </c>
      <c r="E544" t="n">
        <v>0.0058</v>
      </c>
      <c r="F544" t="n">
        <v>0.1111</v>
      </c>
      <c r="G544" t="n">
        <v>0.1754</v>
      </c>
      <c r="H544" t="inlineStr">
        <is>
          <t>This code appears to be a Java package named `com.netflix.hystrix` that provides a library for implementing Hystrix, which is a circuit breaker pattern used to prevent cascading failures in microservices architectures. The library includes several classes and interfaces related to thread pools, command execution, fallback logic, and metrics collection.
The main</t>
        </is>
      </c>
      <c r="I544" t="n">
        <v>0.0043</v>
      </c>
      <c r="J544" t="n">
        <v>0.1311</v>
      </c>
      <c r="K544" t="n">
        <v>0.1626</v>
      </c>
      <c r="L544" t="inlineStr">
        <is>
          <t>The code in question appears to be a Java implementation of the Hystrix library, which provides a mechanism for implementing circuit breakers around remote calls. It includes several classes related to thread pools, command execution, and fallback mechanisms.
The code defines several interfaces and abstract classes that provide the basic building blocks for implementing Hystrix functionality, including `HystrixCommand`,</t>
        </is>
      </c>
      <c r="M544" t="n">
        <v>0.0031</v>
      </c>
      <c r="N544" t="n">
        <v>0.0606</v>
      </c>
      <c r="O544" t="n">
        <v>0.0769</v>
      </c>
    </row>
    <row r="545">
      <c r="A545" t="inlineStr">
        <is>
          <t>hystrix</t>
        </is>
      </c>
      <c r="B545" t="inlineStr">
        <is>
          <t>hystrix-core/src/test/java/com/netflix/hystrix/HystrixRequestLogTest.java</t>
        </is>
      </c>
      <c r="C545">
        <f>HYPERLINK("https://github.com/Netflix/Hystrix/blob/master/hystrix-core/src/test/java/com/netflix/hystrix/HystrixRequestLogTest.java")</f>
        <v/>
      </c>
      <c r="D545" t="inlineStr">
        <is>
          <t>This code appears to be part of a Java project that implements some kind of algorithm using RxJava Observables. The `HystrixRequestLog` class is responsible for managing requests and their associated data, while the `HystrixRequestContextRule` class provides a JUnit rule for setting up and tearing down request contexts during testing.
The `test()` method</t>
        </is>
      </c>
      <c r="E545" t="n">
        <v>0.0046</v>
      </c>
      <c r="F545" t="n">
        <v>0.1</v>
      </c>
      <c r="G545" t="n">
        <v>0.1613</v>
      </c>
      <c r="H545" t="inlineStr">
        <is>
          <t>This code appears to be part of a Java project that implements a system for logging requests made to a service. The code defines a `HystrixRequestLog` class that provides methods for adding, removing, and retrieving request logs. It also includes a JUnit test case that demonstrates how to use the log.
The code imports several packages, including `com.netfli</t>
        </is>
      </c>
      <c r="I545" t="n">
        <v>0.0041</v>
      </c>
      <c r="J545" t="n">
        <v>0.0896</v>
      </c>
      <c r="K545" t="n">
        <v>0.1538</v>
      </c>
      <c r="L545" t="inlineStr">
        <is>
          <t>The provided code implements a test suite for the `HystrixRequestLog` class, which is part of the Hystrix library used for implementing circuit breakers in Java applications. The test suite includes a single test method that verifies the correctness of the `getExecutedCommands` method, which returns a list of executed commands during the current request execution.
The test</t>
        </is>
      </c>
      <c r="M545" t="n">
        <v>0.0033</v>
      </c>
      <c r="N545" t="n">
        <v>0.0312</v>
      </c>
      <c r="O545" t="n">
        <v>0.0781</v>
      </c>
    </row>
    <row r="546">
      <c r="A546" t="inlineStr">
        <is>
          <t>hystrix</t>
        </is>
      </c>
      <c r="B546" t="inlineStr">
        <is>
          <t>hystrix-core/src/test/java/com/netflix/hystrix/HystrixThreadPoolMetricsTest.java</t>
        </is>
      </c>
      <c r="C546">
        <f>HYPERLINK("https://github.com/Netflix/Hystrix/blob/master/hystrix-core/src/test/java/com/netflix/hystrix/HystrixThreadPoolMetricsTest.java")</f>
        <v/>
      </c>
      <c r="D546" t="inlineStr">
        <is>
          <t>This code appears to be part of a unit test for the `com.netflix.hystrix` package. It imports classes from the same package as well as some other packages such as `java.util.Collection`. The main method of the test class has one `@Test` annotation that defines a test case named `testGetLatestRollingMaxActiveThreads`.</t>
        </is>
      </c>
      <c r="E546" t="n">
        <v>0.0038</v>
      </c>
      <c r="F546" t="n">
        <v>0.0333</v>
      </c>
      <c r="G546" t="n">
        <v>0.0833</v>
      </c>
      <c r="H546" t="inlineStr">
        <is>
          <t>This Java package `com.netflix.hystrix` contains classes related to implementing thread pool metrics for the Hystrix library. The main class of interest is `HystrixThreadPoolMetrics`, which provides methods for tracking and managing thread pools used in Hystrix commands.
The package includes a number of supporting classes, including `HystrixCommandGroup</t>
        </is>
      </c>
      <c r="I546" t="n">
        <v>0.0048</v>
      </c>
      <c r="J546" t="n">
        <v>0.1071</v>
      </c>
      <c r="K546" t="n">
        <v>0.1695</v>
      </c>
      <c r="L546" t="inlineStr">
        <is>
          <t>The provided code defines a JUnit test suite for testing the functionality of the `HystrixThreadPoolMetrics` class. It imports several classes from the `com.netflix.hystrix` package, including `HystrixCommandGroupKey`, `RollingThreadPoolEventCounterStream`, and `HystrixThreadPoolMetrics`.
The test suite has one test</t>
        </is>
      </c>
      <c r="M546" t="n">
        <v>0.0063</v>
      </c>
      <c r="N546" t="n">
        <v>0.08890000000000001</v>
      </c>
      <c r="O546" t="n">
        <v>0.0935</v>
      </c>
    </row>
    <row r="547">
      <c r="A547" t="inlineStr">
        <is>
          <t>hystrix</t>
        </is>
      </c>
      <c r="B547" t="inlineStr">
        <is>
          <t>hystrix-core/src/test/java/com/netflix/hystrix/collapser/CollapsedRequestSubjectTest.java</t>
        </is>
      </c>
      <c r="C547">
        <f>HYPERLINK("https://github.com/Netflix/Hystrix/blob/master/hystrix-core/src/test/java/com/netflix/hystrix/collapser/CollapsedRequestSubjectTest.java")</f>
        <v/>
      </c>
      <c r="D547" t="inlineStr">
        <is>
          <t>The provided code defines a JUnit test suite for testing the `CollapsedRequestSubject` class, which is part of the Hystrix collapser library. The test suite includes several tests that verify the behavior of the `CollapsedRequestSubject` class when it is used as a subject for collapsing requests.
The first test verifies that the `CollapsedRequestSubject</t>
        </is>
      </c>
      <c r="E547" t="n">
        <v>0</v>
      </c>
      <c r="F547" t="n">
        <v>0</v>
      </c>
      <c r="G547" t="n">
        <v>0.0403</v>
      </c>
      <c r="H547" t="inlineStr">
        <is>
          <t>This code implements a unit test for a collapsed request subject in Java. The test checks that when a response is set using the `setResponse()` method, it is correctly propagated through the observable chain. It also verifies that cancelling the future returned by `getFuture()` will cancel the underlying execution.
The test uses JUnit as its testing framework and RxJava</t>
        </is>
      </c>
      <c r="I547" t="n">
        <v>0.0041</v>
      </c>
      <c r="J547" t="n">
        <v>0.0896</v>
      </c>
      <c r="K547" t="n">
        <v>0.1527</v>
      </c>
      <c r="L547" t="inlineStr">
        <is>
          <t>The provided code defines a JUnit test case for the `CollapsedRequestSubject` class, which is part of the Hystrix library for Java. The test case verifies that when a response is set using the `setResponse()` method, the subject emits the expected values.
The test first creates a new instance of `CollapsedRequestSubject`, then sets up a mock</t>
        </is>
      </c>
      <c r="M547" t="n">
        <v>0</v>
      </c>
      <c r="N547" t="n">
        <v>0</v>
      </c>
      <c r="O547" t="n">
        <v>0.0394</v>
      </c>
    </row>
    <row r="548">
      <c r="A548" t="inlineStr">
        <is>
          <t>hystrix</t>
        </is>
      </c>
      <c r="B548" t="inlineStr">
        <is>
          <t>hystrix-core/src/test/java/com/netflix/hystrix/metric/HystrixThreadEventStreamTest.java</t>
        </is>
      </c>
      <c r="C548">
        <f>HYPERLINK("https://github.com/Netflix/Hystrix/blob/master/hystrix-core/src/test/java/com/netflix/hystrix/metric/HystrixThreadEventStreamTest.java")</f>
        <v/>
      </c>
      <c r="D548" t="inlineStr">
        <is>
          <t>This code appears to be a Java implementation of a Hystrix command that sends data to a metrics collector. The command takes in a list of events as input and processes them using a subscriber object. The subscriber object implements the `Action1` interface and defines a method called `onNext`, which is called when new data becomes available from the event stream. The `onNext</t>
        </is>
      </c>
      <c r="E548" t="n">
        <v>0.0038</v>
      </c>
      <c r="F548" t="n">
        <v>0.08450000000000001</v>
      </c>
      <c r="G548" t="n">
        <v>0.1481</v>
      </c>
      <c r="H548" t="inlineStr">
        <is>
          <t>This code appears to be part of a Java project that implements various Hystrix metrics related to command execution and thread pool usage. The code defines several classes and methods related to these metrics, including `HystrixMetricsPublisher`, which publishes metrics from Hystrix commands and threads to external systems such as Graphite or Prometheus.
The code also includes unit</t>
        </is>
      </c>
      <c r="I548" t="n">
        <v>0.0042</v>
      </c>
      <c r="J548" t="n">
        <v>0.09229999999999999</v>
      </c>
      <c r="K548" t="n">
        <v>0.155</v>
      </c>
      <c r="L548" t="inlineStr">
        <is>
          <t>The code defines a class called `HystrixMetricsPublisher` that publishes metrics from Hystrix commands and threads to a stream. It uses RxJava's `Observable` API to handle asynchronous events and subscriptions. The class has several methods that perform different tasks related to publishing metrics, such as `publishCommandExecution`, which publishes execution data for a command</t>
        </is>
      </c>
      <c r="M548" t="n">
        <v>0.0035</v>
      </c>
      <c r="N548" t="n">
        <v>0.0328</v>
      </c>
      <c r="O548" t="n">
        <v>0.0806</v>
      </c>
    </row>
    <row r="549">
      <c r="A549" t="inlineStr">
        <is>
          <t>hystrix</t>
        </is>
      </c>
      <c r="B549" t="inlineStr">
        <is>
          <t>hystrix-core/src/test/java/com/netflix/hystrix/metric/CommandStreamTest.java</t>
        </is>
      </c>
      <c r="C549">
        <f>HYPERLINK("https://github.com/Netflix/Hystrix/blob/master/hystrix-core/src/test/java/com/netflix/hystrix/metric/CommandStreamTest.java")</f>
        <v/>
      </c>
      <c r="D549" t="inlineStr">
        <is>
          <t>The provided code appears to be a Java class that implements various metrics related to Hystrix, which is a library used for implementing circuit breakers and fallbacks in resilient systems. The class defines several methods that calculate metrics such as request volume, error percentage, and latency. It also provides a constructor that takes a `HystrixCollapser` object as input and</t>
        </is>
      </c>
      <c r="E549" t="n">
        <v>0.0037</v>
      </c>
      <c r="F549" t="n">
        <v>0.0597</v>
      </c>
      <c r="G549" t="n">
        <v>0.1145</v>
      </c>
      <c r="H549" t="inlineStr">
        <is>
          <t>This Java package `com.netflix.hystrix.metric` appears to contain classes related to metrics collection and processing for Hystrix, a library used for implementing circuit breakers and fallback logic in resilient systems. The package includes several classes that implement various interfaces and provide implementations for collecting and processing metrics such as request latency, error rates, and thread pool</t>
        </is>
      </c>
      <c r="I549" t="n">
        <v>0.004</v>
      </c>
      <c r="J549" t="n">
        <v>0.1212</v>
      </c>
      <c r="K549" t="n">
        <v>0.1575</v>
      </c>
      <c r="L549" t="inlineStr">
        <is>
          <t>The provided code defines a class named `HystrixCommand` that represents a command executed within a Hystrix circuit breaker. It has several fields and methods that allow for configuration and execution of the command. The class also implements various interfaces, such as `HystrixCollapser`, which allows the command to be collapsed into a single request when multiple requests are made concurrently</t>
        </is>
      </c>
      <c r="M549" t="n">
        <v>0.0037</v>
      </c>
      <c r="N549" t="n">
        <v>0.0299</v>
      </c>
      <c r="O549" t="n">
        <v>0.07630000000000001</v>
      </c>
    </row>
    <row r="550">
      <c r="A550" t="inlineStr">
        <is>
          <t>hystrix</t>
        </is>
      </c>
      <c r="B550" t="inlineStr">
        <is>
          <t>hystrix-core/src/test/java/com/netflix/hystrix/metric/HystrixCommandCompletionStreamTest.java</t>
        </is>
      </c>
      <c r="C550">
        <f>HYPERLINK("https://github.com/Netflix/Hystrix/blob/master/hystrix-core/src/test/java/com/netflix/hystrix/metric/HystrixCommandCompletionStreamTest.java")</f>
        <v/>
      </c>
      <c r="D550" t="inlineStr">
        <is>
          <t>The provided code defines a class called `HystrixMetricPoller` that implements the `Runnable` interface. It has several methods, including `run()`, which is the entry point for the thread that runs the polling process. The `run()` method retrieves metrics from Hystrix commands and threads using the `getMetrics()` method, and then processes those metrics using</t>
        </is>
      </c>
      <c r="E550" t="n">
        <v>0.0042</v>
      </c>
      <c r="F550" t="n">
        <v>0.0667</v>
      </c>
      <c r="G550" t="n">
        <v>0.121</v>
      </c>
      <c r="H550" t="inlineStr">
        <is>
          <t>The code defines a Java package called `com.netflix.hystrix.metric` that provides classes and methods related to Hystrix metrics. It appears to be part of a larger project, as it references other packages such as `com.netflix.hystrix.command` and `com.netflix.hystrix.strategy`.</t>
        </is>
      </c>
      <c r="I550" t="n">
        <v>0.0052</v>
      </c>
      <c r="J550" t="n">
        <v>0.0377</v>
      </c>
      <c r="K550" t="n">
        <v>0.0926</v>
      </c>
      <c r="L550" t="inlineStr">
        <is>
          <t>The provided code defines a JUnit test class named `HystrixMetricsPublisherTest` that tests the functionality of the `HystrixMetricsPublisher` class. The class is responsible for publishing metrics related to Hystrix commands and threads.
The test method `testSingleThreadedRequestWithoutFallback()` simulates a single threaded</t>
        </is>
      </c>
      <c r="M550" t="n">
        <v>0.0056</v>
      </c>
      <c r="N550" t="n">
        <v>0.0851</v>
      </c>
      <c r="O550" t="n">
        <v>0.0901</v>
      </c>
    </row>
    <row r="551">
      <c r="A551" t="inlineStr">
        <is>
          <t>hystrix</t>
        </is>
      </c>
      <c r="B551" t="inlineStr">
        <is>
          <t>hystrix-core/src/test/java/com/netflix/hystrix/metric/consumer/HealthCountsStreamTest.java</t>
        </is>
      </c>
      <c r="C551">
        <f>HYPERLINK("https://github.com/Netflix/Hystrix/blob/master/hystrix-core/src/test/java/com/netflix/hystrix/metric/consumer/HealthCountsStreamTest.java")</f>
        <v/>
      </c>
      <c r="D551" t="inlineStr">
        <is>
          <t>This Java code appears to be part of a system that collects metrics from Hystrix commands and stores them in memory. The code defines several classes related to command metrics collection, including `HystrixCommandMetrics`, which represents a single metric instance, and `HystrixCommandMetricsSnapshot`, which captures a snapshot of all currently active metrics instances.
The code also</t>
        </is>
      </c>
      <c r="E551" t="n">
        <v>0.004</v>
      </c>
      <c r="F551" t="n">
        <v>0.0645</v>
      </c>
      <c r="G551" t="n">
        <v>0.119</v>
      </c>
      <c r="H551" t="inlineStr">
        <is>
          <t>This code appears to be part of a Java project that implements various Hystrix commands and metrics consumers. The code defines several classes related to Hystrix command execution and monitoring, including `HystrixCommand`, `HystrixCommandGroupKey`, `HystrixCommandKey`, `HystrixCommandMetrics`, `HystrixCommandProperties`, `HystrixEvent</t>
        </is>
      </c>
      <c r="I551" t="n">
        <v>0.0066</v>
      </c>
      <c r="J551" t="n">
        <v>0.1333</v>
      </c>
      <c r="K551" t="n">
        <v>0.1835</v>
      </c>
      <c r="L551" t="inlineStr">
        <is>
          <t>The provided code implements a Hystrix command that consumes metrics from the Hystrix request log. It uses the HystrixCommand class to define a command group and key, as well as properties and event types. The command also imports the HystrixCommandMetrics and HystrixEventType classes.</t>
        </is>
      </c>
      <c r="M551" t="n">
        <v>0.0051</v>
      </c>
      <c r="N551" t="n">
        <v>0.0784</v>
      </c>
      <c r="O551" t="n">
        <v>0.1304</v>
      </c>
    </row>
    <row r="552">
      <c r="A552" t="inlineStr">
        <is>
          <t>hystrix</t>
        </is>
      </c>
      <c r="B552" t="inlineStr">
        <is>
          <t>hystrix-core/src/test/java/com/netflix/hystrix/metric/consumer/RollingCommandLatencyDistributionStreamTest.java</t>
        </is>
      </c>
      <c r="C552">
        <f>HYPERLINK("https://github.com/Netflix/Hystrix/blob/master/hystrix-core/src/test/java/com/netflix/hystrix/metric/consumer/RollingCommandLatencyDistributionStreamTest.java")</f>
        <v/>
      </c>
      <c r="D552" t="inlineStr">
        <is>
          <t>This code appears to be part of a Java project that implements various metrics related to Hystrix commands. The main class, `com.netflix.hystrix.metric.consumer.HystrixMetricsPublisherCommand`, is responsible for publishing metrics about Hystrix commands to a stream. It does this by using the `HystrixRequestLog` class</t>
        </is>
      </c>
      <c r="E552" t="n">
        <v>0.0054</v>
      </c>
      <c r="F552" t="n">
        <v>0.0741</v>
      </c>
      <c r="G552" t="n">
        <v>0.1327</v>
      </c>
      <c r="H552" t="inlineStr">
        <is>
          <t>This code appears to be part of a Java project that implements various algorithms related to data processing and analysis. The code defines several classes and interfaces, including `com.netflix.hystrix.metric.consumer.MetricsConsumer`, which seems to be responsible for consuming metrics from Hystrix commands. The code also imports several other packages, such as `com.</t>
        </is>
      </c>
      <c r="I552" t="n">
        <v>0.0048</v>
      </c>
      <c r="J552" t="n">
        <v>0.09520000000000001</v>
      </c>
      <c r="K552" t="n">
        <v>0.1639</v>
      </c>
      <c r="L552" t="inlineStr">
        <is>
          <t>The code implements a Hystrix command that consumes metrics from a stream and updates the cache accordingly. It uses the CachedValuesHistogram class to store the metrics and provides methods to retrieve them based on their type and group. Additionally, it logs the events emitted by the command using the HystrixRequestLog class.</t>
        </is>
      </c>
      <c r="M552" t="n">
        <v>0.0043</v>
      </c>
      <c r="N552" t="n">
        <v>0.0678</v>
      </c>
      <c r="O552" t="n">
        <v>0.122</v>
      </c>
    </row>
    <row r="553">
      <c r="A553" t="inlineStr">
        <is>
          <t>hystrix</t>
        </is>
      </c>
      <c r="B553" t="inlineStr">
        <is>
          <t>hystrix-core/src/test/java/com/netflix/hystrix/metric/consumer/RollingThreadPoolEventCounterStreamTest.java</t>
        </is>
      </c>
      <c r="C553">
        <f>HYPERLINK("https://github.com/Netflix/Hystrix/blob/master/hystrix-core/src/test/java/com/netflix/hystrix/metric/consumer/RollingThreadPoolEventCounterStreamTest.java")</f>
        <v/>
      </c>
      <c r="D553" t="inlineStr">
        <is>
          <t>This Java code appears to be part of a Hystrix library that provides metrics tracking and analysis for various types of commands and threads in a system. The code defines several classes related to command and thread pool metrics, as well as methods for retrieving and analyzing these metrics.
The main class `HystrixMetricPoller` is responsible for polling the metrics data from</t>
        </is>
      </c>
      <c r="E553" t="n">
        <v>0.0036</v>
      </c>
      <c r="F553" t="n">
        <v>0.058</v>
      </c>
      <c r="G553" t="n">
        <v>0.1128</v>
      </c>
      <c r="H553" t="inlineStr">
        <is>
          <t>This code appears to be part of a Java project that implements various Hystrix metrics consumers. The package name suggests that it's related to the Hystrix library, which provides fault tolerance and performance monitoring capabilities for microservices.
The code defines several classes that implement different types of Hystrix metric consumers, such as `HystrixCommandMetrics` and</t>
        </is>
      </c>
      <c r="I553" t="n">
        <v>0.0045</v>
      </c>
      <c r="J553" t="n">
        <v>0.09520000000000001</v>
      </c>
      <c r="K553" t="n">
        <v>0.1587</v>
      </c>
      <c r="L553" t="inlineStr">
        <is>
          <t>The provided code implements the Hystrix command metrics consumer, which consumes and processes metrics data from the Hystrix request log. It provides various methods for accessing and manipulating the metrics data, such as retrieving the total count of commands executed, the number of successful commands, and the execution time distribution. Additionally, it allows for customization of the metric collection process through the use of</t>
        </is>
      </c>
      <c r="M553" t="n">
        <v>0.0034</v>
      </c>
      <c r="N553" t="n">
        <v>0.0556</v>
      </c>
      <c r="O553" t="n">
        <v>0.1103</v>
      </c>
    </row>
    <row r="554">
      <c r="A554" t="inlineStr">
        <is>
          <t>hystrix</t>
        </is>
      </c>
      <c r="B554" t="inlineStr">
        <is>
          <t>hystrix-core/src/test/java/com/netflix/hystrix/metric/consumer/RollingThreadPoolMaxConcurrencyStreamTest.java</t>
        </is>
      </c>
      <c r="C554">
        <f>HYPERLINK("https://github.com/Netflix/Hystrix/blob/master/hystrix-core/src/test/java/com/netflix/hystrix/metric/consumer/RollingThreadPoolMaxConcurrencyStreamTest.java")</f>
        <v/>
      </c>
      <c r="D554" t="inlineStr">
        <is>
          <t>This code appears to be part of a Java project that implements various metrics consumers for Hystrix, a library used for implementing circuit breakers and fallbacks in microservices architectures. The code defines several classes related to command metrics, thread pool metrics, and request logging. It also includes some unit tests for the implementations.
The main class, `com.netflix</t>
        </is>
      </c>
      <c r="E554" t="n">
        <v>0.0042</v>
      </c>
      <c r="F554" t="n">
        <v>0.09089999999999999</v>
      </c>
      <c r="G554" t="n">
        <v>0.155</v>
      </c>
      <c r="H554" t="inlineStr">
        <is>
          <t>This code appears to be part of a Java project that implements various algorithms related to backend software development. The code is well-documented, including comments and a README file that provides some information about the purpose of the project.
The code defines several classes and interfaces related to Hystrix, which is a library used for implementing circuit breakers and other resilience patterns in</t>
        </is>
      </c>
      <c r="I554" t="n">
        <v>0.0041</v>
      </c>
      <c r="J554" t="n">
        <v>0.1111</v>
      </c>
      <c r="K554" t="n">
        <v>0.1852</v>
      </c>
      <c r="L554" t="inlineStr">
        <is>
          <t>The provided code implements a Hystrix command stream that consumes metrics from a Hystrix request log and publishes them to a message broker. It uses the HystrixCommandKey, HystrixCommandGroupKey, and HystrixThreadPoolKey classes to identify commands and threads, as well as the HystrixCommandProperties class to configure properties such as timeouts and circuit</t>
        </is>
      </c>
      <c r="M554" t="n">
        <v>0.0044</v>
      </c>
      <c r="N554" t="n">
        <v>0.06900000000000001</v>
      </c>
      <c r="O554" t="n">
        <v>0.123</v>
      </c>
    </row>
    <row r="555">
      <c r="A555" t="inlineStr">
        <is>
          <t>hystrix</t>
        </is>
      </c>
      <c r="B555" t="inlineStr">
        <is>
          <t>hystrix-core/src/test/java/com/netflix/hystrix/metric/consumer/RollingCollapserBatchSizeDistributionStreamTest.java</t>
        </is>
      </c>
      <c r="C555">
        <f>HYPERLINK("https://github.com/Netflix/Hystrix/blob/master/hystrix-core/src/test/java/com/netflix/hystrix/metric/consumer/RollingCollapserBatchSizeDistributionStreamTest.java")</f>
        <v/>
      </c>
      <c r="D555" t="inlineStr">
        <is>
          <t>The provided code appears to be part of a Java project that implements various metrics consumers for Hystrix, a library used for implementing circuit breakers and fallbacks in microservices architecture. The code defines several classes related to metric collection and processing, including `MetricsConsumer`, `CachedValuesHistogram`, and `CommandStreamTest`.
The `MetricsCons</t>
        </is>
      </c>
      <c r="E555" t="n">
        <v>0.0045</v>
      </c>
      <c r="F555" t="n">
        <v>0.07140000000000001</v>
      </c>
      <c r="G555" t="n">
        <v>0.125</v>
      </c>
      <c r="H555" t="inlineStr">
        <is>
          <t>This Java package `com.netflix.hystrix.metric.consumer` contains classes that implement Hystrix's metrics system. The main class, `HystrixMetricsPublisher`, publishes real-time metrics from Hystrix commands and collapsers to a stream. It uses a `CachedValuesHistogram` object to store the</t>
        </is>
      </c>
      <c r="I555" t="n">
        <v>0.0065</v>
      </c>
      <c r="J555" t="n">
        <v>0.125</v>
      </c>
      <c r="K555" t="n">
        <v>0.1887</v>
      </c>
      <c r="L555" t="inlineStr">
        <is>
          <t>The provided code defines a Java class that implements a custom RX subscriber for Hystrix command execution metrics. It provides a way to track the number of requests executed, the amount of time spent executing them, and other relevant statistics. The class uses the `rx` library to handle asynchronous event processing and the `HystrixRequestContext` class from the `com.netflix</t>
        </is>
      </c>
      <c r="M555" t="n">
        <v>0.0037</v>
      </c>
      <c r="N555" t="n">
        <v>0.0597</v>
      </c>
      <c r="O555" t="n">
        <v>0.1154</v>
      </c>
    </row>
    <row r="556">
      <c r="A556" t="inlineStr">
        <is>
          <t>hystrix</t>
        </is>
      </c>
      <c r="B556" t="inlineStr">
        <is>
          <t>hystrix-core/src/test/java/com/netflix/hystrix/metric/consumer/RollingCommandMaxConcurrencyStreamTest.java</t>
        </is>
      </c>
      <c r="C556">
        <f>HYPERLINK("https://github.com/Netflix/Hystrix/blob/master/hystrix-core/src/test/java/com/netflix/hystrix/metric/consumer/RollingCommandMaxConcurrencyStreamTest.java")</f>
        <v/>
      </c>
      <c r="D556" t="inlineStr">
        <is>
          <t>This code appears to be part of a Java project that implements various metrics consumers for Hystrix, a library used for implementing circuit breakers and fallbacks in microservices architectures. The code defines several classes related to command execution and monitoring, including `HystrixCommandKey`, `HystrixCommandGroupKey`, `HystrixCommandProperties`, and `Hystrix</t>
        </is>
      </c>
      <c r="E556" t="n">
        <v>0.0053</v>
      </c>
      <c r="F556" t="n">
        <v>0.1111</v>
      </c>
      <c r="G556" t="n">
        <v>0.1695</v>
      </c>
      <c r="H556" t="inlineStr">
        <is>
          <t>This code defines a Java package called `com.netflix.hystrix.metric.consumer` that provides various classes and methods related to consuming metrics from Hystrix commands. The package includes several classes such as `HystrixCommandGroupKey`, `HystrixCommandKey`, `HystrixCommandProperties`, `HystrixEventType`, `Hyst</t>
        </is>
      </c>
      <c r="I556" t="n">
        <v>0.0067</v>
      </c>
      <c r="J556" t="n">
        <v>0.08890000000000001</v>
      </c>
      <c r="K556" t="n">
        <v>0.09520000000000001</v>
      </c>
      <c r="L556" t="inlineStr">
        <is>
          <t>The provided code implements a command stream consumer that consumes metrics from Hystrix commands and processes them using the `com.netflix.hystrix.metric.CommandStreamTest` class. It uses the `HystrixCommandGroupKey`, `HystrixCommandKey`, and `HystrixCommandProperties` classes to identify and process commands. The code also utilizes</t>
        </is>
      </c>
      <c r="M556" t="n">
        <v>0.0058</v>
      </c>
      <c r="N556" t="n">
        <v>0.08</v>
      </c>
      <c r="O556" t="n">
        <v>0.1364</v>
      </c>
    </row>
    <row r="557">
      <c r="A557" t="inlineStr">
        <is>
          <t>hystrix</t>
        </is>
      </c>
      <c r="B557" t="inlineStr">
        <is>
          <t>hystrix-core/src/test/java/com/netflix/hystrix/metric/consumer/HystrixDashboardStreamTest.java</t>
        </is>
      </c>
      <c r="C557">
        <f>HYPERLINK("https://github.com/Netflix/Hystrix/blob/master/hystrix-core/src/test/java/com/netflix/hystrix/metric/consumer/HystrixDashboardStreamTest.java")</f>
        <v/>
      </c>
      <c r="D557" t="inlineStr">
        <is>
          <t>This Java code defines a class called `HystrixCommandMetrics` that provides metrics for Hystrix commands. The class has several methods that allow users to retrieve information about command executions, such as the number of successful requests, failed requests, and timeouts. It also allows users to get the current state of the command, which can be one of three states: UNINITIAL</t>
        </is>
      </c>
      <c r="E557" t="n">
        <v>0.0037</v>
      </c>
      <c r="F557" t="n">
        <v>0.0597</v>
      </c>
      <c r="G557" t="n">
        <v>0.07630000000000001</v>
      </c>
      <c r="H557" t="inlineStr">
        <is>
          <t>The provided code appears to be part of a Java project that implements various Hystrix commands and metrics consumers. It includes several classes and interfaces related to Hystrix command execution and monitoring, as well as some JUnit tests.
The `com.netflix.hystrix.metric.consumer` package contains several classes that implement the `HystrixCommandCons</t>
        </is>
      </c>
      <c r="I557" t="n">
        <v>0.0045</v>
      </c>
      <c r="J557" t="n">
        <v>0.0667</v>
      </c>
      <c r="K557" t="n">
        <v>0.125</v>
      </c>
      <c r="L557" t="inlineStr">
        <is>
          <t>The provided code is part of a Java project that implements Hystrix, a library for managing and monitoring complex systems with many moving parts. It appears to be responsible for consuming metrics related to command execution, specifically those related to the number of commands executed, their success rates, and latency. The code also includes some unit tests using JUnit.</t>
        </is>
      </c>
      <c r="M557" t="n">
        <v>0.0037</v>
      </c>
      <c r="N557" t="n">
        <v>0.0597</v>
      </c>
      <c r="O557" t="n">
        <v>0.1145</v>
      </c>
    </row>
    <row r="558">
      <c r="A558" t="inlineStr">
        <is>
          <t>hystrix</t>
        </is>
      </c>
      <c r="B558" t="inlineStr">
        <is>
          <t>hystrix-core/src/test/java/com/netflix/hystrix/metric/consumer/CumulativeCollapserEventCounterStreamTest.java</t>
        </is>
      </c>
      <c r="C558">
        <f>HYPERLINK("https://github.com/Netflix/Hystrix/blob/master/hystrix-core/src/test/java/com/netflix/hystrix/metric/consumer/CumulativeCollapserEventCounterStreamTest.java")</f>
        <v/>
      </c>
      <c r="D558" t="inlineStr">
        <is>
          <t>The code defines a JUnit test class named `CommandStreamTest` that tests the behavior of a Hystrix command stream. It sets up a request context using the `HystrixRequestContext` class, creates a collapser key using the `HystrixCollapserKey` class, and then uses the `HystrixCollapserMetrics` class to retrieve</t>
        </is>
      </c>
      <c r="E558" t="n">
        <v>0.0042</v>
      </c>
      <c r="F558" t="n">
        <v>0.0385</v>
      </c>
      <c r="G558" t="n">
        <v>0.0862</v>
      </c>
      <c r="H558" t="inlineStr">
        <is>
          <t>This Java package `com.netflix.hystrix.metric.consumer` appears to contain classes related to consuming metrics from Hystrix, which is a library used for implementing circuit breakers and fallback logic in microservices architectures. The package includes several classes that implement various aspects of metric consumption, such as collecting and processing metrics, and providing insights into</t>
        </is>
      </c>
      <c r="I558" t="n">
        <v>0.0043</v>
      </c>
      <c r="J558" t="n">
        <v>0.127</v>
      </c>
      <c r="K558" t="n">
        <v>0.1626</v>
      </c>
      <c r="L558" t="inlineStr">
        <is>
          <t>The provided code implements a test suite for Hystrix collapser metrics using JUnit. It defines several unit tests that simulate different scenarios involving command execution and request logging. The test cases verify that the correct metrics are emitted when commands execute successfully or fail due to timeouts or exceptions. Additionally, the code includes comments explaining the implementation details and providing context for the tests.</t>
        </is>
      </c>
      <c r="M558" t="n">
        <v>0.0034</v>
      </c>
      <c r="N558" t="n">
        <v>0.0556</v>
      </c>
      <c r="O558" t="n">
        <v>0.1103</v>
      </c>
    </row>
    <row r="559">
      <c r="A559" t="inlineStr">
        <is>
          <t>hystrix</t>
        </is>
      </c>
      <c r="B559" t="inlineStr">
        <is>
          <t>hystrix-core/src/test/java/com/netflix/hystrix/metric/consumer/RollingCommandEventCounterStreamTest.java</t>
        </is>
      </c>
      <c r="C559">
        <f>HYPERLINK("https://github.com/Netflix/Hystrix/blob/master/hystrix-core/src/test/java/com/netflix/hystrix/metric/consumer/RollingCommandEventCounterStreamTest.java")</f>
        <v/>
      </c>
      <c r="D559" t="inlineStr">
        <is>
          <t>This code appears to be part of a Java project that implements various metrics consumers for Hystrix, a library used for implementing circuit breakers in microservices architecture. The code defines several classes related to command metrics consumption, including `HystrixCommandMetrics` and `HystrixCommandProperties`. It also includes some test cases using JUnit.
The main functionalities of</t>
        </is>
      </c>
      <c r="E559" t="n">
        <v>0.0045</v>
      </c>
      <c r="F559" t="n">
        <v>0.0984</v>
      </c>
      <c r="G559" t="n">
        <v>0.16</v>
      </c>
      <c r="H559" t="inlineStr">
        <is>
          <t>This code appears to be part of a Java project that implements various algorithms related to data processing and analysis. The code is well-documented, with clear comments explaining what each class and method does. It also includes unit tests to ensure the correctness of the implemented algorithms.
The main classes in this package appear to be responsible for implementing different aspects of the Hystrix command metrics consumer</t>
        </is>
      </c>
      <c r="I559" t="n">
        <v>0.0036</v>
      </c>
      <c r="J559" t="n">
        <v>0.0789</v>
      </c>
      <c r="K559" t="n">
        <v>0.1439</v>
      </c>
      <c r="L559" t="inlineStr">
        <is>
          <t>The provided code implements a Hystrix command metrics consumer that consumes data from the Hystrix request log and updates the command metrics accordingly. It uses the Hystrix event type, command group key, and command key to identify the relevant commands and update their metrics. The code also takes into account the command properties and the current time when updating the metrics. Overall, the code appears</t>
        </is>
      </c>
      <c r="M559" t="n">
        <v>0.0033</v>
      </c>
      <c r="N559" t="n">
        <v>0.0548</v>
      </c>
      <c r="O559" t="n">
        <v>0.1095</v>
      </c>
    </row>
    <row r="560">
      <c r="A560" t="inlineStr">
        <is>
          <t>hystrix</t>
        </is>
      </c>
      <c r="B560" t="inlineStr">
        <is>
          <t>hystrix-core/src/test/java/com/netflix/hystrix/metric/consumer/RollingCollapserEventCounterStreamTest.java</t>
        </is>
      </c>
      <c r="C560">
        <f>HYPERLINK("https://github.com/Netflix/Hystrix/blob/master/hystrix-core/src/test/java/com/netflix/hystrix/metric/consumer/RollingCollapserEventCounterStreamTest.java")</f>
        <v/>
      </c>
      <c r="D560" t="inlineStr">
        <is>
          <t>The provided Java code appears to be part of a project that involves implementing various metrics related to Hystrix, a library used for managing and monitoring the behavior of complex systems. The code defines a class called `HystrixCollapserMetricsConsumer` that consumes metrics from Hystrix's request log and updates the relevant counters based on the events received. It</t>
        </is>
      </c>
      <c r="E560" t="n">
        <v>0.0033</v>
      </c>
      <c r="F560" t="n">
        <v>0.0615</v>
      </c>
      <c r="G560" t="n">
        <v>0.1172</v>
      </c>
      <c r="H560" t="inlineStr">
        <is>
          <t>This Java package `com.netflix.hystrix.metric.consumer` appears to contain classes related to Hystrix, a library for implementing circuit breakers and fallback logic in Java applications. The package includes several classes that implement various aspects of Hystrix's metrics collection and consumption mechanism, such as `HystrixCollapserMetrics`, which collect</t>
        </is>
      </c>
      <c r="I560" t="n">
        <v>0.005</v>
      </c>
      <c r="J560" t="n">
        <v>0.1404</v>
      </c>
      <c r="K560" t="n">
        <v>0.1293</v>
      </c>
      <c r="L560" t="inlineStr">
        <is>
          <t>The provided code defines a JUnit test class named `CommandStreamTest` that tests the functionality of the Hystrix command stream. It imports several packages, including `com.netflix.hystrix`, which is likely part of the Hystrix library used for circuit breakers and fallbacks. The test class has one method annotated with `@After`, which is called</t>
        </is>
      </c>
      <c r="M560" t="n">
        <v>0.0043</v>
      </c>
      <c r="N560" t="n">
        <v>0.06560000000000001</v>
      </c>
      <c r="O560" t="n">
        <v>0.0813</v>
      </c>
    </row>
    <row r="561">
      <c r="A561" t="inlineStr">
        <is>
          <t>hystrix</t>
        </is>
      </c>
      <c r="B561" t="inlineStr">
        <is>
          <t>hystrix-core/src/test/java/com/netflix/hystrix/metric/consumer/CumulativeCommandEventCounterStreamTest.java</t>
        </is>
      </c>
      <c r="C561">
        <f>HYPERLINK("https://github.com/Netflix/Hystrix/blob/master/hystrix-core/src/test/java/com/netflix/hystrix/metric/consumer/CumulativeCommandEventCounterStreamTest.java")</f>
        <v/>
      </c>
      <c r="D561" t="inlineStr">
        <is>
          <t>This Java class implements a consumer for Hystrix command metrics. It provides methods for retrieving various types of metrics, such as execution latency, error percentage, and circuit breaker status, based on the input parameters. The class also includes a constructor that takes in a `HystrixCommandKey` object and a `HystrixCommandProperties` object, which are used to initialize</t>
        </is>
      </c>
      <c r="E561" t="n">
        <v>0.0044</v>
      </c>
      <c r="F561" t="n">
        <v>0.09520000000000001</v>
      </c>
      <c r="G561" t="n">
        <v>0.1575</v>
      </c>
      <c r="H561" t="inlineStr">
        <is>
          <t>This repository contains Java source code that implements various backend software components. The code is well-documented and includes comments throughout the implementation. It also includes a README file that provides an overview of the project's purpose and structure. The complexity of the code is O(N), where N is the number of commands being tracked. The code has been committed once, and it</t>
        </is>
      </c>
      <c r="I561" t="n">
        <v>0.0042</v>
      </c>
      <c r="J561" t="n">
        <v>0.1096</v>
      </c>
      <c r="K561" t="n">
        <v>0.1493</v>
      </c>
      <c r="L561" t="inlineStr">
        <is>
          <t>The provided code is part of a Java library called Hystrix, which is used for implementing circuit breakers in microservices architecture. It appears to be responsible for collecting metrics related to command execution, such as request latency, error rates, and failure counts. The code also includes some basic logging and debugging features. Overall, it seems like this code is intended to provide insights</t>
        </is>
      </c>
      <c r="M561" t="n">
        <v>0.0029</v>
      </c>
      <c r="N561" t="n">
        <v>0.0563</v>
      </c>
      <c r="O561" t="n">
        <v>0.1481</v>
      </c>
    </row>
    <row r="562">
      <c r="A562" t="inlineStr">
        <is>
          <t>hystrix</t>
        </is>
      </c>
      <c r="B562" t="inlineStr">
        <is>
          <t>hystrix-core/src/test/java/com/netflix/hystrix/metric/consumer/CumulativeThreadPoolEventCounterStreamTest.java</t>
        </is>
      </c>
      <c r="C562">
        <f>HYPERLINK("https://github.com/Netflix/Hystrix/blob/master/hystrix-core/src/test/java/com/netflix/hystrix/metric/consumer/CumulativeThreadPoolEventCounterStreamTest.java")</f>
        <v/>
      </c>
      <c r="D562" t="inlineStr">
        <is>
          <t>This code appears to be part of a Java project that implements various metrics consumers for Hystrix, which is a fault tolerance library developed by Netflix. The code defines several classes related to metric consumption, including `HystrixMetricConsumer`, `HystrixCommandMetrics`, and `HystrixThreadPoolMetrics`. These classes appear to provide methods for cons</t>
        </is>
      </c>
      <c r="E562" t="n">
        <v>0.005</v>
      </c>
      <c r="F562" t="n">
        <v>0.1071</v>
      </c>
      <c r="G562" t="n">
        <v>0.1667</v>
      </c>
      <c r="H562" t="inlineStr">
        <is>
          <t>This is a Java project that contains various classes and interfaces related to Hystrix, a library used for implementing circuit breakers and fallback logic in resilient systems. The project includes several packages, each containing a set of related classes and interfaces. Some of the key features of the project include:
* Implementing circuit breakers using HystrixCommand and Hystrix</t>
        </is>
      </c>
      <c r="I562" t="n">
        <v>0.0037</v>
      </c>
      <c r="J562" t="n">
        <v>0.1231</v>
      </c>
      <c r="K562" t="n">
        <v>0.1538</v>
      </c>
      <c r="L562" t="inlineStr">
        <is>
          <t>The provided code implements a Hystrix command that monitors the execution of commands within a thread pool. It provides metrics such as request counts, error rates, and latency, which can be used for debugging and optimization purposes. The command uses the `HystrixCommand` class from the Hystrix library to execute the monitoring logic.</t>
        </is>
      </c>
      <c r="M562" t="n">
        <v>0.0046</v>
      </c>
      <c r="N562" t="n">
        <v>0.1</v>
      </c>
      <c r="O562" t="n">
        <v>0.1613</v>
      </c>
    </row>
    <row r="563">
      <c r="A563" t="inlineStr">
        <is>
          <t>hystrix</t>
        </is>
      </c>
      <c r="B563" t="inlineStr">
        <is>
          <t>hystrix-core/src/test/java/com/netflix/hystrix/metric/sample/HystrixUtilizationStreamTest.java</t>
        </is>
      </c>
      <c r="C563">
        <f>HYPERLINK("https://github.com/Netflix/Hystrix/blob/master/hystrix-core/src/test/java/com/netflix/hystrix/metric/sample/HystrixUtilizationStreamTest.java")</f>
        <v/>
      </c>
      <c r="D563" t="inlineStr">
        <is>
          <t>This Java code defines a class called `MyCommand` that extends the `HystrixCommand` class from the Hystrix library. The command is used to execute a unit of work asynchronously, and it has several methods for retrieving information about its execution, such as the number of requests executed, the number of successful responses, and the number of failures.
The</t>
        </is>
      </c>
      <c r="E563" t="n">
        <v>0.0038</v>
      </c>
      <c r="F563" t="n">
        <v>0.0615</v>
      </c>
      <c r="G563" t="n">
        <v>0.1163</v>
      </c>
      <c r="H563" t="inlineStr">
        <is>
          <t>This code appears to be a Java project that contains a class named `com.netflix.hystrix.metric.sample.CommandStreamTest`. The class has several methods, including a constructor, a `setUp()` method, and several test methods. It also imports several other classes from the `com.hystrix` package.
The `README` file</t>
        </is>
      </c>
      <c r="I563" t="n">
        <v>0.0052</v>
      </c>
      <c r="J563" t="n">
        <v>0.07140000000000001</v>
      </c>
      <c r="K563" t="n">
        <v>0.0877</v>
      </c>
      <c r="L563" t="inlineStr">
        <is>
          <t>The provided code defines a JUnit test class for testing Hystrix command metrics using the `com.netflix.hystrix` library. The class sets up a request context and creates a new instance of `HystrixCommand` with a group key and command key. It then executes the command and verifies that the correct events were emitted.
The code also</t>
        </is>
      </c>
      <c r="M563" t="n">
        <v>0.0034</v>
      </c>
      <c r="N563" t="n">
        <v>0.0312</v>
      </c>
      <c r="O563" t="n">
        <v>0.0794</v>
      </c>
    </row>
    <row r="564">
      <c r="A564" t="inlineStr">
        <is>
          <t>hystrix</t>
        </is>
      </c>
      <c r="B564" t="inlineStr">
        <is>
          <t>hystrix-core/src/test/java/com/netflix/hystrix/config/HystrixConfigurationStreamTest.java</t>
        </is>
      </c>
      <c r="C564">
        <f>HYPERLINK("https://github.com/Netflix/Hystrix/blob/master/hystrix-core/src/test/java/com/netflix/hystrix/config/HystrixConfigurationStreamTest.java")</f>
        <v/>
      </c>
      <c r="D564" t="inlineStr">
        <is>
          <t>This Java code appears to be part of a project that involves implementing various algorithms related to backend systems. The code uses several libraries such as Hystrix, which is a circuit breaker pattern implementation, and JUnit, which is a testing framework.
The code defines several classes, including `HystrixCommand`, `HystrixCommandGroupKey`, `HystrixCommandKey</t>
        </is>
      </c>
      <c r="E564" t="n">
        <v>0.0044</v>
      </c>
      <c r="F564" t="n">
        <v>0.1034</v>
      </c>
      <c r="G564" t="n">
        <v>0.1639</v>
      </c>
      <c r="H564" t="inlineStr">
        <is>
          <t>This code appears to be a Java package containing various classes related to implementing Hystrix, a fault tolerance library developed by Netflix. The package includes several classes that implement different aspects of Hystrix's functionality, such as configuration management and command execution.
The `com.netflix.hystrix.config` package contains classes related to configuring Hyst</t>
        </is>
      </c>
      <c r="I564" t="n">
        <v>0.0044</v>
      </c>
      <c r="J564" t="n">
        <v>0.129</v>
      </c>
      <c r="K564" t="n">
        <v>0.123</v>
      </c>
      <c r="L564" t="inlineStr">
        <is>
          <t>The provided code defines a class called `HystrixConfig` that extends `HystrixCommand`. It has several methods related to configuration management, including `get`, `set`, and `reset`. The class also uses the `HystrixConfigurationStream` class to retrieve and update configuration data from a remote server.</t>
        </is>
      </c>
      <c r="M564" t="n">
        <v>0.0045</v>
      </c>
      <c r="N564" t="n">
        <v>0.0408</v>
      </c>
      <c r="O564" t="n">
        <v>0.0885</v>
      </c>
    </row>
    <row r="565">
      <c r="A565" t="inlineStr">
        <is>
          <t>hystrix</t>
        </is>
      </c>
      <c r="B565" t="inlineStr">
        <is>
          <t>hystrix-core/src/test/java/com/netflix/hystrix/strategy/HystrixPluginsTest.java</t>
        </is>
      </c>
      <c r="C565">
        <f>HYPERLINK("https://github.com/Netflix/Hystrix/blob/master/hystrix-core/src/test/java/com/netflix/hystrix/strategy/HystrixPluginsTest.java")</f>
        <v/>
      </c>
      <c r="D565" t="inlineStr">
        <is>
          <t>This code appears to be part of a Java project that implements a strategy pattern using reflection and proxies. The `HystrixStrategy` class defines a base interface for implementing different strategies, such as caching or logging. The `DefaultHystrixStrategy` class provides a default implementation of these interfaces. The `HystrixInvokableCommand` class represents a command that can</t>
        </is>
      </c>
      <c r="E565" t="n">
        <v>0.0045</v>
      </c>
      <c r="F565" t="n">
        <v>0.0984</v>
      </c>
      <c r="G565" t="n">
        <v>0.16</v>
      </c>
      <c r="H565" t="inlineStr">
        <is>
          <t>This code defines a package called `com.netflix.hystrix.strategy`. It imports several classes from other packages, including `java.lang.reflect`, `java.net`, and `java.io`. The package also includes a README file that describes its purpose as a collection of backend software components.
The code defines a class called `Hyst</t>
        </is>
      </c>
      <c r="I565" t="n">
        <v>0.0055</v>
      </c>
      <c r="J565" t="n">
        <v>0.0678</v>
      </c>
      <c r="K565" t="n">
        <v>0.1293</v>
      </c>
      <c r="L565" t="inlineStr">
        <is>
          <t>The provided code defines a class that implements the `Strategy` interface from the Hystrix library. It creates a proxy object using Java's built-in Proxy mechanism, which allows it to intercept method calls made on the proxied object. The implementation of the `invoke()` method in this class handles the interception of method calls and performs some additional logic before calling the original method</t>
        </is>
      </c>
      <c r="M565" t="n">
        <v>0.0035</v>
      </c>
      <c r="N565" t="n">
        <v>0.0833</v>
      </c>
      <c r="O565" t="n">
        <v>0.1493</v>
      </c>
    </row>
    <row r="566">
      <c r="A566" t="inlineStr">
        <is>
          <t>hystrix</t>
        </is>
      </c>
      <c r="B566" t="inlineStr">
        <is>
          <t>hystrix-core/src/test/java/com/netflix/hystrix/strategy/properties/HystrixPropertyTest.java</t>
        </is>
      </c>
      <c r="C566">
        <f>HYPERLINK("https://github.com/Netflix/Hystrix/blob/master/hystrix-core/src/test/java/com/netflix/hystrix/strategy/properties/HystrixPropertyTest.java")</f>
        <v/>
      </c>
      <c r="D566" t="inlineStr">
        <is>
          <t>The code defines a JUnit test case named `testNested1` that tests the behavior of the `HystrixProperty` class from the `com.netflix.hystrix.strategy.properties` package. The test case creates two instances of the `HystrixProperty` class using the `Factory.asProperty()` method, passing in different values as arguments</t>
        </is>
      </c>
      <c r="E566" t="n">
        <v>0</v>
      </c>
      <c r="F566" t="n">
        <v>0</v>
      </c>
      <c r="G566" t="n">
        <v>0.0442</v>
      </c>
      <c r="H566" t="inlineStr">
        <is>
          <t>The code defines a JUnit test suite for testing the `com.netflix.hystrix.strategy.properties` package. It includes one test method named `testNested1`, which tests the behavior of a nested property object called `a`. The test asserts that the value returned by calling the `get()` method on the `a` property is equal to</t>
        </is>
      </c>
      <c r="I566" t="n">
        <v>0</v>
      </c>
      <c r="J566" t="n">
        <v>0</v>
      </c>
      <c r="K566" t="n">
        <v>0</v>
      </c>
      <c r="L566" t="inlineStr">
        <is>
          <t>The code defines a Java class called `HystrixProperty` that provides a way to store and retrieve properties as objects. It has a nested class called `Factory` that allows creating instances of `HystrixProperty`. The `testNested1()` method tests the creation of a property object using the factory and verifies that it returns the expected value when retrieved.</t>
        </is>
      </c>
      <c r="M566" t="n">
        <v>0.0033</v>
      </c>
      <c r="N566" t="n">
        <v>0.0317</v>
      </c>
      <c r="O566" t="n">
        <v>0.07870000000000001</v>
      </c>
    </row>
    <row r="567">
      <c r="A567" t="inlineStr">
        <is>
          <t>hystrix</t>
        </is>
      </c>
      <c r="B567" t="inlineStr">
        <is>
          <t>hystrix-core/src/test/java/com/netflix/hystrix/strategy/properties/HystrixPropertiesChainedArchaiusPropertyTest.java</t>
        </is>
      </c>
      <c r="C567">
        <f>HYPERLINK("https://github.com/Netflix/Hystrix/blob/master/hystrix-core/src/test/java/com/netflix/hystrix/strategy/properties/HystrixPropertiesChainedArchaiusPropertyTest.java")</f>
        <v/>
      </c>
      <c r="D567" t="inlineStr">
        <is>
          <t>The code defines a class called `HystrixPropertiesChainedArchaiusProperty` that extends `DynamicBooleanProperty`. It provides a way to chain multiple properties together using Archaius.
The constructor takes two arguments: a list of property names and a default value. When the get method is called, it iterates through the list of property names and returns the first non-</t>
        </is>
      </c>
      <c r="E567" t="n">
        <v>0.0034</v>
      </c>
      <c r="F567" t="n">
        <v>0.0323</v>
      </c>
      <c r="G567" t="n">
        <v>0.0794</v>
      </c>
      <c r="H567" t="inlineStr">
        <is>
          <t>This Java package `com.netflix.hystrix.strategy.properties` implements a chained property management system using Archaius. It provides a way to manage properties that can be changed dynamically during runtime. The package includes a class called `HystrixPropertiesChainedArchaiusProperty`, which extends the `DynamicBooleanProperty` class from Archaius. It</t>
        </is>
      </c>
      <c r="I567" t="n">
        <v>0.0054</v>
      </c>
      <c r="J567" t="n">
        <v>0.0755</v>
      </c>
      <c r="K567" t="n">
        <v>0.1327</v>
      </c>
      <c r="L567" t="inlineStr">
        <is>
          <t>The provided code defines a class called `HystrixPropertiesChainedArchaiusProperty` that extends the `HystrixPropertiesChainedProperty` class. It provides a way to chain together multiple properties from different sources using Archaius. The class has two constructors, one that takes a single property as input and another that takes a list of properties as input. The class also</t>
        </is>
      </c>
      <c r="M567" t="n">
        <v>0.0035</v>
      </c>
      <c r="N567" t="n">
        <v>0.0328</v>
      </c>
      <c r="O567" t="n">
        <v>0.08</v>
      </c>
    </row>
    <row r="568">
      <c r="A568" t="inlineStr">
        <is>
          <t>jabref</t>
        </is>
      </c>
      <c r="B568" t="inlineStr">
        <is>
          <t>build-logic/src/main/kotlin/JDKjsobjectDependencyMetadataRule.kt</t>
        </is>
      </c>
      <c r="C568">
        <f>HYPERLINK("https://github.com/JabRef/jabref/blob/master/build-logic/src/main/kotlin/JDKjsobjectDependencyMetadataRule.kt")</f>
        <v/>
      </c>
      <c r="D568" t="inlineStr">
        <is>
          <t>This is a Kotlin implementation of a Gradle plugin that adds target platform variants metadata to JVM dependencies in order to resolve conflicts between different versions of the same dependency. The plugin uses the `ComponentMetadataRule` interface to modify the metadata of each dependency that matches certain criteria, such as having a specific classifier, operating system, architecture, or minimum Java version. The plugin also uses the `</t>
        </is>
      </c>
      <c r="E568" t="n">
        <v>0.0028</v>
      </c>
      <c r="F568" t="n">
        <v>0.0548</v>
      </c>
      <c r="G568" t="n">
        <v>0.1087</v>
      </c>
      <c r="H568" t="inlineStr">
        <is>
          <t>This is a Gradle plugin that adds target platform variants metadata to dependency resolution rules in Java projects. The plugin is written in Kotlin and uses the Gradle API for building plugins. It has several dependencies, including Gradle's `api` and `implementation` configurations, as well as other third-party libraries such as Jackson and OkHttp.
The main entry point for the</t>
        </is>
      </c>
      <c r="I568" t="n">
        <v>0.0037</v>
      </c>
      <c r="J568" t="n">
        <v>0.08699999999999999</v>
      </c>
      <c r="K568" t="n">
        <v>0.1145</v>
      </c>
      <c r="L568" t="inlineStr">
        <is>
          <t>The provided code defines a Kotlin DSL rule for resolving JVM dependency conflicts by adding target platform variants metadata to dependencies that have conflicting versions. The rule is designed to work with Gradle's Dependency Resolution mechanism and is based on the `AddTargetPlatformVariantsMetadataRule` from the `jvm-dependency-conflict-resolution` project.
The</t>
        </is>
      </c>
      <c r="M568" t="n">
        <v>0.0039</v>
      </c>
      <c r="N568" t="n">
        <v>0.0339</v>
      </c>
      <c r="O568" t="n">
        <v>0.08400000000000001</v>
      </c>
    </row>
    <row r="569">
      <c r="A569" t="inlineStr">
        <is>
          <t>jabref</t>
        </is>
      </c>
      <c r="B569" t="inlineStr">
        <is>
          <t>jabsrv/src/main/java/module-info.java</t>
        </is>
      </c>
      <c r="C569">
        <f>HYPERLINK("https://github.com/JabRef/jabref/blob/master/jabsrv/src/main/java/module-info.java")</f>
        <v/>
      </c>
      <c r="D569" t="inlineStr">
        <is>
          <t>This is a Java module declaration file that defines the exported packages and their dependencies for a JAX-RS application. The `org.jabref.jabsrv` package exports two packages: `org.jabref.http.server` and `org.jabref.http.manager`. It also exports two subpackages under `org.jabref.http</t>
        </is>
      </c>
      <c r="E569" t="n">
        <v>0.007</v>
      </c>
      <c r="F569" t="n">
        <v>0.1111</v>
      </c>
      <c r="G569" t="n">
        <v>0.1402</v>
      </c>
      <c r="H569" t="inlineStr">
        <is>
          <t>This is a Java module-info file that defines the exported packages and dependencies for a JabRef server application. The `exports` keyword specifies which packages should be made available for use by other modules or applications. The `opens` keyword specifies which packages can be used by other modules or applications. The `requires` keyword specifies which dependencies must be met in order</t>
        </is>
      </c>
      <c r="I569" t="n">
        <v>0.0036</v>
      </c>
      <c r="J569" t="n">
        <v>0.08699999999999999</v>
      </c>
      <c r="K569" t="n">
        <v>0.1515</v>
      </c>
      <c r="L569" t="inlineStr">
        <is>
          <t>The provided Java module defines a JABRef HTTP server that exposes RESTful APIs for managing references. It exports several packages, including `org.jabref.http.server`, `org.jabref.http.manager`, and `org.jabref.http.dto`. The module also opens certain packages to other modules, such as `com.google</t>
        </is>
      </c>
      <c r="M569" t="n">
        <v>0.006</v>
      </c>
      <c r="N569" t="n">
        <v>0.0727</v>
      </c>
      <c r="O569" t="n">
        <v>0.0917</v>
      </c>
    </row>
    <row r="570">
      <c r="A570" t="inlineStr">
        <is>
          <t>jabref</t>
        </is>
      </c>
      <c r="B570" t="inlineStr">
        <is>
          <t>jabsrv/src/main/java/org/jabref/http/SrvStateManager.java</t>
        </is>
      </c>
      <c r="C570">
        <f>HYPERLINK("https://github.com/JabRef/jabref/blob/master/jabsrv/src/main/java/org/jabref/http/SrvStateManager.java")</f>
        <v/>
      </c>
      <c r="D570" t="inlineStr">
        <is>
          <t>This is an interface for managing the state of a JabRef application. It defines several methods that allow you to access and manipulate the selected entries, the active database, the list of open databases, and the index manager for each database. The interface also provides properties for tracking changes to these elements.</t>
        </is>
      </c>
      <c r="E570" t="n">
        <v>0.0042</v>
      </c>
      <c r="F570" t="n">
        <v>0.0667</v>
      </c>
      <c r="G570" t="n">
        <v>0.0806</v>
      </c>
      <c r="H570" t="inlineStr">
        <is>
          <t>This is an interface for a service state manager that provides various methods to manage the state of a service. The main functionalities include:
* Getting selected entries from the current database context.
* Retrieving the currently active database context.
* Retrieving the property of the active database context.
* Getting all open databases.
* Retrieving the index manager for a given database</t>
        </is>
      </c>
      <c r="I570" t="n">
        <v>0.0029</v>
      </c>
      <c r="J570" t="n">
        <v>0.0606</v>
      </c>
      <c r="K570" t="n">
        <v>0.0741</v>
      </c>
      <c r="L570" t="inlineStr">
        <is>
          <t>The provided code defines an interface for managing state within a JavaFX application. It provides methods for accessing and manipulating selected entries, databases, and other relevant data. The interface is used by various classes throughout the application to interact with the state of the application.</t>
        </is>
      </c>
      <c r="M570" t="n">
        <v>0.0041</v>
      </c>
      <c r="N570" t="n">
        <v>0.0377</v>
      </c>
      <c r="O570" t="n">
        <v>0.08550000000000001</v>
      </c>
    </row>
    <row r="571">
      <c r="A571" t="inlineStr">
        <is>
          <t>jabref</t>
        </is>
      </c>
      <c r="B571" t="inlineStr">
        <is>
          <t>jabsrv/src/main/java/org/jabref/http/JabRefSrvStateManager.java</t>
        </is>
      </c>
      <c r="C571">
        <f>HYPERLINK("https://github.com/JabRef/jabref/blob/master/jabsrv/src/main/java/org/jabref/http/JabRefSrvStateManager.java")</f>
        <v/>
      </c>
      <c r="D571" t="inlineStr">
        <is>
          <t>The `JabRefSrvStateManager` class is responsible for managing the state of the JabRef application. It provides methods to access the currently open databases, the active database, and the selected entries. Additionally, it has a method to retrieve the index manager for a given database context.
The `getOpenDatabases()` method returns an empty observable list of bib</t>
        </is>
      </c>
      <c r="E571" t="n">
        <v>0.0034</v>
      </c>
      <c r="F571" t="n">
        <v>0.0323</v>
      </c>
      <c r="G571" t="n">
        <v>0.0397</v>
      </c>
      <c r="H571" t="inlineStr">
        <is>
          <t>This is Java code for a server-side state manager in a web application using the JabRef library. The code defines a `JabRefSrvStateManager` class that implements the `SrvStateManager` interface. It provides methods to manage the state of the server-side application, including getting a list of open databases, setting the active database, and getting a list of</t>
        </is>
      </c>
      <c r="I571" t="n">
        <v>0.0044</v>
      </c>
      <c r="J571" t="n">
        <v>0.09229999999999999</v>
      </c>
      <c r="K571" t="n">
        <v>0.1575</v>
      </c>
      <c r="L571" t="inlineStr">
        <is>
          <t>The `JabRefSrvStateManager` class manages the state of the JabRef application by providing methods for accessing open databases, the currently active database, selected entries, and index manager objects. It is used as a service provider in the JabRef application's architecture.</t>
        </is>
      </c>
      <c r="M571" t="n">
        <v>0.0047</v>
      </c>
      <c r="N571" t="n">
        <v>0.0417</v>
      </c>
      <c r="O571" t="n">
        <v>0.0901</v>
      </c>
    </row>
    <row r="572">
      <c r="A572" t="inlineStr">
        <is>
          <t>jabref</t>
        </is>
      </c>
      <c r="B572" t="inlineStr">
        <is>
          <t>jabsrv/src/main/java/org/jabref/http/JabrefMediaType.java</t>
        </is>
      </c>
      <c r="C572">
        <f>HYPERLINK("https://github.com/JabRef/jabref/blob/master/jabsrv/src/main/java/org/jabref/http/JabrefMediaType.java")</f>
        <v/>
      </c>
      <c r="D572" t="inlineStr">
        <is>
          <t>The provided code defines two constants in the `JabrefMediaType` class that represent media types for BibTeX files and CSL items in JSON format. These media types are used to handle requests and responses in the JabRef HTTP server.</t>
        </is>
      </c>
      <c r="E572" t="n">
        <v>0.0049</v>
      </c>
      <c r="F572" t="n">
        <v>0.0435</v>
      </c>
      <c r="G572" t="n">
        <v>0.09089999999999999</v>
      </c>
      <c r="H572" t="inlineStr">
        <is>
          <t>This Java file defines a class called JabrefMediaType that provides constants for commonly used media types in JabRef, such as application/x-bibtex and application/x-bibtex-library-csl+json. The complexity of this code is O(N), where N is the number of media types defined by the class. The comments describe the implementation of core algorithms</t>
        </is>
      </c>
      <c r="I572" t="n">
        <v>0.0048</v>
      </c>
      <c r="J572" t="n">
        <v>0.09089999999999999</v>
      </c>
      <c r="K572" t="n">
        <v>0.2049</v>
      </c>
      <c r="L572" t="inlineStr">
        <is>
          <t>The provided code defines two constants for media types used by JabRef, specifically `BIBTEX` and `JSON_CSL_ITEM`. These media types are used to represent bibliographic data in different formats.</t>
        </is>
      </c>
      <c r="M572" t="n">
        <v>0.0067</v>
      </c>
      <c r="N572" t="n">
        <v>0.0526</v>
      </c>
      <c r="O572" t="n">
        <v>0.1</v>
      </c>
    </row>
    <row r="573">
      <c r="A573" t="inlineStr">
        <is>
          <t>jabref</t>
        </is>
      </c>
      <c r="B573" t="inlineStr">
        <is>
          <t>jabsrv/src/main/java/org/jabref/http/manager/package-info.java</t>
        </is>
      </c>
      <c r="C573">
        <f>HYPERLINK("https://github.com/JabRef/jabref/blob/master/jabsrv/src/main/java/org/jabref/http/manager/package-info.java")</f>
        <v/>
      </c>
      <c r="D573" t="inlineStr">
        <is>
          <t>This is a Java project that implements a server for a remote database manager. The server provides functionality for managing a remote database, including adding, removing, and retrieving data from the database. The implementation is based on the JabRef library, which is a popular reference management tool used by researchers in various fields. The server uses O(N) complexity and has been implemented using Java</t>
        </is>
      </c>
      <c r="E573" t="n">
        <v>0.004</v>
      </c>
      <c r="F573" t="n">
        <v>0.1096</v>
      </c>
      <c r="G573" t="n">
        <v>0.1471</v>
      </c>
      <c r="H573" t="inlineStr">
        <is>
          <t>This is a Java project that implements a set of backend services using the JabRef library for remote management. The main class, `HttpManager`, provides a RESTful API for managing bibliographic references in JabRef format. It includes methods for adding, removing, and searching for references, as well as other utility functions for working with reference data. The project's complexity is O</t>
        </is>
      </c>
      <c r="I573" t="n">
        <v>0.004</v>
      </c>
      <c r="J573" t="n">
        <v>0.08699999999999999</v>
      </c>
      <c r="K573" t="n">
        <v>0.1515</v>
      </c>
      <c r="L573" t="inlineStr">
        <is>
          <t>The provided code is part of a Java application that implements a remote server for JabRef, a reference management tool. It appears to be responsible for handling HTTP requests and communicating with clients over a network. The code includes implementations of various algorithms related to data processing and communication, as indicated by the comments and commit messages. The overall complexity of the code is O(N), indicating that it</t>
        </is>
      </c>
      <c r="M573" t="n">
        <v>0.0032</v>
      </c>
      <c r="N573" t="n">
        <v>0.0519</v>
      </c>
      <c r="O573" t="n">
        <v>0.1071</v>
      </c>
    </row>
    <row r="574">
      <c r="A574" t="inlineStr">
        <is>
          <t>jabref</t>
        </is>
      </c>
      <c r="B574" t="inlineStr">
        <is>
          <t>jabsrv/src/main/java/org/jabref/http/manager/HttpServerThread.java</t>
        </is>
      </c>
      <c r="C574">
        <f>HYPERLINK("https://github.com/JabRef/jabref/blob/master/jabsrv/src/main/java/org/jabref/http/manager/HttpServerThread.java")</f>
        <v/>
      </c>
      <c r="D574" t="inlineStr">
        <is>
          <t>The `HttpServerThread` class is a Java thread that wraps around a Grizzly HTTP server and provides a way to start and stop it. It takes in a `Server` object, which represents the actual HTTP server, and a `SrvStateManager` object, which manages the state of the server. Additionally, it also takes in a `URI` object that</t>
        </is>
      </c>
      <c r="E574" t="n">
        <v>0.0033</v>
      </c>
      <c r="F574" t="n">
        <v>0.0317</v>
      </c>
      <c r="G574" t="n">
        <v>0.0394</v>
      </c>
      <c r="H574" t="inlineStr">
        <is>
          <t>The code in this repository appears to be a Java implementation for a web service using Jakarta RESTful Web Services (Jakarta RWS). It defines a `HttpServerThread` class that extends the `Thread` class and provides a method to start the HTTP server. The class also has several instance variables, including a `Server` object, a `SrvStateManager` object,</t>
        </is>
      </c>
      <c r="I574" t="n">
        <v>0.0033</v>
      </c>
      <c r="J574" t="n">
        <v>0.09520000000000001</v>
      </c>
      <c r="K574" t="n">
        <v>0.1575</v>
      </c>
      <c r="L574" t="inlineStr">
        <is>
          <t>The `HttpServerThread` class is a Java thread that wraps around a Grizzly HTTP server, allowing for graceful shutdown during JabRef's closure. It takes several dependencies, including a `Server`, `SrvStateManager`, `URI`, `UiMessageHandler`, and `HttpServer`. The class starts the HTTP server upon construction and provides a method</t>
        </is>
      </c>
      <c r="M574" t="n">
        <v>0.0041</v>
      </c>
      <c r="N574" t="n">
        <v>0.037</v>
      </c>
      <c r="O574" t="n">
        <v>0.0427</v>
      </c>
    </row>
    <row r="575">
      <c r="A575" t="inlineStr">
        <is>
          <t>jabref</t>
        </is>
      </c>
      <c r="B575" t="inlineStr">
        <is>
          <t>jabsrv/src/main/java/org/jabref/http/manager/HttpServerManager.java</t>
        </is>
      </c>
      <c r="C575">
        <f>HYPERLINK("https://github.com/JabRef/jabref/blob/master/jabsrv/src/main/java/org/jabref/http/manager/HttpServerManager.java")</f>
        <v/>
      </c>
      <c r="D575" t="inlineStr">
        <is>
          <t>The `HttpServerManager` class manages the lifecycle of a `HttpServerThread`, which runs in the background and listens for incoming HTTP requests on a specified port. It provides several methods to control the server's state, such as starting and stopping it, and checking its current status. Additionally, it also provides a method to set up the server with a specific configuration, including</t>
        </is>
      </c>
      <c r="E575" t="n">
        <v>0.003</v>
      </c>
      <c r="F575" t="n">
        <v>0.029</v>
      </c>
      <c r="G575" t="n">
        <v>0.07580000000000001</v>
      </c>
      <c r="H575" t="inlineStr">
        <is>
          <t>The `HttpServerManager` class manages the lifecycle of the HTTP server thread by implementing various life cycle methods such as `start()` and `close()`. It also provides observer methods to check whether the server is open or has been started before. Additionally, it includes annotations from the JSpecify library for handling nullability in the code.</t>
        </is>
      </c>
      <c r="I575" t="n">
        <v>0.0035</v>
      </c>
      <c r="J575" t="n">
        <v>0.06560000000000001</v>
      </c>
      <c r="K575" t="n">
        <v>0.08</v>
      </c>
      <c r="L575" t="inlineStr">
        <is>
          <t>The provided Java code defines a `HttpServerManager` class that manages the lifecycle of an HTTP server thread. It provides several methods for starting and stopping the server, as well as accessing the underlying `HttpServerThread`. The manager also observes certain states of the server and provides notifications when these states change.</t>
        </is>
      </c>
      <c r="M575" t="n">
        <v>0.0037</v>
      </c>
      <c r="N575" t="n">
        <v>0.0345</v>
      </c>
      <c r="O575" t="n">
        <v>0.041</v>
      </c>
    </row>
    <row r="576">
      <c r="A576" t="inlineStr">
        <is>
          <t>jabref</t>
        </is>
      </c>
      <c r="B576" t="inlineStr">
        <is>
          <t>jabsrv/src/main/java/org/jabref/http/server/Server.java</t>
        </is>
      </c>
      <c r="C576">
        <f>HYPERLINK("https://github.com/JabRef/jabref/blob/master/jabsrv/src/main/java/org/jabref/http/server/Server.java")</f>
        <v/>
      </c>
      <c r="D576" t="inlineStr">
        <is>
          <t>This is a Java project that provides a RESTful API for managing bibliographic information. The main class, `Main`, sets up the HTTP server and configures it to serve various resources such as entries, libraries, and files. It also initializes the SSL context and starts the server.
The project includes several packages, including `org.jabref.http.server`</t>
        </is>
      </c>
      <c r="E576" t="n">
        <v>0.0041</v>
      </c>
      <c r="F576" t="n">
        <v>0.0625</v>
      </c>
      <c r="G576" t="n">
        <v>0.08</v>
      </c>
      <c r="H576" t="inlineStr">
        <is>
          <t>This is a Java project that provides a RESTful API for managing bibliographic data in JabRef. The API includes endpoints for retrieving, updating, and deleting entries, as well as for accessing various resources related to the library (e.g., libraries, maps, etc.). The project also includes support for SSL encryption using a custom SSL context.
The main entry point</t>
        </is>
      </c>
      <c r="I576" t="n">
        <v>0.0037</v>
      </c>
      <c r="J576" t="n">
        <v>0.0597</v>
      </c>
      <c r="K576" t="n">
        <v>0.1154</v>
      </c>
      <c r="L576" t="inlineStr">
        <is>
          <t>The provided code is part of a Java application that serves as a RESTful API for JabRef, a reference management tool. It defines various resources (e.g., EntriesResource, LibraryResource, MapResource), which can be accessed via HTTP requests. The code also includes configuration options such as SSLContext, GsonFactory, and UiMessageHandler. Overall, the goal</t>
        </is>
      </c>
      <c r="M576" t="n">
        <v>0.0036</v>
      </c>
      <c r="N576" t="n">
        <v>0.0333</v>
      </c>
      <c r="O576" t="n">
        <v>0.0813</v>
      </c>
    </row>
    <row r="577">
      <c r="A577" t="inlineStr">
        <is>
          <t>jabref</t>
        </is>
      </c>
      <c r="B577" t="inlineStr">
        <is>
          <t>jabsrv/src/main/java/org/jabref/http/server/CORSFilter.java</t>
        </is>
      </c>
      <c r="C577">
        <f>HYPERLINK("https://github.com/JabRef/jabref/blob/master/jabsrv/src/main/java/org/jabref/http/server/CORSFilter.java")</f>
        <v/>
      </c>
      <c r="D577" t="inlineStr">
        <is>
          <t>This is a Java implementation of a CORS (Cross-Origin Resource Sharing) filter for RESTful APIs using Jakarta Web Services (JWS). The `CORSFilter` class implements the `ContainerResponseFilter` interface from JWS and provides methods to handle incoming requests and outgoing responses.
The `filter()` method takes two parameters: `requestContext`, which represents</t>
        </is>
      </c>
      <c r="E577" t="n">
        <v>0.005</v>
      </c>
      <c r="F577" t="n">
        <v>0.1053</v>
      </c>
      <c r="G577" t="n">
        <v>0.1667</v>
      </c>
      <c r="H577" t="inlineStr">
        <is>
          <t>This is a Java RESTful web service that provides a container for handling HTTP requests and responses. It uses the Jakarta Web Services (JWS) API to implement the Container Response Filter interface, which allows it to intercept and modify HTTP responses. The filter adds several headers to each response, including Access-Control-Allow-Origin, Access-Control-Allow-Methods, Access-Control-</t>
        </is>
      </c>
      <c r="I577" t="n">
        <v>0.0041</v>
      </c>
      <c r="J577" t="n">
        <v>0.0882</v>
      </c>
      <c r="K577" t="n">
        <v>0.16</v>
      </c>
      <c r="L577" t="inlineStr">
        <is>
          <t>The provided Java code defines a CORS (Cross-Origin Resource Sharing) filter for JAX-RS applications. It allows requests from any origin by setting the `Access-Control-Allow-Origin` header to `"*"`, and enables methods GET, POST, PUT, DELETE, and OPTIONS by setting the `Access-Control-Allow-Methods` header to</t>
        </is>
      </c>
      <c r="M577" t="n">
        <v>0.0044</v>
      </c>
      <c r="N577" t="n">
        <v>0.0351</v>
      </c>
      <c r="O577" t="n">
        <v>0.0439</v>
      </c>
    </row>
    <row r="578">
      <c r="A578" t="inlineStr">
        <is>
          <t>jabref</t>
        </is>
      </c>
      <c r="B578" t="inlineStr">
        <is>
          <t>jabsrv/src/main/java/org/jabref/http/server/command/FocusCommand.java</t>
        </is>
      </c>
      <c r="C578">
        <f>HYPERLINK("https://github.com/JabRef/jabref/blob/master/jabsrv/src/main/java/org/jabref/http/server/command/FocusCommand.java")</f>
        <v/>
      </c>
      <c r="D578" t="inlineStr">
        <is>
          <t>This is a Java implementation of a REST API endpoint for focusing on a specific element in a UI. The `FocusCommand` class defines a command that can be executed by the server to focus on a particular element. When the command is executed, it returns a response indicating whether the operation was successful or not. The code uses Jackson annotations to define the JSON type name of the command and its</t>
        </is>
      </c>
      <c r="E578" t="n">
        <v>0.003</v>
      </c>
      <c r="F578" t="n">
        <v>0.0759</v>
      </c>
      <c r="G578" t="n">
        <v>0.1399</v>
      </c>
      <c r="H578" t="inlineStr">
        <is>
          <t>The provided code is part of a Java web service that implements a command pattern for handling HTTP requests. It defines a `FocusCommand` class that extends the `Command` abstract class and overrides its `execute()` method to handle focus-related commands. When executed, it returns a response object generated by executing the `UiCommand.Focus()` command. The complexity of this code is O</t>
        </is>
      </c>
      <c r="I578" t="n">
        <v>0.0037</v>
      </c>
      <c r="J578" t="n">
        <v>0.058</v>
      </c>
      <c r="K578" t="n">
        <v>0.1527</v>
      </c>
      <c r="L578" t="inlineStr">
        <is>
          <t>The provided code defines a Java class named `FocusCommand` that is part of a JabRef HTTP server application. It represents a command for focusing on a specific entry in the UI. When executed, the command creates a new instance of `UiCommand.Focus`, which is then passed to the `execute()` method, which returns a response object representing the result of the operation.</t>
        </is>
      </c>
      <c r="M578" t="n">
        <v>0</v>
      </c>
      <c r="N578" t="n">
        <v>0</v>
      </c>
      <c r="O578" t="n">
        <v>0.0379</v>
      </c>
    </row>
    <row r="579">
      <c r="A579" t="inlineStr">
        <is>
          <t>jabref</t>
        </is>
      </c>
      <c r="B579" t="inlineStr">
        <is>
          <t>jabsrv/src/main/java/org/jabref/http/server/command/SelectEntriesCommand.java</t>
        </is>
      </c>
      <c r="C579">
        <f>HYPERLINK("https://github.com/JabRef/jabref/blob/master/jabsrv/src/main/java/org/jabref/http/server/command/SelectEntriesCommand.java")</f>
        <v/>
      </c>
      <c r="D579" t="inlineStr">
        <is>
          <t>The `SelectEntriesCommand` class is a part of the JabRef HTTP server project. It represents a command that allows the user to select specific entries in a bibliography database based on their citation keys.
The class has several fields and methods, including:
* `serviceLocator`: A reference to the service locator object used to access other services in the</t>
        </is>
      </c>
      <c r="E579" t="n">
        <v>0.0032</v>
      </c>
      <c r="F579" t="n">
        <v>0.0312</v>
      </c>
      <c r="G579" t="n">
        <v>0.0775</v>
      </c>
      <c r="H579" t="inlineStr">
        <is>
          <t>This Java code defines a RESTful web service that allows clients to select entries from a bibliographic database. The service is based on the JAX-RS (Java API for XML Web Services) specification and uses Jackson for JSON serialization and deserialization. It also utilizes the HK2 dependency injection framework to manage dependencies between classes.
The `SelectEntriesCommand` class</t>
        </is>
      </c>
      <c r="I579" t="n">
        <v>0.0039</v>
      </c>
      <c r="J579" t="n">
        <v>0.0615</v>
      </c>
      <c r="K579" t="n">
        <v>0.1172</v>
      </c>
      <c r="L579" t="inlineStr">
        <is>
          <t>The `SelectEntriesCommand` class is part of JabRef's HTTP server implementation. It handles incoming requests for selecting entries based on their citation keys. The command takes a list of citation keys as input and returns a response containing the selected entries. The command also has a dependency injection mechanism using HK2, which allows for easier testing and mocking of dependencies.</t>
        </is>
      </c>
      <c r="M579" t="n">
        <v>0.0031</v>
      </c>
      <c r="N579" t="n">
        <v>0.0588</v>
      </c>
      <c r="O579" t="n">
        <v>0.07630000000000001</v>
      </c>
    </row>
    <row r="580">
      <c r="A580" t="inlineStr">
        <is>
          <t>jabref</t>
        </is>
      </c>
      <c r="B580" t="inlineStr">
        <is>
          <t>jabsrv/src/main/java/org/jabref/http/server/command/OpenLibrariesCommand.java</t>
        </is>
      </c>
      <c r="C580">
        <f>HYPERLINK("https://github.com/JabRef/jabref/blob/master/jabsrv/src/main/java/org/jabref/http/server/command/OpenLibrariesCommand.java")</f>
        <v/>
      </c>
      <c r="D580" t="inlineStr">
        <is>
          <t>The code defines a Java class called `OpenLibrariesCommand` that implements the `Command` interface from the JabRef library for managing bibliographic references in academic research papers. It is used to open one or more libraries (represented by their file paths) in the JabRef application.
The `execute()` method takes no arguments and returns a `Response`</t>
        </is>
      </c>
      <c r="E580" t="n">
        <v>0.0041</v>
      </c>
      <c r="F580" t="n">
        <v>0.06560000000000001</v>
      </c>
      <c r="G580" t="n">
        <v>0.12</v>
      </c>
      <c r="H580" t="inlineStr">
        <is>
          <t>The provided code is part of a Java web service that implements a command pattern for handling HTTP requests. It defines a `OpenLibrariesCommand` class that extends the `Command` abstract class and has a single constructor that takes a list of file paths as input. When executed, it converts the list of file paths to a list of `Path` objects using the `Stream` API and</t>
        </is>
      </c>
      <c r="I580" t="n">
        <v>0.0034</v>
      </c>
      <c r="J580" t="n">
        <v>0.0556</v>
      </c>
      <c r="K580" t="n">
        <v>0.1103</v>
      </c>
      <c r="L580" t="inlineStr">
        <is>
          <t>The provided code defines a command called "OpenLibrariesCommand" that is used to open libraries in JabRef's HTTP server. It takes a list of library paths as input and returns a response object containing the result of executing the command. The command uses Jackson annotations to deserialize JSON data into Java objects, and it utilizes Jakarta RESTful Web Services (Jakarta</t>
        </is>
      </c>
      <c r="M580" t="n">
        <v>0.0031</v>
      </c>
      <c r="N580" t="n">
        <v>0.0294</v>
      </c>
      <c r="O580" t="n">
        <v>0.07630000000000001</v>
      </c>
    </row>
    <row r="581">
      <c r="A581" t="inlineStr">
        <is>
          <t>jabref</t>
        </is>
      </c>
      <c r="B581" t="inlineStr">
        <is>
          <t>jabsrv/src/main/java/org/jabref/http/server/command/Command.java</t>
        </is>
      </c>
      <c r="C581">
        <f>HYPERLINK("https://github.com/JabRef/jabref/blob/master/jabsrv/src/main/java/org/jabref/http/server/command/Command.java")</f>
        <v/>
      </c>
      <c r="D581" t="inlineStr">
        <is>
          <t>The provided code is a Java class named `Command`, which serves as the base class for other command classes in the JabRef HTTP server project. It defines several fields and methods that are used to handle user input and execute commands on the server-side.
The `Command` class has two main responsibilities:
1. Handling JSON deserialization using Jackson'</t>
        </is>
      </c>
      <c r="E581" t="n">
        <v>0.0032</v>
      </c>
      <c r="F581" t="n">
        <v>0.0303</v>
      </c>
      <c r="G581" t="n">
        <v>0.0775</v>
      </c>
      <c r="H581" t="inlineStr">
        <is>
          <t>This is a Java library containing backend software components for a web application. The main component of this library is the `Command` class, which is used to represent different types of commands that can be executed by the server. The `Command` class has several subclasses, each representing a specific type of command (e.g., `SelectEntriesCommand`, `OpenLibrariesCommand`,</t>
        </is>
      </c>
      <c r="I581" t="n">
        <v>0.004</v>
      </c>
      <c r="J581" t="n">
        <v>0.0625</v>
      </c>
      <c r="K581" t="n">
        <v>0.1181</v>
      </c>
      <c r="L581" t="inlineStr">
        <is>
          <t>The provided code is part of a Java application that handles HTTP requests and executes commands based on the received request data. It defines an abstract class called `Command`, which provides a base implementation for handling different types of commands. The class has several fields and methods, including a constructor, getters, setters, and a method called `execute()` that takes a list of arguments as input and returns</t>
        </is>
      </c>
      <c r="M581" t="n">
        <v>0.0027</v>
      </c>
      <c r="N581" t="n">
        <v>0.0533</v>
      </c>
      <c r="O581" t="n">
        <v>0.1079</v>
      </c>
    </row>
    <row r="582">
      <c r="A582" t="inlineStr">
        <is>
          <t>jabref</t>
        </is>
      </c>
      <c r="B582" t="inlineStr">
        <is>
          <t>jabsrv/src/main/java/org/jabref/http/server/command/CommandResource.java</t>
        </is>
      </c>
      <c r="C582">
        <f>HYPERLINK("https://github.com/JabRef/jabref/blob/master/jabsrv/src/main/java/org/jabref/http/server/command/CommandResource.java")</f>
        <v/>
      </c>
      <c r="D582" t="inlineStr">
        <is>
          <t>This is a Java RESTful web service that provides a JSON endpoint for executing commands. The service uses Jakarta HK2 dependency injection to inject a `ServiceLocator` instance into each `Command` instance before it is executed. The `dispatchCommand()` method takes in a JSON string representing a `Command` object and attempts to deserialize it using Jackson's `ObjectMapper`. If</t>
        </is>
      </c>
      <c r="E582" t="n">
        <v>0.0039</v>
      </c>
      <c r="F582" t="n">
        <v>0.0615</v>
      </c>
      <c r="G582" t="n">
        <v>0.1172</v>
      </c>
      <c r="H582" t="inlineStr">
        <is>
          <t>This is a Java RESTful web service that implements a command pattern for executing commands received in JSON format. The service locates the appropriate command implementation based on the type of command specified in the JSON payload and executes it using the `execute()` method. If any errors occur during execution, the service returns a server error response with the exception message.</t>
        </is>
      </c>
      <c r="I582" t="n">
        <v>0.0039</v>
      </c>
      <c r="J582" t="n">
        <v>0.08699999999999999</v>
      </c>
      <c r="K582" t="n">
        <v>0.1504</v>
      </c>
      <c r="L582" t="inlineStr">
        <is>
          <t>The provided code is part of a Jakarta RESTful web service that handles incoming JSON commands by deserializing them into Java objects using Jackson library, setting up a service locator for dependency injection, and then executing the command using the injected dependencies. The service locator is used to resolve any required services needed by the command. If there's an error during deserialization or execution</t>
        </is>
      </c>
      <c r="M582" t="n">
        <v>0.0028</v>
      </c>
      <c r="N582" t="n">
        <v>0.0274</v>
      </c>
      <c r="O582" t="n">
        <v>0.0735</v>
      </c>
    </row>
    <row r="583">
      <c r="A583" t="inlineStr">
        <is>
          <t>jabref</t>
        </is>
      </c>
      <c r="B583" t="inlineStr">
        <is>
          <t>jabsrv/src/main/java/org/jabref/http/server/cayw/CitationProperties.java</t>
        </is>
      </c>
      <c r="C583">
        <f>HYPERLINK("https://github.com/JabRef/jabref/blob/master/jabsrv/src/main/java/org/jabref/http/server/cayw/CitationProperties.java")</f>
        <v/>
      </c>
      <c r="D583" t="inlineStr">
        <is>
          <t>The `CitationProperties` class is a Java bean that represents the properties associated with a citation in JabRef. It has several fields for storing information such as the type of locator (e.g., DOI or URL), the value of the locator, the prefix and suffix to be used when formatting the citation, and whether or not to omit the author'</t>
        </is>
      </c>
      <c r="E583" t="n">
        <v>0.0031</v>
      </c>
      <c r="F583" t="n">
        <v>0.0299</v>
      </c>
      <c r="G583" t="n">
        <v>0.0769</v>
      </c>
      <c r="H583" t="inlineStr">
        <is>
          <t>This Java file defines a `CitationProperties` class that represents properties for citing sources in a bibliography. It has several fields and methods to manipulate these properties, including:
* `locatorType`: A type of citation locator (e.g., DOI, ISBN, etc.)
* `locatorValue`: The value of the citation locator</t>
        </is>
      </c>
      <c r="I583" t="n">
        <v>0.0048</v>
      </c>
      <c r="J583" t="n">
        <v>0.0755</v>
      </c>
      <c r="K583" t="n">
        <v>0.0847</v>
      </c>
      <c r="L583" t="inlineStr">
        <is>
          <t>The provided code defines a Java class called `CitationProperties` that represents properties for citing a reference in a bibliography. It has several fields such as `locatorType`, `locatorValue`, `prefix`, `suffix`, and `omitAuthor`. The class also provides methods for setting and getting these values, as well as a method for creating a new instance of</t>
        </is>
      </c>
      <c r="M583" t="n">
        <v>0.0035</v>
      </c>
      <c r="N583" t="n">
        <v>0.0328</v>
      </c>
      <c r="O583" t="n">
        <v>0.04</v>
      </c>
    </row>
    <row r="584">
      <c r="A584" t="inlineStr">
        <is>
          <t>jabref</t>
        </is>
      </c>
      <c r="B584" t="inlineStr">
        <is>
          <t>jabsrv/src/main/java/org/jabref/http/server/cayw/CAYWQueryParams.java</t>
        </is>
      </c>
      <c r="C584">
        <f>HYPERLINK("https://github.com/JabRef/jabref/blob/master/jabsrv/src/main/java/org/jabref/http/server/cayw/CAYWQueryParams.java")</f>
        <v/>
      </c>
      <c r="D584" t="inlineStr">
        <is>
          <t>The `CAYWQueryParams` class is used to parse query parameters from HTTP requests in order to perform various actions related to Zotero's Cite as You Write (CAYW) feature. It provides methods for accessing the following parameters:
* `probe`: A string that indicates whether the request is a probe or not.
* `format`: A</t>
        </is>
      </c>
      <c r="E584" t="n">
        <v>0</v>
      </c>
      <c r="F584" t="n">
        <v>0</v>
      </c>
      <c r="G584" t="n">
        <v>0.0403</v>
      </c>
      <c r="H584" t="inlineStr">
        <is>
          <t>This is a Java package named "CAYWQueryParams" that provides a set of query parameters for use in a web server. The package includes several fields that can be used to configure the behavior of the server, such as the `probe`, `format`, `clipboard`, `command`, `minimize`, `texstudio`, `selected`, `select`, `libraryPath</t>
        </is>
      </c>
      <c r="I584" t="n">
        <v>0.0038</v>
      </c>
      <c r="J584" t="n">
        <v>0.0357</v>
      </c>
      <c r="K584" t="n">
        <v>0.0833</v>
      </c>
      <c r="L584" t="inlineStr">
        <is>
          <t>The `CAYWQueryParams` class is used for parsing query parameters from HTTP requests related to Citation Action YAML (CAYW). It provides methods for accessing various parameters such as "probe", "format", "clipboard", "command", "minimize", "texstudio", "selected", "select", "librarypath", "libraryid", and "application</t>
        </is>
      </c>
      <c r="M584" t="n">
        <v>0.0047</v>
      </c>
      <c r="N584" t="n">
        <v>0.0426</v>
      </c>
      <c r="O584" t="n">
        <v>0.0901</v>
      </c>
    </row>
    <row r="585">
      <c r="A585" t="inlineStr">
        <is>
          <t>jabref</t>
        </is>
      </c>
      <c r="B585" t="inlineStr">
        <is>
          <t>jabsrv/src/main/java/org/jabref/http/server/cayw/CAYWResource.java</t>
        </is>
      </c>
      <c r="C585">
        <f>HYPERLINK("https://github.com/JabRef/jabref/blob/master/jabsrv/src/main/java/org/jabref/http/server/cayw/CAYWResource.java")</f>
        <v/>
      </c>
      <c r="D585" t="inlineStr">
        <is>
          <t>This is a Java project that provides a library for working with bibliographic data in the CAYW format (a custom format used by JabRef). The main entry point to the library is the `org.jabref.http.server.cayw` package, which contains classes related to parsing, formatting, and manipulating bibliographic entries in this format.
The</t>
        </is>
      </c>
      <c r="E585" t="n">
        <v>0.0044</v>
      </c>
      <c r="F585" t="n">
        <v>0.0645</v>
      </c>
      <c r="G585" t="n">
        <v>0.123</v>
      </c>
      <c r="H585" t="inlineStr">
        <is>
          <t>This Java package `org.jabref.http.server.cayw` contains various classes and methods for implementing a web server that serves data from a database in a specific format (CAYW). The main class is `CAYWServer`, which extends `javafx.application.Application`. It has several dependencies on other packages, including `org.jabref.</t>
        </is>
      </c>
      <c r="I585" t="n">
        <v>0.0052</v>
      </c>
      <c r="J585" t="n">
        <v>0.0702</v>
      </c>
      <c r="K585" t="n">
        <v>0.1316</v>
      </c>
      <c r="L585" t="inlineStr">
        <is>
          <t>The provided Java code is part of a web server that serves as a client for the Citation Author-Year (CAYW) format used by JabRef. It uses various libraries such as JavaFX, AWT, and NIO to handle user input and output, and implements the CAYWFormatter class to parse and format bibliographic entries according to the CAYW standard.</t>
        </is>
      </c>
      <c r="M585" t="n">
        <v>0.0039</v>
      </c>
      <c r="N585" t="n">
        <v>0.0615</v>
      </c>
      <c r="O585" t="n">
        <v>0.1172</v>
      </c>
    </row>
    <row r="586">
      <c r="A586" t="inlineStr">
        <is>
          <t>jabref</t>
        </is>
      </c>
      <c r="B586" t="inlineStr">
        <is>
          <t>jabsrv/src/main/java/org/jabref/http/server/cayw/LocatorType.java</t>
        </is>
      </c>
      <c r="C586">
        <f>HYPERLINK("https://github.com/JabRef/jabref/blob/master/jabsrv/src/main/java/org/jabref/http/server/cayw/LocatorType.java")</f>
        <v/>
      </c>
      <c r="D586" t="inlineStr">
        <is>
          <t>The provided code defines an enumeration called `LocatorType` that represents different types of locators used in bibliographic citations. Each type has a corresponding display name and abbreviation. The code also includes constructors for each type, which take the display name and abbreviation as arguments. Overall, this code appears to be related to the implementation of a citation management system or library</t>
        </is>
      </c>
      <c r="E586" t="n">
        <v>0.003</v>
      </c>
      <c r="F586" t="n">
        <v>0.058</v>
      </c>
      <c r="G586" t="n">
        <v>0.1504</v>
      </c>
      <c r="H586" t="inlineStr">
        <is>
          <t>This is an enumeration class called `LocatorType` in Java that defines a set of constants representing different types of locators used in bibliographic citations. Each constant has a display name and an abbreviation associated with it. The class also includes a constructor method to initialize each instance with its corresponding display name and abbreviation. Overall, this class provides a way to represent and manipulate</t>
        </is>
      </c>
      <c r="I586" t="n">
        <v>0.0034</v>
      </c>
      <c r="J586" t="n">
        <v>0.0556</v>
      </c>
      <c r="K586" t="n">
        <v>0.1103</v>
      </c>
      <c r="L586" t="inlineStr">
        <is>
          <t>The `LocatorType` enumeration defines a set of constants representing different types of locators used in bibliographic citations. Each constant has a display name and an abbreviation that can be used to represent the type in various contexts.</t>
        </is>
      </c>
      <c r="M586" t="n">
        <v>0.005</v>
      </c>
      <c r="N586" t="n">
        <v>0.0444</v>
      </c>
      <c r="O586" t="n">
        <v>0.0917</v>
      </c>
    </row>
    <row r="587">
      <c r="A587" t="inlineStr">
        <is>
          <t>jabref</t>
        </is>
      </c>
      <c r="B587" t="inlineStr">
        <is>
          <t>jabsrv/src/main/java/org/jabref/http/server/cayw/format/FormatterService.java</t>
        </is>
      </c>
      <c r="C587">
        <f>HYPERLINK("https://github.com/JabRef/jabref/blob/master/jabsrv/src/main/java/org/jabref/http/server/cayw/format/FormatterService.java")</f>
        <v/>
      </c>
      <c r="D587" t="inlineStr">
        <is>
          <t>The `FormatterService` is a service that provides different formatting options for citation strings based on the requested format. It takes in a `CAYWQueryParams` object which specifies the desired format, and returns a corresponding formatter object that can be used to generate formatted citations. The supported formats include `natbib`, `latex`, `cite`, `citep`, `citet`,</t>
        </is>
      </c>
      <c r="E587" t="n">
        <v>0.0035</v>
      </c>
      <c r="F587" t="n">
        <v>0.0333</v>
      </c>
      <c r="G587" t="n">
        <v>0.0806</v>
      </c>
      <c r="H587" t="inlineStr">
        <is>
          <t>This Java package `org.jabref.http.server.cayw.format` provides a service for formatting bibliographic entries in different citation styles. The `FormatterService` class is annotated with `@Service`, indicating that it should be registered as a service in the HK2 dependency injection framework. The `getFormatter()` method returns a `CAYWFormatter`</t>
        </is>
      </c>
      <c r="I587" t="n">
        <v>0.0043</v>
      </c>
      <c r="J587" t="n">
        <v>0.0357</v>
      </c>
      <c r="K587" t="n">
        <v>0.0435</v>
      </c>
      <c r="L587" t="inlineStr">
        <is>
          <t>The `FormatterService` class provides a service for formatting citation data according to different formats. It takes a `CAYWQueryParams` object as input and returns a corresponding formatter instance based on the requested format. The supported formats include "natbib", "latex", "cite", "citep", "citet", "mmd", "pandoc", "simple-json",</t>
        </is>
      </c>
      <c r="M587" t="n">
        <v>0.0042</v>
      </c>
      <c r="N587" t="n">
        <v>0.0377</v>
      </c>
      <c r="O587" t="n">
        <v>0.0431</v>
      </c>
    </row>
    <row r="588">
      <c r="A588" t="inlineStr">
        <is>
          <t>jabref</t>
        </is>
      </c>
      <c r="B588" t="inlineStr">
        <is>
          <t>jabsrv/src/main/java/org/jabref/http/server/cayw/format/MMDFormatter.java</t>
        </is>
      </c>
      <c r="C588">
        <f>HYPERLINK("https://github.com/JabRef/jabref/blob/master/jabsrv/src/main/java/org/jabref/http/server/cayw/format/MMDFormatter.java")</f>
        <v/>
      </c>
      <c r="D588" t="inlineStr">
        <is>
          <t>The `MMDFormatter` class is responsible for formatting the output of the JABRef HTTP server in Markdown format. It takes two arguments: `queryParams`, which represents the parameters passed to the JABRef HTTP server, and `caywEntries`, which is a list of bibliographic entries returned by the server.
The `format()` method first maps each bibli</t>
        </is>
      </c>
      <c r="E588" t="n">
        <v>0.0035</v>
      </c>
      <c r="F588" t="n">
        <v>0.0333</v>
      </c>
      <c r="G588" t="n">
        <v>0.0806</v>
      </c>
      <c r="H588" t="inlineStr">
        <is>
          <t>This is Java code for a RESTful web service that formats bibliographic entries in a specific format. The code defines a `MMDFormatter` class that implements the `CAYWFormatter` interface. The `format()` method takes two parameters: `queryParams`, which is a set of query parameters from the HTTP request, and `caywEntries`, which is a list of</t>
        </is>
      </c>
      <c r="I588" t="n">
        <v>0.0045</v>
      </c>
      <c r="J588" t="n">
        <v>0.0984</v>
      </c>
      <c r="K588" t="n">
        <v>0.12</v>
      </c>
      <c r="L588" t="inlineStr">
        <is>
          <t>The `MMDFormatter` class is responsible for formatting a list of bibliographic entries (represented by `CAYWEntry` objects) into a plain text string using the MultiMarkdown (MMD) format. It achieves this by implementing the `CAYWFormatter` interface and overriding the `format()` method.
The `format()` method takes two parameters</t>
        </is>
      </c>
      <c r="M588" t="n">
        <v>0.0041</v>
      </c>
      <c r="N588" t="n">
        <v>0.1132</v>
      </c>
      <c r="O588" t="n">
        <v>0.1709</v>
      </c>
    </row>
    <row r="589">
      <c r="A589" t="inlineStr">
        <is>
          <t>jabref</t>
        </is>
      </c>
      <c r="B589" t="inlineStr">
        <is>
          <t>jabsrv/src/main/java/org/jabref/http/server/cayw/format/SimpleJsonFormatter.java</t>
        </is>
      </c>
      <c r="C589">
        <f>HYPERLINK("https://github.com/JabRef/jabref/blob/master/jabsrv/src/main/java/org/jabref/http/server/cayw/format/SimpleJsonFormatter.java")</f>
        <v/>
      </c>
      <c r="D589" t="inlineStr">
        <is>
          <t>The `SimpleJsonFormatter` class is a service that formats data in JSON format for use with the JABRef HTTP server. It takes a list of `CAYWEntry` objects as input and returns a JSON string representation of those entries. The formatting process involves converting each `CAYWEntry` object into a `SimpleJson` object using the `SimpleJson.fromBib</t>
        </is>
      </c>
      <c r="E589" t="n">
        <v>0.0035</v>
      </c>
      <c r="F589" t="n">
        <v>0.0328</v>
      </c>
      <c r="G589" t="n">
        <v>0.0806</v>
      </c>
      <c r="H589" t="inlineStr">
        <is>
          <t>This Java package `org.jabref.http.server.cayw.format` defines a service that formats data in JSON format for use with the Citation Action Wizard (CAW) project. The service is annotated as `@Service`, indicating that it should be automatically discovered by the Jakarta HK2 dependency injection framework.
The service has one method,</t>
        </is>
      </c>
      <c r="I589" t="n">
        <v>0.0039</v>
      </c>
      <c r="J589" t="n">
        <v>0.0333</v>
      </c>
      <c r="K589" t="n">
        <v>0.08400000000000001</v>
      </c>
      <c r="L589" t="inlineStr">
        <is>
          <t>The `SimpleJsonFormatter` class is a service that formats data as JSON for use by the Citation Action YAW (CAYW) server. It takes a list of `CAYWEntry` objects and returns a list of `SimpleJson` objects, which represent the formatted data. The class uses the `Gson` library to perform the formatting.</t>
        </is>
      </c>
      <c r="M589" t="n">
        <v>0.0037</v>
      </c>
      <c r="N589" t="n">
        <v>0.0351</v>
      </c>
      <c r="O589" t="n">
        <v>0.08260000000000001</v>
      </c>
    </row>
    <row r="590">
      <c r="A590" t="inlineStr">
        <is>
          <t>jabref</t>
        </is>
      </c>
      <c r="B590" t="inlineStr">
        <is>
          <t>jabsrv/src/main/java/org/jabref/http/server/cayw/format/BibLatexFormatter.java</t>
        </is>
      </c>
      <c r="C590">
        <f>HYPERLINK("https://github.com/JabRef/jabref/blob/master/jabsrv/src/main/java/org/jabref/http/server/cayw/format/BibLatexFormatter.java")</f>
        <v/>
      </c>
      <c r="D590" t="inlineStr">
        <is>
          <t>The `BibLatexFormatter` is a Java class that provides a service for formatting bibliographic entries in the biblatex style. It takes a list of `CAYWEntry` objects as input and returns a string representation of the formatted entries. The formatting is done based on the specified command (either "cite", "autocite" or "parencite") and</t>
        </is>
      </c>
      <c r="E590" t="n">
        <v>0.0036</v>
      </c>
      <c r="F590" t="n">
        <v>0.0339</v>
      </c>
      <c r="G590" t="n">
        <v>0.0407</v>
      </c>
      <c r="H590" t="inlineStr">
        <is>
          <t>This Java package `org.jabref.http.server.cayw.format` defines a class called `BibLatexFormatter`, which is annotated with `@Service`. The class implements the interface `CAYWFormatter`, which is used to format bibliographic entries in the Citation Author-Year (CAYW) format.
The constructor takes a</t>
        </is>
      </c>
      <c r="I590" t="n">
        <v>0.006</v>
      </c>
      <c r="J590" t="n">
        <v>0.0784</v>
      </c>
      <c r="K590" t="n">
        <v>0.1376</v>
      </c>
      <c r="L590" t="inlineStr">
        <is>
          <t>The code defines a Java RESTful web service that formats bibliographic data in LaTeX format. It uses the JAX-RS framework for HTTP communication and the HK2 dependency injection library for managing dependencies. The service takes two parameters: a list of entries (represented by the `CAYWEntry` class), and a set of commands (represented by the `CA</t>
        </is>
      </c>
      <c r="M590" t="n">
        <v>0.0033</v>
      </c>
      <c r="N590" t="n">
        <v>0.0312</v>
      </c>
      <c r="O590" t="n">
        <v>0.07870000000000001</v>
      </c>
    </row>
    <row r="591">
      <c r="A591" t="inlineStr">
        <is>
          <t>jabref</t>
        </is>
      </c>
      <c r="B591" t="inlineStr">
        <is>
          <t>jabsrv/src/main/java/org/jabref/http/server/cayw/format/PandocFormatter.java</t>
        </is>
      </c>
      <c r="C591">
        <f>HYPERLINK("https://github.com/JabRef/jabref/blob/master/jabsrv/src/main/java/org/jabref/http/server/cayw/format/PandocFormatter.java")</f>
        <v/>
      </c>
      <c r="D591" t="inlineStr">
        <is>
          <t>The `PandocFormatter` class is responsible for formatting a list of entries in the format required by the Pandoc library. It does this by implementing the `CAYWFormatter` interface and overriding its `format()` method.
The `format()` method takes two parameters: `queryParams`, which represents the query parameters passed to the formatter, and `cay</t>
        </is>
      </c>
      <c r="E591" t="n">
        <v>0.0037</v>
      </c>
      <c r="F591" t="n">
        <v>0.1034</v>
      </c>
      <c r="G591" t="n">
        <v>0.123</v>
      </c>
      <c r="H591" t="inlineStr">
        <is>
          <t>This Java package `org.jabref.http.server.cayw.format` contains a single class called `PandocFormatter`, which is a custom implementation of a formatter for the JabRef reference manager's HTTP server. The class implements the `CAYWFormatter` interface and provides a method to format a list of bibliographic entries in plain text using</t>
        </is>
      </c>
      <c r="I591" t="n">
        <v>0.0053</v>
      </c>
      <c r="J591" t="n">
        <v>0.1</v>
      </c>
      <c r="K591" t="n">
        <v>0.1695</v>
      </c>
      <c r="L591" t="inlineStr">
        <is>
          <t>The `PandocFormatter` class is part of a Java library for formatting bibliographic entries according to the Citation Authority File (CAYW) standard. It provides a method called `format`, which takes two parameters: `queryParams` and `caywEntries`. The `queryParams` parameter represents the input data, while the `caywEntries`</t>
        </is>
      </c>
      <c r="M591" t="n">
        <v>0.0042</v>
      </c>
      <c r="N591" t="n">
        <v>0.0385</v>
      </c>
      <c r="O591" t="n">
        <v>0.0862</v>
      </c>
    </row>
    <row r="592">
      <c r="A592" t="inlineStr">
        <is>
          <t>jabref</t>
        </is>
      </c>
      <c r="B592" t="inlineStr">
        <is>
          <t>jabsrv/src/main/java/org/jabref/http/server/cayw/format/CAYWFormatter.java</t>
        </is>
      </c>
      <c r="C592">
        <f>HYPERLINK("https://github.com/JabRef/jabref/blob/master/jabsrv/src/main/java/org/jabref/http/server/cayw/format/CAYWFormatter.java")</f>
        <v/>
      </c>
      <c r="D592" t="inlineStr">
        <is>
          <t>This is a Java interface for formatting data in the context of the JabRef (Journal Abbreviation Repository) project. The interface defines two methods: `getMediaType()` which returns the media type of the formatted output, and `format()` which takes a list of CAYW entries and returns a string representation of them in the specified media type.</t>
        </is>
      </c>
      <c r="E592" t="n">
        <v>0.004</v>
      </c>
      <c r="F592" t="n">
        <v>0.0645</v>
      </c>
      <c r="G592" t="n">
        <v>0.0794</v>
      </c>
      <c r="H592" t="inlineStr">
        <is>
          <t>This Java package `org.jabref.http.server.cayw.format` defines an interface called `CAYWFormatter`. It has two methods: `getMediaType()` which returns a string representing the media type of the formatted data, and `format()` which takes in a list of `CAYWEntry` objects and returns a formatted string representation of those entries</t>
        </is>
      </c>
      <c r="I592" t="n">
        <v>0.0049</v>
      </c>
      <c r="J592" t="n">
        <v>0.06900000000000001</v>
      </c>
      <c r="K592" t="n">
        <v>0.08550000000000001</v>
      </c>
      <c r="L592" t="inlineStr">
        <is>
          <t>The code defines an interface for formatting data from the CAYW (Citation Authority Web) query parameters and a list of CAYW entries into a specific media type. It specifies two methods: `getMediaType()` which returns the media type used by the formatter, and `format()` which takes the CAYW query parameters and a list of CAYW entries as</t>
        </is>
      </c>
      <c r="M592" t="n">
        <v>0.0033</v>
      </c>
      <c r="N592" t="n">
        <v>0.0312</v>
      </c>
      <c r="O592" t="n">
        <v>0.0781</v>
      </c>
    </row>
    <row r="593">
      <c r="A593" t="inlineStr">
        <is>
          <t>jabref</t>
        </is>
      </c>
      <c r="B593" t="inlineStr">
        <is>
          <t>jabsrv/src/main/java/org/jabref/http/server/cayw/format/NatbibFormatter.java</t>
        </is>
      </c>
      <c r="C593">
        <f>HYPERLINK("https://github.com/JabRef/jabref/blob/master/jabsrv/src/main/java/org/jabref/http/server/cayw/format/NatbibFormatter.java")</f>
        <v/>
      </c>
      <c r="D593" t="inlineStr">
        <is>
          <t>The `NatbibFormatter` class is a service that formats a list of bibliographic entries (represented as `CAYWEntry` objects) according to the specified command (which can be either "plain" or "apa"). The formatting process involves extracting certain properties from each entry, such as its author, title, publication year, etc., and then concatenating these properties</t>
        </is>
      </c>
      <c r="E593" t="n">
        <v>0.0035</v>
      </c>
      <c r="F593" t="n">
        <v>0.0333</v>
      </c>
      <c r="G593" t="n">
        <v>0.0403</v>
      </c>
      <c r="H593" t="inlineStr">
        <is>
          <t>This Java code defines a service that formats bibliographic entries in the NATBIB format. The service is annotated with the `@Service` annotation from Jakarta HK2, which indicates that it should be registered as a service by the dependency injection framework used by JABRef (Java Archiving Bibliography Reference Environment).
The `NatbibFormatter` class takes a single constructor</t>
        </is>
      </c>
      <c r="I593" t="n">
        <v>0.0033</v>
      </c>
      <c r="J593" t="n">
        <v>0.0317</v>
      </c>
      <c r="K593" t="n">
        <v>0.07870000000000001</v>
      </c>
      <c r="L593" t="inlineStr">
        <is>
          <t>The `NatbibFormatter` class is a Java service that formats data for use in the JabRef reference manager. It takes two parameters: a list of `CAYWEntry` objects and a `CAYWQueryParams` object. The method `format()` returns a string representing the formatted data.
The formatter uses the `defaultCommand` parameter from the `</t>
        </is>
      </c>
      <c r="M593" t="n">
        <v>0.0037</v>
      </c>
      <c r="N593" t="n">
        <v>0.0357</v>
      </c>
      <c r="O593" t="n">
        <v>0.08260000000000001</v>
      </c>
    </row>
    <row r="594">
      <c r="A594" t="inlineStr">
        <is>
          <t>jabref</t>
        </is>
      </c>
      <c r="B594" t="inlineStr">
        <is>
          <t>jabsrv/src/main/java/org/jabref/http/server/cayw/format/TypstFormatter.java</t>
        </is>
      </c>
      <c r="C594">
        <f>HYPERLINK("https://github.com/JabRef/jabref/blob/master/jabsrv/src/main/java/org/jabref/http/server/cayw/format/TypstFormatter.java")</f>
        <v/>
      </c>
      <c r="D594" t="inlineStr">
        <is>
          <t>The `TypstFormatter` class is responsible for formatting a list of bibliographic entries in plain text format. It takes two parameters: `queryParams`, which represents the query parameters passed to the API endpoint, and `caywEntries`, which is a list of `CAYWEntry` objects representing the bibliographic entries to be formatted.
The method `format()` returns</t>
        </is>
      </c>
      <c r="E594" t="n">
        <v>0.0036</v>
      </c>
      <c r="F594" t="n">
        <v>0.0339</v>
      </c>
      <c r="G594" t="n">
        <v>0.0407</v>
      </c>
      <c r="H594" t="inlineStr">
        <is>
          <t>This is a Java package containing a single class named `TypstFormatter` that implements the `CAYWFormatter` interface. The class has several methods, including `getMediaType()`, which returns a media type object representing text plain, and `format()`, which takes in a list of `CAYWEntry` objects and formats them into a string. The `format()` method uses the</t>
        </is>
      </c>
      <c r="I594" t="n">
        <v>0.0045</v>
      </c>
      <c r="J594" t="n">
        <v>0.0984</v>
      </c>
      <c r="K594" t="n">
        <v>0.16</v>
      </c>
      <c r="L594" t="inlineStr">
        <is>
          <t>The `TypstFormatter` class is responsible for formatting a list of bibliographic entries according to the TYPS (TYPeSet) standard. It takes two parameters: `queryParams`, which represents the search query parameters, and `caywEntries`, which is a list of bibliographic entries that match the search criteria.
The method `format()` returns a string representation</t>
        </is>
      </c>
      <c r="M594" t="n">
        <v>0.0037</v>
      </c>
      <c r="N594" t="n">
        <v>0.0345</v>
      </c>
      <c r="O594" t="n">
        <v>0.041</v>
      </c>
    </row>
    <row r="595">
      <c r="A595" t="inlineStr">
        <is>
          <t>jabref</t>
        </is>
      </c>
      <c r="B595" t="inlineStr">
        <is>
          <t>jabsrv/src/main/java/org/jabref/http/server/cayw/gui/SelectedItemsContainer.java</t>
        </is>
      </c>
      <c r="C595">
        <f>HYPERLINK("https://github.com/JabRef/jabref/blob/master/jabsrv/src/main/java/org/jabref/http/server/cayw/gui/SelectedItemsContainer.java")</f>
        <v/>
      </c>
      <c r="D595" t="inlineStr">
        <is>
          <t>This is a JavaFX application that displays a list of selected items in a container with chips. The `SelectedItemsContainer` class takes an `ObservableList&lt;CAYWEntry&gt;` as input and sets up the layout for displaying the items. It adds a chip to the container for each item in the list using the `addChip()` method, and it also handles changes to the</t>
        </is>
      </c>
      <c r="E595" t="n">
        <v>0.0037</v>
      </c>
      <c r="F595" t="n">
        <v>0.0597</v>
      </c>
      <c r="G595" t="n">
        <v>0.1154</v>
      </c>
      <c r="H595" t="inlineStr">
        <is>
          <t>This JavaFX application uses the `SelectedItemsContainer` class to display a list of selected items in a flow pane layout. The class is initialized with an observable list of `CAYWEntry` objects, which it then iterates over using the `forEach()` method to create chips for each item. It also adds listeners to the observable list to handle changes to the list and</t>
        </is>
      </c>
      <c r="I595" t="n">
        <v>0.0036</v>
      </c>
      <c r="J595" t="n">
        <v>0.0588</v>
      </c>
      <c r="K595" t="n">
        <v>0.1136</v>
      </c>
      <c r="L595" t="inlineStr">
        <is>
          <t>The `SelectedItemsContainer` class is a JavaFX component that displays a list of selected CAYW entries as chips. It takes an observable list of `CAYWEntry` objects as input and adds each item to the container as a chip. When new items are added to the list, they are also displayed as chips. The container has a horizontal gap of 8 pixels</t>
        </is>
      </c>
      <c r="M595" t="n">
        <v>0.003</v>
      </c>
      <c r="N595" t="n">
        <v>0.0294</v>
      </c>
      <c r="O595" t="n">
        <v>0.0379</v>
      </c>
    </row>
    <row r="596">
      <c r="A596" t="inlineStr">
        <is>
          <t>jabref</t>
        </is>
      </c>
      <c r="B596" t="inlineStr">
        <is>
          <t>jabsrv/src/main/java/org/jabref/http/server/cayw/gui/SearchDialog.java</t>
        </is>
      </c>
      <c r="C596">
        <f>HYPERLINK("https://github.com/JabRef/jabref/blob/master/jabsrv/src/main/java/org/jabref/http/server/cayw/gui/SearchDialog.java")</f>
        <v/>
      </c>
      <c r="D596" t="inlineStr">
        <is>
          <t>This is Java code for a search dialog that displays a list of items in a scrollable pane. The user can filter the list by typing text into a search bar at the top of the dialog. The dialog also includes buttons to close the dialog or perform some action on the selected item. The code uses JavaFX libraries to create the GUI elements and layout the dialog.</t>
        </is>
      </c>
      <c r="E596" t="n">
        <v>0.0032</v>
      </c>
      <c r="F596" t="n">
        <v>0.0526</v>
      </c>
      <c r="G596" t="n">
        <v>0.1071</v>
      </c>
      <c r="H596" t="inlineStr">
        <is>
          <t>This Java code defines a `SearchDialog` class that creates a dialog window for searching through a list of items. The dialog is created using JavaFX and displays a search bar, a scrollable list of items, and buttons for navigating between pages of results. The user can enter text into the search bar to filter the list of items based on their input. The dialog also includes a button</t>
        </is>
      </c>
      <c r="I596" t="n">
        <v>0.0032</v>
      </c>
      <c r="J596" t="n">
        <v>0.0526</v>
      </c>
      <c r="K596" t="n">
        <v>0.1071</v>
      </c>
      <c r="L596" t="inlineStr">
        <is>
          <t>The provided code is part of a JavaFX application that displays a search dialog window for searching through a list of items. The dialog allows users to enter search terms and filter the item list based on those terms. The code also includes functionality for displaying images associated with each item in the list.</t>
        </is>
      </c>
      <c r="M596" t="n">
        <v>0.004</v>
      </c>
      <c r="N596" t="n">
        <v>0.0323</v>
      </c>
      <c r="O596" t="n">
        <v>0.0794</v>
      </c>
    </row>
    <row r="597">
      <c r="A597" t="inlineStr">
        <is>
          <t>jabref</t>
        </is>
      </c>
      <c r="B597" t="inlineStr">
        <is>
          <t>jabsrv/src/main/java/org/jabref/http/server/cayw/gui/SearchResultContainer.java</t>
        </is>
      </c>
      <c r="C597">
        <f>HYPERLINK("https://github.com/JabRef/jabref/blob/master/jabsrv/src/main/java/org/jabref/http/server/cayw/gui/SearchResultContainer.java")</f>
        <v/>
      </c>
      <c r="D597" t="inlineStr">
        <is>
          <t>The `SearchResultContainer` class is a JavaFX component that displays search results in a list view. It takes two observable lists as input parameters: one for all search results and another for the currently selected search results. The class sets up the list view with custom cell factories to display the search results in a compact format. Each result is displayed on a separate line, with a maximum of</t>
        </is>
      </c>
      <c r="E597" t="n">
        <v>0.0027</v>
      </c>
      <c r="F597" t="n">
        <v>0.0263</v>
      </c>
      <c r="G597" t="n">
        <v>0.0357</v>
      </c>
      <c r="H597" t="inlineStr">
        <is>
          <t>The provided Java code defines a `SearchResultContainer` class that extends the `ListView` component in JavaFX. It is used to display search results from a list of `CAYWEntry` objects.
The constructor takes two arguments: `entries`, which is an observable list of `CAYWEntry` objects representing the search results, and `selectedEntries`, which is</t>
        </is>
      </c>
      <c r="I597" t="n">
        <v>0.0037</v>
      </c>
      <c r="J597" t="n">
        <v>0.0345</v>
      </c>
      <c r="K597" t="n">
        <v>0.082</v>
      </c>
      <c r="L597" t="inlineStr">
        <is>
          <t>The `SearchResultContainer` class is a JavaFX `ListView` that displays search results from a database. It takes two observable lists as input: one for all search results and another for the currently selected items. The class sets up the list view by defining various properties such as the maximum number of lines to display (3), estimated characters per line (80), tooltip width (4</t>
        </is>
      </c>
      <c r="M597" t="n">
        <v>0.0029</v>
      </c>
      <c r="N597" t="n">
        <v>0.0286</v>
      </c>
      <c r="O597" t="n">
        <v>0.0373</v>
      </c>
    </row>
    <row r="598">
      <c r="A598" t="inlineStr">
        <is>
          <t>jabref</t>
        </is>
      </c>
      <c r="B598" t="inlineStr">
        <is>
          <t>jabsrv/src/main/java/org/jabref/http/server/cayw/gui/CAYWEntry.java</t>
        </is>
      </c>
      <c r="C598">
        <f>HYPERLINK("https://github.com/JabRef/jabref/blob/master/jabsrv/src/main/java/org/jabref/http/server/cayw/gui/CAYWEntry.java")</f>
        <v/>
      </c>
      <c r="D598" t="inlineStr">
        <is>
          <t>This is a Java class named `CAYWEntry` that represents an entry in a bibliography with additional information such as a label, short label, description, and citation properties. The class has four fields: `bibEntry`, `label`, `shortLabel`, and `description`. It also has two methods: `equals()` and `hashCode()`. The `equals()` method checks</t>
        </is>
      </c>
      <c r="E598" t="n">
        <v>0.0045</v>
      </c>
      <c r="F598" t="n">
        <v>0.0702</v>
      </c>
      <c r="G598" t="n">
        <v>0.08260000000000001</v>
      </c>
      <c r="H598" t="inlineStr">
        <is>
          <t>This is a Java record class called "CAYWEntry" that represents a single entry in the JabRef database. It has five fields:
* `bibEntry`: A reference to a `BibEntry` object representing the bibliographic data for this entry.
* `label`: A string used to display the entry in the list view.
* `shortLabel`:</t>
        </is>
      </c>
      <c r="I598" t="n">
        <v>0.0036</v>
      </c>
      <c r="J598" t="n">
        <v>0.0357</v>
      </c>
      <c r="K598" t="n">
        <v>0.0813</v>
      </c>
      <c r="L598" t="inlineStr">
        <is>
          <t>The code defines a Java record called "CAYWEntry" that represents a bibliographic entry with additional metadata for use in the JabRef reference manager. It includes fields such as "label", "shortLabel", "description", and "citationProperties". The class also overrides the "equals()" and "hashCode()" methods from the "Object" class to compare entries based on</t>
        </is>
      </c>
      <c r="M598" t="n">
        <v>0.0036</v>
      </c>
      <c r="N598" t="n">
        <v>0.0339</v>
      </c>
      <c r="O598" t="n">
        <v>0.0813</v>
      </c>
    </row>
    <row r="599">
      <c r="A599" t="inlineStr">
        <is>
          <t>jabref</t>
        </is>
      </c>
      <c r="B599" t="inlineStr">
        <is>
          <t>jabsrv/src/main/java/org/jabref/http/server/cayw/gui/SearchField.java</t>
        </is>
      </c>
      <c r="C599">
        <f>HYPERLINK("https://github.com/JabRef/jabref/blob/master/jabsrv/src/main/java/org/jabref/http/server/cayw/gui/SearchField.java")</f>
        <v/>
      </c>
      <c r="D599" t="inlineStr">
        <is>
          <t>The `SearchField` class is a JavaFX control that allows users to search for specific entries in a list by typing in a search query. It uses a delay of 100 milliseconds before executing the search query to prevent excessive requests to the server. When the user types in a new character or backspaces, it will trigger a search using the specified function `filter`, which</t>
        </is>
      </c>
      <c r="E599" t="n">
        <v>0</v>
      </c>
      <c r="F599" t="n">
        <v>0.0278</v>
      </c>
      <c r="G599" t="n">
        <v>0.0368</v>
      </c>
      <c r="H599" t="inlineStr">
        <is>
          <t>This is a JavaFX application that provides a search field for filtering a list of items based on user input. The `SearchField` class implements a `TextField` with a delay before updating the list of entries to be displayed in the UI. Whenever the user types something into the search field, it waits for a short period of time (defined by the constant `DELAY_IN</t>
        </is>
      </c>
      <c r="I599" t="n">
        <v>0.0034</v>
      </c>
      <c r="J599" t="n">
        <v>0.0556</v>
      </c>
      <c r="K599" t="n">
        <v>0.0741</v>
      </c>
      <c r="L599" t="inlineStr">
        <is>
          <t>The `SearchField` class is a JavaFX component that allows users to search for specific entries within a list of items. It takes two parameters upon initialization: `filteredEntries`, which represents the list of items being searched through, and `filter`, which is a function that filters the list based on user input. Whenever the user types into the search field, the `setTextProperty</t>
        </is>
      </c>
      <c r="M599" t="n">
        <v>0.003</v>
      </c>
      <c r="N599" t="n">
        <v>0.0294</v>
      </c>
      <c r="O599" t="n">
        <v>0.07580000000000001</v>
      </c>
    </row>
    <row r="600">
      <c r="A600" t="inlineStr">
        <is>
          <t>jabref</t>
        </is>
      </c>
      <c r="B600" t="inlineStr">
        <is>
          <t>jabsrv/src/main/java/org/jabref/http/server/cayw/gui/CitationPropertiesPopup.java</t>
        </is>
      </c>
      <c r="C600">
        <f>HYPERLINK("https://github.com/JabRef/jabref/blob/master/jabsrv/src/main/java/org/jabref/http/server/cayw/gui/CitationPropertiesPopup.java")</f>
        <v/>
      </c>
      <c r="D600" t="inlineStr">
        <is>
          <t>This is a JavaFX application that displays information about a citation in a popup window. The user can select different options for the citation, such as its type (e.g., article or book), its authors, and its publication date. The popup window also includes a text field where the user can enter any additional notes they want to make about the citation.
The `</t>
        </is>
      </c>
      <c r="E600" t="n">
        <v>0.0034</v>
      </c>
      <c r="F600" t="n">
        <v>0.0563</v>
      </c>
      <c r="G600" t="n">
        <v>0.0741</v>
      </c>
      <c r="H600" t="inlineStr">
        <is>
          <t>This is JavaFX code for creating a popup window that displays information about a citation property. The popup includes a title label, an author label, and several other controls such as checkboxes and dropdown menus. The code also defines various styles and layout settings for the popup's elements using JavaFX's built-in classes and methods. Overall, this code appears to be part</t>
        </is>
      </c>
      <c r="I600" t="n">
        <v>0.0036</v>
      </c>
      <c r="J600" t="n">
        <v>0.0556</v>
      </c>
      <c r="K600" t="n">
        <v>0.1128</v>
      </c>
      <c r="L600" t="inlineStr">
        <is>
          <t>The provided Java code defines a `CitationPropertiesPopup` class that extends the `Popup` class from the JavaFX library. The popup is used to display citation properties for a specific entry in a bibliography.
The constructor takes an instance of `CAYWEntry` as input and initializes several UI elements, including labels for the entry's description and label</t>
        </is>
      </c>
      <c r="M600" t="n">
        <v>0.0034</v>
      </c>
      <c r="N600" t="n">
        <v>0.0317</v>
      </c>
      <c r="O600" t="n">
        <v>0.0794</v>
      </c>
    </row>
    <row r="601">
      <c r="A601" t="inlineStr">
        <is>
          <t>jabref</t>
        </is>
      </c>
      <c r="B601" t="inlineStr">
        <is>
          <t>jabsrv/src/main/java/org/jabref/http/server/services/ServerUtils.java</t>
        </is>
      </c>
      <c r="C601">
        <f>HYPERLINK("https://github.com/JabRef/jabref/blob/master/jabsrv/src/main/java/org/jabref/http/server/services/ServerUtils.java")</f>
        <v/>
      </c>
      <c r="D601" t="inlineStr">
        <is>
          <t>The `ServerUtils` class is a utility class used by the JabRef HTTP server to perform various tasks related to importing and exporting bibliographic data. It provides methods for reading and writing bibTeX files, as well as managing the state of the server.
The `readBibTexFromStream()` method takes an input stream and returns a `BibDatabase` object</t>
        </is>
      </c>
      <c r="E601" t="n">
        <v>0.0034</v>
      </c>
      <c r="F601" t="n">
        <v>0.0323</v>
      </c>
      <c r="G601" t="n">
        <v>0.0794</v>
      </c>
      <c r="H601" t="inlineStr">
        <is>
          <t>This Java package `org.jabref.http.server.services` provides various utility methods for use in JabRef's HTTP server. The main classes defined in this package are:
* `ServerUtils`: A utility class that provides several helper methods for working with files, databases, and other resources.
* `BibtexImporter`: An importer class</t>
        </is>
      </c>
      <c r="I601" t="n">
        <v>0.0049</v>
      </c>
      <c r="J601" t="n">
        <v>0.07140000000000001</v>
      </c>
      <c r="K601" t="n">
        <v>0.1282</v>
      </c>
      <c r="L601" t="inlineStr">
        <is>
          <t>The `ServerUtils` class provides utility methods for working with JabRef's HTTP server. It imports bibliographic data from various sources using the `BibtexImporter`, backs up the database before importing new data, and logs errors and exceptions.</t>
        </is>
      </c>
      <c r="M601" t="n">
        <v>0.0053</v>
      </c>
      <c r="N601" t="n">
        <v>0.0455</v>
      </c>
      <c r="O601" t="n">
        <v>0.0935</v>
      </c>
    </row>
    <row r="602">
      <c r="A602" t="inlineStr">
        <is>
          <t>jabref</t>
        </is>
      </c>
      <c r="B602" t="inlineStr">
        <is>
          <t>jabsrv/src/main/java/org/jabref/http/server/services/FilesToServe.java</t>
        </is>
      </c>
      <c r="C602">
        <f>HYPERLINK("https://github.com/JabRef/jabref/blob/master/jabsrv/src/main/java/org/jabref/http/server/services/FilesToServe.java")</f>
        <v/>
      </c>
      <c r="D602" t="inlineStr">
        <is>
          <t>This Java code defines a `FilesToServe` class that manages a list of file paths to be served by a web server. The class has three methods:
* `setFilesToServe`: sets the list of file paths to serve.
* `getFilesToServe`: returns the list of file paths to serve.
* `isEmpty`: checks if the</t>
        </is>
      </c>
      <c r="E602" t="n">
        <v>0.0036</v>
      </c>
      <c r="F602" t="n">
        <v>0.0357</v>
      </c>
      <c r="G602" t="n">
        <v>0.0407</v>
      </c>
      <c r="H602" t="inlineStr">
        <is>
          <t>This Java class `org.jabref.http.server.services.FilesToServe` provides a Singleton instance that stores a list of file paths to serve as HTTP responses from a server. The class has three methods:
* `setFilesToServe`: sets the list of file paths to be served by the server.
* `getFilesToServe</t>
        </is>
      </c>
      <c r="I602" t="n">
        <v>0.0042</v>
      </c>
      <c r="J602" t="n">
        <v>0.0364</v>
      </c>
      <c r="K602" t="n">
        <v>0.0431</v>
      </c>
      <c r="L602" t="inlineStr">
        <is>
          <t>The provided code defines a Java class called "FilesToServe" that serves as a data container for a list of file paths. It has two methods: "setFilesToServe" which sets the list of file paths, and "getFilesToServe" which returns the list of file paths. Additionally, it also includes a method called "isEmpty" which checks if the list</t>
        </is>
      </c>
      <c r="M602" t="n">
        <v>0.0033</v>
      </c>
      <c r="N602" t="n">
        <v>0.0317</v>
      </c>
      <c r="O602" t="n">
        <v>0.0394</v>
      </c>
    </row>
    <row r="603">
      <c r="A603" t="inlineStr">
        <is>
          <t>jabref</t>
        </is>
      </c>
      <c r="B603" t="inlineStr">
        <is>
          <t>jabsrv/src/main/java/org/jabref/http/server/resources/LibraryResource.java</t>
        </is>
      </c>
      <c r="C603">
        <f>HYPERLINK("https://github.com/JabRef/jabref/blob/master/jabsrv/src/main/java/org/jabref/http/server/resources/LibraryResource.java")</f>
        <v/>
      </c>
      <c r="D603" t="inlineStr">
        <is>
          <t>The provided Java code is part of a RESTful web service that serves as a bridge between a client application and a local database. It exposes several endpoints for retrieving data from the database in JSON format.
The `JabRefHttpServer` class is the main entry point of the server, which sets up the necessary dependencies using dependency injection (DI). The `Srv</t>
        </is>
      </c>
      <c r="E603" t="n">
        <v>0.003</v>
      </c>
      <c r="F603" t="n">
        <v>0.0294</v>
      </c>
      <c r="G603" t="n">
        <v>0.07580000000000001</v>
      </c>
      <c r="H603" t="inlineStr">
        <is>
          <t>This Java package `org.jabref.http.server.resources` provides HTTP resources for JabRef's web-based interface. It includes several classes that handle different aspects of the server, such as serving files, handling requests, and processing data. The main class is `FileResource`, which handles file operations and serves files to clients. Other classes include `RequestHandler`,</t>
        </is>
      </c>
      <c r="I603" t="n">
        <v>0.0045</v>
      </c>
      <c r="J603" t="n">
        <v>0.0635</v>
      </c>
      <c r="K603" t="n">
        <v>0.08260000000000001</v>
      </c>
      <c r="L603" t="inlineStr">
        <is>
          <t>The code is part of a JAX-RS RESTful web service that provides a list of BibTeX entries from a local database. It uses the Afterburner Microframework for dependency injection and the Gson library for JSON serialization. The service takes a path parameter as input and returns a list of BibEntryDTO objects in JSON format. The service also includes error handling and logging mechan</t>
        </is>
      </c>
      <c r="M603" t="n">
        <v>0.0029</v>
      </c>
      <c r="N603" t="n">
        <v>0.0278</v>
      </c>
      <c r="O603" t="n">
        <v>0.0741</v>
      </c>
    </row>
    <row r="604">
      <c r="A604" t="inlineStr">
        <is>
          <t>jabref</t>
        </is>
      </c>
      <c r="B604" t="inlineStr">
        <is>
          <t>jabsrv/src/main/java/org/jabref/http/server/resources/MapResource.java</t>
        </is>
      </c>
      <c r="C604">
        <f>HYPERLINK("https://github.com/JabRef/jabref/blob/master/jabsrv/src/main/java/org/jabref/http/server/resources/MapResource.java")</f>
        <v/>
      </c>
      <c r="D604" t="inlineStr">
        <is>
          <t>This is a Java RESTful web service that provides a mapping between a library ID and its corresponding map file. The service has two endpoints: one to retrieve the map file for a given library ID (GET /libraries/{id}/map), and another to update the map file for a given library ID (PUT /libraries/{id}/map).
The GET endpoint looks for</t>
        </is>
      </c>
      <c r="E604" t="n">
        <v>0.0038</v>
      </c>
      <c r="F604" t="n">
        <v>0.058</v>
      </c>
      <c r="G604" t="n">
        <v>0.1163</v>
      </c>
      <c r="H604" t="inlineStr">
        <is>
          <t>This is a Java RESTful web service that provides endpoints for managing maps related to a specific library (identified by its ID). The service uses JAX-RS annotations to define the API endpoints and their methods. It also includes injection of dependencies using Jakarta's dependency injection framework.
The `add` method takes two integers as input and returns their sum.</t>
        </is>
      </c>
      <c r="I604" t="n">
        <v>0.0037</v>
      </c>
      <c r="J604" t="n">
        <v>0.0588</v>
      </c>
      <c r="K604" t="n">
        <v>0.1154</v>
      </c>
      <c r="L604" t="inlineStr">
        <is>
          <t>The `MapResource` class provides RESTful endpoints for managing maps associated with libraries. It has two methods:
* `GET /libraries/{id}/map`: Returns a JSON object containing the map data associated with the specified library ID.
* `PUT /libraries/{id}/map`: Updates the map data associated with the specified library ID with the new map</t>
        </is>
      </c>
      <c r="M604" t="n">
        <v>0</v>
      </c>
      <c r="N604" t="n">
        <v>0</v>
      </c>
      <c r="O604" t="n">
        <v>0.041</v>
      </c>
    </row>
    <row r="605">
      <c r="A605" t="inlineStr">
        <is>
          <t>jabref</t>
        </is>
      </c>
      <c r="B605" t="inlineStr">
        <is>
          <t>jabsrv/src/main/java/org/jabref/http/server/resources/EntriesResource.java</t>
        </is>
      </c>
      <c r="C605">
        <f>HYPERLINK("https://github.com/JabRef/jabref/blob/master/jabsrv/src/main/java/org/jabref/http/server/resources/EntriesResource.java")</f>
        <v/>
      </c>
      <c r="D605" t="inlineStr">
        <is>
          <t>The provided Java code is a server-side RESTful API for managing linked PDF files in a JabRef database. It exposes several endpoints that allow clients to interact with the linked PDF files stored on the server.
The `LinkedPdfFileResource` class defines two main methods:
* `getAllLinkedPdfs`: This method retrieves all</t>
        </is>
      </c>
      <c r="E605" t="n">
        <v>0.0037</v>
      </c>
      <c r="F605" t="n">
        <v>0.0351</v>
      </c>
      <c r="G605" t="n">
        <v>0.0413</v>
      </c>
      <c r="H605" t="inlineStr">
        <is>
          <t>This Java class is part of a server-side application that provides RESTful APIs for various operations related to managing bibliographic data in JabRef. The class defines several methods that handle HTTP requests and responses, including GET, POST, PUT, and DELETE requests.
The class imports various dependencies from other packages, such as `org.jabref`, `java.</t>
        </is>
      </c>
      <c r="I605" t="n">
        <v>0.0041</v>
      </c>
      <c r="J605" t="n">
        <v>0.0635</v>
      </c>
      <c r="K605" t="n">
        <v>0.12</v>
      </c>
      <c r="L605" t="inlineStr">
        <is>
          <t>The provided Java class is part of a web service that serves PDF files linked to entries in a bibliography database. It implements several RESTful endpoints for retrieving and uploading these files.
The `getPDF` method handles GET requests to retrieve a specific PDF file by ID, while the `uploadPDF` method handles POST requests to upload a new PDF file. Both methods use</t>
        </is>
      </c>
      <c r="M605" t="n">
        <v>0.0035</v>
      </c>
      <c r="N605" t="n">
        <v>0.0571</v>
      </c>
      <c r="O605" t="n">
        <v>0.1119</v>
      </c>
    </row>
    <row r="606">
      <c r="A606" t="inlineStr">
        <is>
          <t>jabref</t>
        </is>
      </c>
      <c r="B606" t="inlineStr">
        <is>
          <t>jabsrv/src/main/java/org/jabref/http/server/resources/LibrariesResource.java</t>
        </is>
      </c>
      <c r="C606">
        <f>HYPERLINK("https://github.com/JabRef/jabref/blob/master/jabsrv/src/main/java/org/jabref/http/server/resources/LibrariesResource.java")</f>
        <v/>
      </c>
      <c r="D606" t="inlineStr">
        <is>
          <t>This is a Java RESTful web service that serves as a library for other applications to use. It provides a GET endpoint at `/libraries` that returns a list of libraries in JSON format. The list is generated by iterating over all open databases (as defined by `srvStateManager`) and returning their file paths. If there are no open databases, it falls back to serving a</t>
        </is>
      </c>
      <c r="E606" t="n">
        <v>0.0034</v>
      </c>
      <c r="F606" t="n">
        <v>0.0556</v>
      </c>
      <c r="G606" t="n">
        <v>0.0735</v>
      </c>
      <c r="H606" t="inlineStr">
        <is>
          <t>This Java code defines a RESTful web service that provides information about libraries used in JabRef, a reference management tool. The service is defined by the `LibrariesResource` class, which has several methods for handling HTTP requests.
The `get()` method returns a JSON object containing information about the libraries used in JabRef. It first checks whether there are any files to</t>
        </is>
      </c>
      <c r="I606" t="n">
        <v>0.003</v>
      </c>
      <c r="J606" t="n">
        <v>0.0294</v>
      </c>
      <c r="K606" t="n">
        <v>0.07580000000000001</v>
      </c>
      <c r="L606" t="inlineStr">
        <is>
          <t>The provided Java code defines a RESTful web service that serves a list of libraries (represented as JSON objects) to clients. The service is implemented using Jakarta RESTful Web Services (Jakarta RWS) and uses dependency injection to manage dependencies such as the state manager, files to serve, and a serializer (Gson).
The `LibrariesResource`</t>
        </is>
      </c>
      <c r="M606" t="n">
        <v>0.0035</v>
      </c>
      <c r="N606" t="n">
        <v>0.06560000000000001</v>
      </c>
      <c r="O606" t="n">
        <v>0.12</v>
      </c>
    </row>
    <row r="607">
      <c r="A607" t="inlineStr">
        <is>
          <t>jabref</t>
        </is>
      </c>
      <c r="B607" t="inlineStr">
        <is>
          <t>jabsrv/src/main/java/org/jabref/http/server/resources/RootResource.java</t>
        </is>
      </c>
      <c r="C607">
        <f>HYPERLINK("https://github.com/JabRef/jabref/blob/master/jabsrv/src/main/java/org/jabref/http/server/resources/RootResource.java")</f>
        <v/>
      </c>
      <c r="D607" t="inlineStr">
        <is>
          <t>The provided Java code defines a RESTful web service that serves HTML content at the root URL ("/"). When a GET request is made to this endpoint, it returns a simple HTML page with a link to the "libraries" resource.</t>
        </is>
      </c>
      <c r="E607" t="n">
        <v>0</v>
      </c>
      <c r="F607" t="n">
        <v>0.0426</v>
      </c>
      <c r="G607" t="n">
        <v>0.0446</v>
      </c>
      <c r="H607" t="inlineStr">
        <is>
          <t>This Java code defines a RESTful web service that serves HTML content at the root URL ("/"). The `RootResource` class is annotated with `@Path("/")` and has a single method, `get()`, which returns a string containing an HTML page that links to the "libraries" endpoint. The `get()` method is also annotated with `@GET`, `@Produces(Media</t>
        </is>
      </c>
      <c r="I607" t="n">
        <v>0.0041</v>
      </c>
      <c r="J607" t="n">
        <v>0.06560000000000001</v>
      </c>
      <c r="K607" t="n">
        <v>0.08</v>
      </c>
      <c r="L607" t="inlineStr">
        <is>
          <t>The provided code defines a RESTful resource at the root path ("/") that returns an HTML response containing a message indicating that the JabRef HTTP server is running. The resource is annotated with Jakarta annotations for web services (e.g., `@GET`, `@Produces`) and is part of a larger system that serves as a backend for a web application.</t>
        </is>
      </c>
      <c r="M607" t="n">
        <v>0.0032</v>
      </c>
      <c r="N607" t="n">
        <v>0.0308</v>
      </c>
      <c r="O607" t="n">
        <v>0.0775</v>
      </c>
    </row>
    <row r="608">
      <c r="A608" t="inlineStr">
        <is>
          <t>jabref</t>
        </is>
      </c>
      <c r="B608" t="inlineStr">
        <is>
          <t>jabsrv/src/main/java/org/jabref/http/server/resources/EntryResource.java</t>
        </is>
      </c>
      <c r="C608">
        <f>HYPERLINK("https://github.com/JabRef/jabref/blob/master/jabsrv/src/main/java/org/jabref/http/server/resources/EntryResource.java")</f>
        <v/>
      </c>
      <c r="D608" t="inlineStr">
        <is>
          <t>This is Java code for a RESTful web service that provides functionality to manage files associated with entries in a bibliographic database. The service allows clients to upload new files, download existing files, and delete files associated with specific entries in the database.
The service uses the JAX-RS API (Java API for RESTful Web Services) to define endpoints for file management operations. Each</t>
        </is>
      </c>
      <c r="E608" t="n">
        <v>0.0038</v>
      </c>
      <c r="F608" t="n">
        <v>0.0833</v>
      </c>
      <c r="G608" t="n">
        <v>0.1111</v>
      </c>
      <c r="H608" t="inlineStr">
        <is>
          <t>This is a Java RESTful web service that provides endpoints for managing files associated with entries in a bibliographic database. The service uses JAX-RS annotations to define its API and includes several methods for adding, removing, and retrieving files. It also includes support for handling linked files and file attachments. The service is designed to be used as part of a larger application, such</t>
        </is>
      </c>
      <c r="I608" t="n">
        <v>0.0034</v>
      </c>
      <c r="J608" t="n">
        <v>0.0548</v>
      </c>
      <c r="K608" t="n">
        <v>0.1103</v>
      </c>
      <c r="L608" t="inlineStr">
        <is>
          <t>The provided Java code defines a RESTful API for serving files from a JabRef database. It provides two endpoints: one for retrieving a list of available files (GET /files), and another for downloading a specific file by ID (GET /files/{id}). The server uses the SrvStateManager class to manage state and the FilesToServe class to handle file downloads</t>
        </is>
      </c>
      <c r="M608" t="n">
        <v>0.0032</v>
      </c>
      <c r="N608" t="n">
        <v>0.0303</v>
      </c>
      <c r="O608" t="n">
        <v>0.0775</v>
      </c>
    </row>
    <row r="609">
      <c r="A609" t="inlineStr">
        <is>
          <t>jabref</t>
        </is>
      </c>
      <c r="B609" t="inlineStr">
        <is>
          <t>jabsrv/src/main/java/org/jabref/http/dto/BibEntryDTO.java</t>
        </is>
      </c>
      <c r="C609">
        <f>HYPERLINK("https://github.com/JabRef/jabref/blob/master/jabsrv/src/main/java/org/jabref/http/dto/BibEntryDTO.java")</f>
        <v/>
      </c>
      <c r="D609" t="inlineStr">
        <is>
          <t>This is a Java class named `BibEntryDTO` that represents a data transfer object (DTO) for a BibTeX entry. It has four fields:
* `sharingMetadata`: an instance of `SharingMetadata`, which contains metadata related to the entry's sharing status.
* `userComments`: a list of strings representing the user's comments</t>
        </is>
      </c>
      <c r="E609" t="n">
        <v>0.0039</v>
      </c>
      <c r="F609" t="n">
        <v>0.0364</v>
      </c>
      <c r="G609" t="n">
        <v>0.042</v>
      </c>
      <c r="H609" t="inlineStr">
        <is>
          <t>This is a Java library that provides a DTO (data transfer object) class called `BibEntryDTO` for representing a BibTeX entry in a database. It includes fields such as sharing metadata, user comments, citation key, and BibTeX string. The class also has methods for serializing and deserializing the BibTeX entry into and out of a String format. Over</t>
        </is>
      </c>
      <c r="I609" t="n">
        <v>0.0038</v>
      </c>
      <c r="J609" t="n">
        <v>0.0615</v>
      </c>
      <c r="K609" t="n">
        <v>0.0775</v>
      </c>
      <c r="L609" t="inlineStr">
        <is>
          <t>The `BibEntryDTO` class represents a data transfer object (DTO) for a `BibEntry`, which is a single entry in a bibliography database. It includes several fields such as the shared metadata, user comments, citation key, and the BibTeX string representation of the entry. The class also provides methods for serializing and deserializing the DTO into</t>
        </is>
      </c>
      <c r="M609" t="n">
        <v>0.0034</v>
      </c>
      <c r="N609" t="n">
        <v>0.0323</v>
      </c>
      <c r="O609" t="n">
        <v>0.0397</v>
      </c>
    </row>
    <row r="610">
      <c r="A610" t="inlineStr">
        <is>
          <t>jabref</t>
        </is>
      </c>
      <c r="B610" t="inlineStr">
        <is>
          <t>jabsrv/src/main/java/org/jabref/http/dto/LinkedPdfFileDTO.java</t>
        </is>
      </c>
      <c r="C610">
        <f>HYPERLINK("https://github.com/JabRef/jabref/blob/master/jabsrv/src/main/java/org/jabref/http/dto/LinkedPdfFileDTO.java")</f>
        <v/>
      </c>
      <c r="D610" t="inlineStr">
        <is>
          <t>The provided code defines a `LinkedPdfFileDTO` class that represents a linked PDF file in JabRef, a bibliography management tool. It has three fields:
* `fileName`: the name of the PDF file (without its full path).
* `parentCitationKey`: the citation key of the entry that is linked to the PDF file.</t>
        </is>
      </c>
      <c r="E610" t="n">
        <v>0</v>
      </c>
      <c r="F610" t="n">
        <v>0</v>
      </c>
      <c r="G610" t="n">
        <v>0</v>
      </c>
      <c r="H610" t="inlineStr">
        <is>
          <t>This Java code defines a data transfer object (DTO) called `LinkedPdfFileDTO` that represents a linked PDF file in JabRef. The DTO has three fields:
* `fileName`: A string representing the name of the PDF file.
* `parentCitationKey`: A string representing the citation key of the entry to which the PDF file</t>
        </is>
      </c>
      <c r="I610" t="n">
        <v>0.0036</v>
      </c>
      <c r="J610" t="n">
        <v>0.0351</v>
      </c>
      <c r="K610" t="n">
        <v>0.0407</v>
      </c>
      <c r="L610" t="inlineStr">
        <is>
          <t>The `LinkedPdfFileDTO` class represents a data transfer object (DTO) that encapsulates information about a PDF file linked to a bibliographic entry in JabRef. It has three fields: `fileName`, `parentCitationKey`, and `path`. The constructor takes two parameters: `parentEntry` and `file`, where `parentEntry` is</t>
        </is>
      </c>
      <c r="M610" t="n">
        <v>0.0044</v>
      </c>
      <c r="N610" t="n">
        <v>0.04</v>
      </c>
      <c r="O610" t="n">
        <v>0.0439</v>
      </c>
    </row>
    <row r="611">
      <c r="A611" t="inlineStr">
        <is>
          <t>jabref</t>
        </is>
      </c>
      <c r="B611" t="inlineStr">
        <is>
          <t>jabsrv/src/main/java/org/jabref/http/dto/GlobalExceptionMapper.java</t>
        </is>
      </c>
      <c r="C611">
        <f>HYPERLINK("https://github.com/JabRef/jabref/blob/master/jabsrv/src/main/java/org/jabref/http/dto/GlobalExceptionMapper.java")</f>
        <v/>
      </c>
      <c r="D611" t="inlineStr">
        <is>
          <t>This is a Java implementation of a global exception mapper for JAX-RS applications. The `GlobalExceptionMapper` class is annotated with `@Provider`, indicating that it provides an exception mapping service for all types of exceptions. Whenever an uncaught exception occurs in any part of the application, this mapper will be invoked to handle the error response.
The `toResponse()`</t>
        </is>
      </c>
      <c r="E611" t="n">
        <v>0.0033</v>
      </c>
      <c r="F611" t="n">
        <v>0.0615</v>
      </c>
      <c r="G611" t="n">
        <v>0.1172</v>
      </c>
      <c r="H611" t="inlineStr">
        <is>
          <t>This is a Java REST API that provides a global exception mapper for handling uncaught exceptions in the application. The `GlobalExceptionMapper` class implements the `ExceptionMapper` interface from Jakarta JAX-RS and is annotated with `@Provider`. Whenever an exception occurs during request processing, this mapper intercepts it and returns a response based on the type of exception. If the</t>
        </is>
      </c>
      <c r="I611" t="n">
        <v>0.0042</v>
      </c>
      <c r="J611" t="n">
        <v>0.09089999999999999</v>
      </c>
      <c r="K611" t="n">
        <v>0.1163</v>
      </c>
      <c r="L611" t="inlineStr">
        <is>
          <t>The `GlobalExceptionMapper` class is an implementation of the Jakarta RESTful Web Services' `ExceptionMapper` interface. It maps uncaught exceptions thrown by the application to HTTP responses. When an uncaught exception occurs, the method `toResponse()` is called, which returns a response object containing the error message "Internal Server Error". If the exception is an instance of `WebApplicationException</t>
        </is>
      </c>
      <c r="M611" t="n">
        <v>0</v>
      </c>
      <c r="N611" t="n">
        <v>0.0317</v>
      </c>
      <c r="O611" t="n">
        <v>0.07870000000000001</v>
      </c>
    </row>
    <row r="612">
      <c r="A612" t="inlineStr">
        <is>
          <t>jabref</t>
        </is>
      </c>
      <c r="B612" t="inlineStr">
        <is>
          <t>jabsrv/src/main/java/org/jabref/http/dto/GsonFactory.java</t>
        </is>
      </c>
      <c r="C612">
        <f>HYPERLINK("https://github.com/JabRef/jabref/blob/master/jabsrv/src/main/java/org/jabref/http/dto/GsonFactory.java")</f>
        <v/>
      </c>
      <c r="D612" t="inlineStr">
        <is>
          <t>The `GsonFactory` class is a factory that creates instances of the `Gson` object using the Google GSON library. It implements the HK2 API's `Factory` interface to provide instances of `Gson`. The `provide()` method returns a new instance of `Gson` with pretty printing enabled, while the `dispose()` method does nothing. This</t>
        </is>
      </c>
      <c r="E612" t="n">
        <v>0.0044</v>
      </c>
      <c r="F612" t="n">
        <v>0.0339</v>
      </c>
      <c r="G612" t="n">
        <v>0.123</v>
      </c>
      <c r="H612" t="inlineStr">
        <is>
          <t>This is a Java implementation of a factory that creates instances of the Google JSON library (GSON). The factory provides a singleton instance of the GSON object, which can be used to parse and generate JSON data. The factory also includes methods for disposing of the created instances when they are no longer needed.
The complexity of this code is O(N), where N is the number</t>
        </is>
      </c>
      <c r="I612" t="n">
        <v>0.0033</v>
      </c>
      <c r="J612" t="n">
        <v>0.08</v>
      </c>
      <c r="K612" t="n">
        <v>0.1449</v>
      </c>
      <c r="L612" t="inlineStr">
        <is>
          <t>The provided code defines a factory for creating instances of the Google JSON (GSON) library's `Gson` object. The `provide()` method returns a configured `Gson` object that is prettily printed. The `dispose()` method is empty as there is no resource management required.</t>
        </is>
      </c>
      <c r="M612" t="n">
        <v>0</v>
      </c>
      <c r="N612" t="n">
        <v>0</v>
      </c>
      <c r="O612" t="n">
        <v>0</v>
      </c>
    </row>
    <row r="613">
      <c r="A613" t="inlineStr">
        <is>
          <t>jabref</t>
        </is>
      </c>
      <c r="B613" t="inlineStr">
        <is>
          <t>jabsrv/src/main/java/org/jabref/http/dto/cayw/SimpleJson.java</t>
        </is>
      </c>
      <c r="C613">
        <f>HYPERLINK("https://github.com/JabRef/jabref/blob/master/jabsrv/src/main/java/org/jabref/http/dto/cayw/SimpleJson.java")</f>
        <v/>
      </c>
      <c r="D613" t="inlineStr">
        <is>
          <t>The provided code defines a `SimpleJson` class that represents a JSON object with several fields, including an ID, a citation key, a locator, a prefix, a suffix, and a flag indicating whether to suppress author information. It also includes a method called `fromBibEntry`, which takes in a `BibEntry` object and a `CitationProperties` object as</t>
        </is>
      </c>
      <c r="E613" t="n">
        <v>0.0034</v>
      </c>
      <c r="F613" t="n">
        <v>0.0323</v>
      </c>
      <c r="G613" t="n">
        <v>0.0397</v>
      </c>
      <c r="H613" t="inlineStr">
        <is>
          <t>This is a Java library that provides a `SimpleJson` class for serializing and deserializing JSON data. The class takes in a `BibEntry` object and some `CitationProperties`, and returns a simplified version of the entry as a JSON string. The JSON format includes fields such as the entry's ID, citation key, locator, prefix, suffix, and</t>
        </is>
      </c>
      <c r="I613" t="n">
        <v>0.004</v>
      </c>
      <c r="J613" t="n">
        <v>0.0635</v>
      </c>
      <c r="K613" t="n">
        <v>0.0794</v>
      </c>
      <c r="L613" t="inlineStr">
        <is>
          <t>The `SimpleJson` class represents a simple JSON object that is used for communication between the client and server. It consists of several fields, including an ID, a citation key, a locator, a prefix, a suffix, and a flag indicating whether the author's name should be suppressed. The class also includes a method called `fromBibEntry`, which takes a `</t>
        </is>
      </c>
      <c r="M613" t="n">
        <v>0.0031</v>
      </c>
      <c r="N613" t="n">
        <v>0.0303</v>
      </c>
      <c r="O613" t="n">
        <v>0.0769</v>
      </c>
    </row>
    <row r="614">
      <c r="A614" t="inlineStr">
        <is>
          <t>jabref</t>
        </is>
      </c>
      <c r="B614" t="inlineStr">
        <is>
          <t>jabsrv/src/test/java/org/jabref/http/server/ServerTest.java</t>
        </is>
      </c>
      <c r="C614">
        <f>HYPERLINK("https://github.com/JabRef/jabref/blob/master/jabsrv/src/test/java/org/jabref/http/server/ServerTest.java")</f>
        <v/>
      </c>
      <c r="D614" t="inlineStr">
        <is>
          <t>This is a Java project that uses Jersey to create a RESTful web service for JabRef, a reference management tool. The project includes several classes and interfaces related to the configuration and deployment of the web service, as well as some utility classes for working with JSON data.
The main class in this project is `JabRefHttpServer`, which extends `ResourceConfig` from the</t>
        </is>
      </c>
      <c r="E614" t="n">
        <v>0.0036</v>
      </c>
      <c r="F614" t="n">
        <v>0.058</v>
      </c>
      <c r="G614" t="n">
        <v>0.1128</v>
      </c>
      <c r="H614" t="inlineStr">
        <is>
          <t>This is a Java project that contains various classes and interfaces related to building and running a RESTful web service using Jersey. The main class, `HttpServer`, sets up the server and registers resources with it. It also includes configuration for the server, such as the port number and the list of resource classes to be registered.
The `ResourceConfig` class is used to configure the server</t>
        </is>
      </c>
      <c r="I614" t="n">
        <v>0.0033</v>
      </c>
      <c r="J614" t="n">
        <v>0.0548</v>
      </c>
      <c r="K614" t="n">
        <v>0.1095</v>
      </c>
      <c r="L614" t="inlineStr">
        <is>
          <t>The provided Java code defines a Jersey resource configuration for testing purposes. It sets up several dependencies and services required by the application, including:
* `org.jabref.http.server`: A package containing classes related to HTTP server implementation.
* `javafx.collections`: A library providing collections framework for JavaFX applications.
* `org.jabref.http</t>
        </is>
      </c>
      <c r="M614" t="n">
        <v>0.0039</v>
      </c>
      <c r="N614" t="n">
        <v>0.0345</v>
      </c>
      <c r="O614" t="n">
        <v>0.042</v>
      </c>
    </row>
    <row r="615">
      <c r="A615" t="inlineStr">
        <is>
          <t>jabref</t>
        </is>
      </c>
      <c r="B615" t="inlineStr">
        <is>
          <t>jabsrv/src/test/java/org/jabref/http/server/LibrariesResourceTest.java</t>
        </is>
      </c>
      <c r="C615">
        <f>HYPERLINK("https://github.com/JabRef/jabref/blob/master/jabsrv/src/test/java/org/jabref/http/server/LibrariesResourceTest.java")</f>
        <v/>
      </c>
      <c r="D615" t="inlineStr">
        <is>
          <t>This Java code is part of a JUnit test for the `LibrariesResource` class in the JABRef HTTP server project. The test sets up a Jersey application with the necessary resources and configuration to run the tests. It then performs some assertions on the response returned by the `LibrariesResource#defaultOneTestLibrary()` method.
The `configure()` method returns</t>
        </is>
      </c>
      <c r="E615" t="n">
        <v>0.0041</v>
      </c>
      <c r="F615" t="n">
        <v>0.0645</v>
      </c>
      <c r="G615" t="n">
        <v>0.12</v>
      </c>
      <c r="H615" t="inlineStr">
        <is>
          <t>This is a Java application that serves as a RESTful API for a library management system. The `LibrariesResource` class defines the endpoints for managing libraries, including creating, updating, and deleting them. It also includes methods for retrieving information about specific libraries or all libraries in the system. The application uses Jersey to handle HTTP requests and responses, and GSON for JSON serial</t>
        </is>
      </c>
      <c r="I615" t="n">
        <v>0.0035</v>
      </c>
      <c r="J615" t="n">
        <v>0.0571</v>
      </c>
      <c r="K615" t="n">
        <v>0.1119</v>
      </c>
      <c r="L615" t="inlineStr">
        <is>
          <t>The provided Java code is part of a JUnit test for a RESTful API server. It sets up a test environment by configuring a Jersey application with several resources, including `LibrariesResource`, which provides access to library metadata. The test method `defaultOneTestLibrary` verifies that the API returns a list containing two items when called with no parameters.</t>
        </is>
      </c>
      <c r="M615" t="n">
        <v>0</v>
      </c>
      <c r="N615" t="n">
        <v>0</v>
      </c>
      <c r="O615" t="n">
        <v>0.0391</v>
      </c>
    </row>
    <row r="616">
      <c r="A616" t="inlineStr">
        <is>
          <t>jabref</t>
        </is>
      </c>
      <c r="B616" t="inlineStr">
        <is>
          <t>jabsrv/src/test/java/org/jabref/http/server/TestBibFile.java</t>
        </is>
      </c>
      <c r="C616">
        <f>HYPERLINK("https://github.com/JabRef/jabref/blob/master/jabsrv/src/test/java/org/jabref/http/server/TestBibFile.java")</f>
        <v/>
      </c>
      <c r="D616" t="inlineStr">
        <is>
          <t>This Java file defines an enumeration called `TestBibFile` that holds information about two test `.bib` files used in JabRef's HTTP server tests. The enumeration has two constants, `GENERAL_SERVER_TEST` and `CHOCOLATE_BIB`, each with a `path` field that represents the absolute path to the corresponding test file on</t>
        </is>
      </c>
      <c r="E616" t="n">
        <v>0.0048</v>
      </c>
      <c r="F616" t="n">
        <v>0.06900000000000001</v>
      </c>
      <c r="G616" t="n">
        <v>0.1271</v>
      </c>
      <c r="H616" t="inlineStr">
        <is>
          <t>This Java file defines an enumeration called `TestBibFile` that holds information about test .bib files used in JabRef's HTTP server. The enumeration has two values: `GENERAL_SERVER_TEST` and `CHOCOLATE_BIB`. Each value represents a different test bib file with its corresponding absolute path and unique ID. The ID is generated</t>
        </is>
      </c>
      <c r="I616" t="n">
        <v>0.0045</v>
      </c>
      <c r="J616" t="n">
        <v>0.0667</v>
      </c>
      <c r="K616" t="n">
        <v>0.125</v>
      </c>
      <c r="L616" t="inlineStr">
        <is>
          <t>The provided code defines an enumeration called `TestBibFile` that holds information about test .bib files used for testing purposes. Each field in the enumeration has a corresponding path and ID. The `GENERAL_SERVER_TEST` field represents a general server test .bib file, while the `CHOCOLATE_BIB` field represents a chocolate.bib</t>
        </is>
      </c>
      <c r="M616" t="n">
        <v>0.0039</v>
      </c>
      <c r="N616" t="n">
        <v>0.0339</v>
      </c>
      <c r="O616" t="n">
        <v>0.08400000000000001</v>
      </c>
    </row>
    <row r="617">
      <c r="A617" t="inlineStr">
        <is>
          <t>jabref</t>
        </is>
      </c>
      <c r="B617" t="inlineStr">
        <is>
          <t>jabsrv/src/test/java/org/jabref/http/server/LibraryResourceTest.java</t>
        </is>
      </c>
      <c r="C617">
        <f>HYPERLINK("https://github.com/JabRef/jabref/blob/master/jabsrv/src/test/java/org/jabref/http/server/LibraryResourceTest.java")</f>
        <v/>
      </c>
      <c r="D617" t="inlineStr">
        <is>
          <t>The provided code is a test class for a `LibraryResource` class in a JabRef server application. It tests that the library resource returns JSON data when requested with the correct HTTP headers.
The `configure()` method sets up the Jersey application by adding the `LibraryResource` and `LibrariesResource` classes to the `ResourceConfig`. It also adds several other resources and</t>
        </is>
      </c>
      <c r="E617" t="n">
        <v>0.0032</v>
      </c>
      <c r="F617" t="n">
        <v>0.0308</v>
      </c>
      <c r="G617" t="n">
        <v>0.0388</v>
      </c>
      <c r="H617" t="inlineStr">
        <is>
          <t>The provided Java code is part of a JUnit test for a library management system. It defines a `LibraryResourceTest` class that extends from `ServerTest`. This class overrides the `configure()` method to set up the application with necessary resources such as `LibraryResource`, `LibrariesResource`, and other dependencies. Additionally, it adds files to serve to the resource config, sets</t>
        </is>
      </c>
      <c r="I617" t="n">
        <v>0.0039</v>
      </c>
      <c r="J617" t="n">
        <v>0.0625</v>
      </c>
      <c r="K617" t="n">
        <v>0.1172</v>
      </c>
      <c r="L617" t="inlineStr">
        <is>
          <t>The provided code is part of a Java application that serves as a RESTful API for managing library resources. It defines two classes: `LibraryResource` and `LibrariesResource`, which provide endpoints for retrieving and manipulating library data in JSON format. The `configure()` method sets up the Jersey framework and configures the application's dependencies, including adding files to serve,</t>
        </is>
      </c>
      <c r="M617" t="n">
        <v>0.0033</v>
      </c>
      <c r="N617" t="n">
        <v>0.0308</v>
      </c>
      <c r="O617" t="n">
        <v>0.0781</v>
      </c>
    </row>
    <row r="618">
      <c r="A618" t="inlineStr">
        <is>
          <t>jabref</t>
        </is>
      </c>
      <c r="B618" t="inlineStr">
        <is>
          <t>jabsrv/src/test/java/org/jabref/http/server/command/FocusCommandTest.java</t>
        </is>
      </c>
      <c r="C618">
        <f>HYPERLINK("https://github.com/JabRef/jabref/blob/master/jabsrv/src/test/java/org/jabref/http/server/command/FocusCommandTest.java")</f>
        <v/>
      </c>
      <c r="D618" t="inlineStr">
        <is>
          <t>The code is a test for the `FocusCommand` class in JabRef's HTTP server. It sets up a Jersey client to send a POST request to the `/commands` endpoint with a JSON payload containing the command name (`"command": "focus"`). The test then verifies that the response status code is `INTERNAL_SERVER_ERROR`.</t>
        </is>
      </c>
      <c r="E618" t="n">
        <v>0</v>
      </c>
      <c r="F618" t="n">
        <v>0</v>
      </c>
      <c r="G618" t="n">
        <v>0</v>
      </c>
      <c r="H618" t="inlineStr">
        <is>
          <t>This is a Java project that includes unit tests for a RESTful API implemented using Jakarta JAX-RS (now known as Jersey). The `FocusCommandTest` class in the `org.jabref.http.server.command` package defines a test case for the `/commands` endpoint, which should respond with a server error when the client sends a JSON request containing the command</t>
        </is>
      </c>
      <c r="I618" t="n">
        <v>0.0035</v>
      </c>
      <c r="J618" t="n">
        <v>0.0606</v>
      </c>
      <c r="K618" t="n">
        <v>0.12</v>
      </c>
      <c r="L618" t="inlineStr">
        <is>
          <t>The provided Java code is part of a test suite for a RESTful API that provides commands for JabRef, a reference management tool. The `FocusCommandTest` class tests the `/commands` endpoint by sending a JSON payload with a `focus` command and verifying that the server responds with an error status (code 500).</t>
        </is>
      </c>
      <c r="M618" t="n">
        <v>0.0036</v>
      </c>
      <c r="N618" t="n">
        <v>0.0339</v>
      </c>
      <c r="O618" t="n">
        <v>0.0813</v>
      </c>
    </row>
    <row r="619">
      <c r="A619" t="inlineStr">
        <is>
          <t>jabref</t>
        </is>
      </c>
      <c r="B619" t="inlineStr">
        <is>
          <t>jabsrv/src/test/java/org/jabref/http/server/cayw/CAYWResourceTest.java</t>
        </is>
      </c>
      <c r="C619">
        <f>HYPERLINK("https://github.com/JabRef/jabref/blob/master/jabsrv/src/test/java/org/jabref/http/server/cayw/CAYWResourceTest.java")</f>
        <v/>
      </c>
      <c r="D619" t="inlineStr">
        <is>
          <t>The provided Java code defines a test class for a JAX-RS (Java API for RESTful Web Services) resource called `CAYWResource`. It uses Mockito to mock dependencies and assert that the response from the resource is correct.
The `configure()` method sets up the application configuration by registering the `CAYWResource` class with the `ResourceConfig`, adding</t>
        </is>
      </c>
      <c r="E619" t="n">
        <v>0.0035</v>
      </c>
      <c r="F619" t="n">
        <v>0.0323</v>
      </c>
      <c r="G619" t="n">
        <v>0.08</v>
      </c>
      <c r="H619" t="inlineStr">
        <is>
          <t>This Java code defines a test class for a JAX-RS (Java API for RESTful Web Services) application called `CAYWResource`. The test class is part of a larger project that includes several other classes and resources related to the same application.
The `configure()` method in this class sets up the test environment by creating a new instance of the `ResourceConfig` class</t>
        </is>
      </c>
      <c r="I619" t="n">
        <v>0.0036</v>
      </c>
      <c r="J619" t="n">
        <v>0.058</v>
      </c>
      <c r="K619" t="n">
        <v>0.1136</v>
      </c>
      <c r="L619" t="inlineStr">
        <is>
          <t>The provided Java code defines a `CAYWResource` class that is used as a RESTful web service endpoint for managing bibliographic entries. It uses JAX-RS (Java API for RESTful Web Services) annotations to define the HTTP methods and endpoints supported by the resource. The class also includes several dependencies, such as `SrvStateManager`, `ServerTest`, and</t>
        </is>
      </c>
      <c r="M619" t="n">
        <v>0.0035</v>
      </c>
      <c r="N619" t="n">
        <v>0.0323</v>
      </c>
      <c r="O619" t="n">
        <v>0.08</v>
      </c>
    </row>
    <row r="620">
      <c r="A620" t="inlineStr">
        <is>
          <t>jabref</t>
        </is>
      </c>
      <c r="B620" t="inlineStr">
        <is>
          <t>jabsrv/src/test/java/org/jabref/http/server/cayw/CitationPropertiesTest.java</t>
        </is>
      </c>
      <c r="C620">
        <f>HYPERLINK("https://github.com/JabRef/jabref/blob/master/jabsrv/src/test/java/org/jabref/http/server/cayw/CitationPropertiesTest.java")</f>
        <v/>
      </c>
      <c r="D620" t="inlineStr">
        <is>
          <t>The `CitationProperties` class is used to store information about a citation in a bibliographic database. It has several fields such as `locatorType`, `locatorValue`, and `formattedLocator`. The `formattedLocator` field is calculated based on the values of other fields using the `getFormattedLocator()` method. This method takes into account the</t>
        </is>
      </c>
      <c r="E620" t="n">
        <v>0.0046</v>
      </c>
      <c r="F620" t="n">
        <v>0.0364</v>
      </c>
      <c r="G620" t="n">
        <v>0.1261</v>
      </c>
      <c r="H620" t="inlineStr">
        <is>
          <t>The provided code is part of a Java project that defines a `CitationProperties` class with nested classes for testing the formatting of citations based on different locators (e.g., page number or chapter). The `CitationProperties` class has methods to set and get the locator type and value, as well as a method to format the locator into a string representation. The</t>
        </is>
      </c>
      <c r="I620" t="n">
        <v>0.003</v>
      </c>
      <c r="J620" t="n">
        <v>0.029</v>
      </c>
      <c r="K620" t="n">
        <v>0.07580000000000001</v>
      </c>
      <c r="L620" t="inlineStr">
        <is>
          <t>The code is a part of JUnit test for the `CitationProperties` class, which is used to format locators for citations. It tests two scenarios:
* With type and value: sets the locator type to "page" and the value to "42", and asserts that the formatted locator is "p. 42".
* With</t>
        </is>
      </c>
      <c r="M620" t="n">
        <v>0.0036</v>
      </c>
      <c r="N620" t="n">
        <v>0.0351</v>
      </c>
      <c r="O620" t="n">
        <v>0.0813</v>
      </c>
    </row>
    <row r="621">
      <c r="A621" t="inlineStr">
        <is>
          <t>jabref</t>
        </is>
      </c>
      <c r="B621" t="inlineStr">
        <is>
          <t>jabsrv/src/test/java/org/jabref/http/server/cayw/format/CAYWFormattersTest.java</t>
        </is>
      </c>
      <c r="C621">
        <f>HYPERLINK("https://github.com/JabRef/jabref/blob/master/jabsrv/src/test/java/org/jabref/http/server/cayw/format/CAYWFormattersTest.java")</f>
        <v/>
      </c>
      <c r="D621" t="inlineStr">
        <is>
          <t>The `CAYWFormatters` class is responsible for formatting data in the format used by the CrossRef API. It provides methods for converting between different formats, such as converting from a list of `CAYWEntry` objects to a string representation of the entries in the CrossRef API format.
The `caywEntries` method takes a variable number of strings representing</t>
        </is>
      </c>
      <c r="E621" t="n">
        <v>0</v>
      </c>
      <c r="F621" t="n">
        <v>0</v>
      </c>
      <c r="G621" t="n">
        <v>0.0394</v>
      </c>
      <c r="H621" t="inlineStr">
        <is>
          <t>This is a Java project that implements various functions for working with bibliographic data in JabRef format. The main class of interest is `CAYWFormatters`, which provides methods for formatting bibliographic entries as JSON objects. The project also includes unit tests using JUnit Jupiter.
The `add` method takes two arguments, `a` and `b`, and returns their</t>
        </is>
      </c>
      <c r="I621" t="n">
        <v>0.0044</v>
      </c>
      <c r="J621" t="n">
        <v>0.127</v>
      </c>
      <c r="K621" t="n">
        <v>0.1575</v>
      </c>
      <c r="L621" t="inlineStr">
        <is>
          <t>The provided code is part of a Java project that implements a set of functions for formatting data in a specific format. The code defines several classes and methods related to this functionality, including `CAYWFormatters`, which is the primary class responsible for formatting data.
The `CAYWFormatters` class has several methods that perform different tasks related to formatting data, such as `</t>
        </is>
      </c>
      <c r="M621" t="n">
        <v>0.0036</v>
      </c>
      <c r="N621" t="n">
        <v>0.0882</v>
      </c>
      <c r="O621" t="n">
        <v>0.1504</v>
      </c>
    </row>
    <row r="622">
      <c r="A622" t="inlineStr">
        <is>
          <t>jabref</t>
        </is>
      </c>
      <c r="B622" t="inlineStr">
        <is>
          <t>jabsrv-cli/src/main/java/module-info.java</t>
        </is>
      </c>
      <c r="C622">
        <f>HYPERLINK("https://github.com/JabRef/jabref/blob/master/jabsrv-cli/src/main/java/module-info.java")</f>
        <v/>
      </c>
      <c r="D622" t="inlineStr">
        <is>
          <t>This is a Java module declaration file that defines the dependencies and exports for a JabRef CLI application. The module name is "org.jabref.jabsrv.cli". It declares two required modules: "org.jabref.jablib" and "org.jabref.jabsrv", which provide the necessary libraries for the application. Additionally,</t>
        </is>
      </c>
      <c r="E622" t="n">
        <v>0.0061</v>
      </c>
      <c r="F622" t="n">
        <v>0.1091</v>
      </c>
      <c r="G622" t="n">
        <v>0.1339</v>
      </c>
      <c r="H622" t="inlineStr">
        <is>
          <t>This is a Java module that defines the `org.jabref.jabsrv.cli` package, which exports classes from the `org.jabref.http.server.cli` package to the `info.picocli` package. It also requires several other packages, including `org.jabref.jablib`, `org.jabref.</t>
        </is>
      </c>
      <c r="I622" t="n">
        <v>0.0074</v>
      </c>
      <c r="J622" t="n">
        <v>0.08160000000000001</v>
      </c>
      <c r="K622" t="n">
        <v>0.098</v>
      </c>
      <c r="L622" t="inlineStr">
        <is>
          <t>The code defines a module for JabRef CLI that exports a resource locator implementation for AfterBurnerFX. It requires several dependencies, including Jakarta.Annotation, GlassFish Grizzly HTTP server, JavaFX base, and Picocli. The module also provides a custom resource locator implementation for AfterBurnerFX using the `provides` keyword.</t>
        </is>
      </c>
      <c r="M622" t="n">
        <v>0.0049</v>
      </c>
      <c r="N622" t="n">
        <v>0.1111</v>
      </c>
      <c r="O622" t="n">
        <v>0.1709</v>
      </c>
    </row>
    <row r="623">
      <c r="A623" t="inlineStr">
        <is>
          <t>jabref</t>
        </is>
      </c>
      <c r="B623" t="inlineStr">
        <is>
          <t>jabsrv-cli/src/main/java/org/jabref/http/cli/JabRefResourceLocator.java</t>
        </is>
      </c>
      <c r="C623">
        <f>HYPERLINK("https://github.com/JabRef/jabref/blob/master/jabsrv-cli/src/main/java/org/jabref/http/cli/JabRefResourceLocator.java")</f>
        <v/>
      </c>
      <c r="D623" t="inlineStr">
        <is>
          <t>This is a Java class that implements the `ResourceLocator` interface from the AirHacks library. It provides a way to locate resources in the application, such as strings or images. The class uses the `Localization` class from the same package to retrieve the resource bundles.
The `getResourceBundle()` method takes a string parameter representing the name of the resource bundle to</t>
        </is>
      </c>
      <c r="E623" t="n">
        <v>0.0037</v>
      </c>
      <c r="F623" t="n">
        <v>0.0597</v>
      </c>
      <c r="G623" t="n">
        <v>0.1145</v>
      </c>
      <c r="H623" t="inlineStr">
        <is>
          <t>This Java package `org.jabref.http.cli` provides a resource locator implementation that is used by the command-line interface (CLI) of the JabRef citation management tool. It imports various classes from other packages in the JabRef framework, including `java.util.ResourceBundle`, `com.airhacks.afterburner.views.Resource</t>
        </is>
      </c>
      <c r="I623" t="n">
        <v>0.005</v>
      </c>
      <c r="J623" t="n">
        <v>0.0727</v>
      </c>
      <c r="K623" t="n">
        <v>0.1376</v>
      </c>
      <c r="L623" t="inlineStr">
        <is>
          <t>The provided Java code defines a custom implementation of the `ResourceLocator` interface from the Afterburner library. It is used to locate resources (e.g., localized messages) required by the application. The implementation uses the `Localization` class from the JabRef project to retrieve the resource bundles. The code also includes some logging statements using SLF4J.</t>
        </is>
      </c>
      <c r="M623" t="n">
        <v>0</v>
      </c>
      <c r="N623" t="n">
        <v>0.0323</v>
      </c>
      <c r="O623" t="n">
        <v>0.08</v>
      </c>
    </row>
    <row r="624">
      <c r="A624" t="inlineStr">
        <is>
          <t>jabref</t>
        </is>
      </c>
      <c r="B624" t="inlineStr">
        <is>
          <t>jabsrv-cli/src/main/java/org/jabref/http/server/cli/ServerCli.java</t>
        </is>
      </c>
      <c r="C624">
        <f>HYPERLINK("https://github.com/JabRef/jabref/blob/master/jabsrv-cli/src/main/java/org/jabref/http/server/cli/ServerCli.java")</f>
        <v/>
      </c>
      <c r="D624" t="inlineStr">
        <is>
          <t>The `ServerCli` class is a command-line interface (CLI) for starting a JabRef HTTP server. It uses the `picocli` library to parse command-line arguments and configure the server.
The main method of the class creates a new instance of the `Server` class, which is responsible for handling incoming requests and serving files from the file system.</t>
        </is>
      </c>
      <c r="E624" t="n">
        <v>0.0033</v>
      </c>
      <c r="F624" t="n">
        <v>0.0308</v>
      </c>
      <c r="G624" t="n">
        <v>0.07870000000000001</v>
      </c>
      <c r="H624" t="inlineStr">
        <is>
          <t>This Java code defines a command-line interface (CLI) for running a web server based on Grizzly. The main entry point is the `ServerCli` class, which has several methods that handle different aspects of the server's behavior. These include:
* `start`: Starts the server using the specified configuration file.
* `stop`: Stops the</t>
        </is>
      </c>
      <c r="I624" t="n">
        <v>0.0035</v>
      </c>
      <c r="J624" t="n">
        <v>0.0333</v>
      </c>
      <c r="K624" t="n">
        <v>0.0806</v>
      </c>
      <c r="L624" t="inlineStr">
        <is>
          <t>The provided Java code defines a command line interface (CLI) for running a web server based on Grizzly framework. The `ServerCli` class serves as the entry point for the application, and it handles user input through the Command Line Interface (CLI). The class includes several methods that perform various tasks such as setting up the server, handling requests, and shutting down the server</t>
        </is>
      </c>
      <c r="M624" t="n">
        <v>0.0029</v>
      </c>
      <c r="N624" t="n">
        <v>0.0282</v>
      </c>
      <c r="O624" t="n">
        <v>0.0741</v>
      </c>
    </row>
    <row r="625">
      <c r="A625" t="inlineStr">
        <is>
          <t>jabref</t>
        </is>
      </c>
      <c r="B625" t="inlineStr">
        <is>
          <t>jabls-cli/src/main/java/module-info.java</t>
        </is>
      </c>
      <c r="C625">
        <f>HYPERLINK("https://github.com/JabRef/jabref/blob/master/jabls-cli/src/main/java/module-info.java")</f>
        <v/>
      </c>
      <c r="D625" t="inlineStr">
        <is>
          <t>This is a Java module declaration file that defines the dependencies and exports for a JabRef CLI (Command Line Interface) application. The `org.jabref.languageserver.cli` package is opened to the `info.picocli` package, allowing access to the Picocli library. The module also requires several other libraries, including Afterburner.FX,</t>
        </is>
      </c>
      <c r="E625" t="n">
        <v>0.0054</v>
      </c>
      <c r="F625" t="n">
        <v>0.1034</v>
      </c>
      <c r="G625" t="n">
        <v>0.1282</v>
      </c>
      <c r="H625" t="inlineStr">
        <is>
          <t>This is a Java module declaration that defines a module named "org.jabref.jabls.cli" with several dependencies on other modules. The module exports classes from the "org.jabref.languageserver.cli" package to the "info.picocli" module, and it also requires several other modules, including "org.jabref.</t>
        </is>
      </c>
      <c r="I625" t="n">
        <v>0.0062</v>
      </c>
      <c r="J625" t="n">
        <v>0.1091</v>
      </c>
      <c r="K625" t="n">
        <v>0.1351</v>
      </c>
      <c r="L625" t="inlineStr">
        <is>
          <t>The given Java module defines a CLI interface for JabRef's Language Server component. It exports classes from the `org.jabref.languageserver.cli` package to the `info.picocli` module, requiring the `org.jabref.jablib`, `org.jabref.jabls`, `afterburner.fx</t>
        </is>
      </c>
      <c r="M625" t="n">
        <v>0.0065</v>
      </c>
      <c r="N625" t="n">
        <v>0.0426</v>
      </c>
      <c r="O625" t="n">
        <v>0.0495</v>
      </c>
    </row>
    <row r="626">
      <c r="A626" t="inlineStr">
        <is>
          <t>jabref</t>
        </is>
      </c>
      <c r="B626" t="inlineStr">
        <is>
          <t>jabls-cli/src/main/java/org/jabref/languageserver/cli/ServerCli.java</t>
        </is>
      </c>
      <c r="C626">
        <f>HYPERLINK("https://github.com/JabRef/jabref/blob/master/jabls-cli/src/main/java/org/jabref/languageserver/cli/ServerCli.java")</f>
        <v/>
      </c>
      <c r="D626" t="inlineStr">
        <is>
          <t>This Java file contains the implementation of a command line interface (CLI) for a language server called JabLS (JabRef Language Server). The `ServerCli` class defines a main entry point for the program that can be executed from the terminal or command prompt.
The `main` method takes no arguments and creates a new instance of the `ServerCli` class.</t>
        </is>
      </c>
      <c r="E626" t="n">
        <v>0.0038</v>
      </c>
      <c r="F626" t="n">
        <v>0.09229999999999999</v>
      </c>
      <c r="G626" t="n">
        <v>0.1163</v>
      </c>
      <c r="H626" t="inlineStr">
        <is>
          <t>The provided Java code defines a command line interface (CLI) for a language server called JabLS (JabRef Language Server). The CLI allows users to start the language server on a specific port by providing the `-p` or `--port` option followed by the desired port number. If no port is specified, the default port 2087 will be used.
The</t>
        </is>
      </c>
      <c r="I626" t="n">
        <v>0</v>
      </c>
      <c r="J626" t="n">
        <v>0</v>
      </c>
      <c r="K626" t="n">
        <v>0</v>
      </c>
      <c r="L626" t="inlineStr">
        <is>
          <t>The provided Java code defines a command line interface (CLI) for the JabRef Language Server (JabLS). It sets up a server that listens on a specified port and provides language features such as syntax highlighting and autocompletion. The CLI accepts various options and parameters, including the port number, which defaults to 2087 if not specified.</t>
        </is>
      </c>
      <c r="M626" t="n">
        <v>0.0033</v>
      </c>
      <c r="N626" t="n">
        <v>0.0317</v>
      </c>
      <c r="O626" t="n">
        <v>0.0394</v>
      </c>
    </row>
    <row r="627">
      <c r="A627" t="inlineStr">
        <is>
          <t>jabref</t>
        </is>
      </c>
      <c r="B627" t="inlineStr">
        <is>
          <t>jabls-cli/src/main/java/org/jabref/languageserver/cli/JabRefResourceLocator.java</t>
        </is>
      </c>
      <c r="C627">
        <f>HYPERLINK("https://github.com/JabRef/jabref/blob/master/jabls-cli/src/main/java/org/jabref/languageserver/cli/JabRefResourceLocator.java")</f>
        <v/>
      </c>
      <c r="D627" t="inlineStr">
        <is>
          <t>This Java file defines a `JabRefResourceLocator` class that implements the `ResourceLocator` interface from the `com.airhacks.afterburner.views` package. It is used to locate resources in the JabRef application.
The `JabRefResourceLocator` class has one method, `getResourceBundle`, which takes a string argument</t>
        </is>
      </c>
      <c r="E627" t="n">
        <v>0.0058</v>
      </c>
      <c r="F627" t="n">
        <v>0.08160000000000001</v>
      </c>
      <c r="G627" t="n">
        <v>0.1364</v>
      </c>
      <c r="H627" t="inlineStr">
        <is>
          <t>This Java package `org.jabref.languageserver.cli` defines a custom implementation of the `ResourceLocator` interface from the `com.airhacks.afterburner.views` library. The implementation is responsible for locating resource bundles based on their names. It uses the `Localization` class to retrieve the requested resource bundle.
The</t>
        </is>
      </c>
      <c r="I627" t="n">
        <v>0.0046</v>
      </c>
      <c r="J627" t="n">
        <v>0.0741</v>
      </c>
      <c r="K627" t="n">
        <v>0.1339</v>
      </c>
      <c r="L627" t="inlineStr">
        <is>
          <t>The code defines a custom implementation of the `ResourceLocator` interface called `JabRefResourceLocator`. It is used to locate resources such as localized messages for the JabRef application. The class has one method, `getResourceBundle`, which returns a resource bundle based on the given string parameter. The method uses the `Localization` class to retrieve the message bundle.</t>
        </is>
      </c>
      <c r="M627" t="n">
        <v>0</v>
      </c>
      <c r="N627" t="n">
        <v>0.0323</v>
      </c>
      <c r="O627" t="n">
        <v>0.0794</v>
      </c>
    </row>
    <row r="628">
      <c r="A628" t="inlineStr">
        <is>
          <t>jabref</t>
        </is>
      </c>
      <c r="B628" t="inlineStr">
        <is>
          <t>.jbang/CloneJabRef.java</t>
        </is>
      </c>
      <c r="C628">
        <f>HYPERLINK("https://github.com/JabRef/jabref/blob/master/.jbang/CloneJabRef.java")</f>
        <v/>
      </c>
      <c r="D628" t="inlineStr">
        <is>
          <t>This is Java code that clones a Git repository using JGit. It takes one optional argument, which specifies the directory where the cloned repository should be created. If no argument is given, it uses the system's temporary directory as the default location for the clone. The code checks whether the specified or default directory already exists before attempting to clone the repository. If it does exist,</t>
        </is>
      </c>
      <c r="E628" t="n">
        <v>0.0028</v>
      </c>
      <c r="F628" t="n">
        <v>0.0267</v>
      </c>
      <c r="G628" t="n">
        <v>0.0725</v>
      </c>
      <c r="H628" t="inlineStr">
        <is>
          <t>This is Java code that clones a Git repository using JGit and stores it in a specified directory. The code takes one argument, which is the path to the directory where the clone should be created. If no directory is specified, it defaults to a temporary directory. The code checks whether the target directory already exists before attempting to clone the repository. If the directory does exist, the program prints</t>
        </is>
      </c>
      <c r="I628" t="n">
        <v>0.0031</v>
      </c>
      <c r="J628" t="n">
        <v>0.0513</v>
      </c>
      <c r="K628" t="n">
        <v>0.1056</v>
      </c>
      <c r="L628" t="inlineStr">
        <is>
          <t>The provided code is a Java script that clones the JabRef Git repository into a specified directory using the Eclipse JGit library. If no directory is specified, it defaults to a temporary directory. The script checks whether the target directory already exists before attempting to clone the repository. It then uses the JGit command line interface to clone the repository recursively, specifying the target directory as an argument</t>
        </is>
      </c>
      <c r="M628" t="n">
        <v>0</v>
      </c>
      <c r="N628" t="n">
        <v>0</v>
      </c>
      <c r="O628" t="n">
        <v>0.0357</v>
      </c>
    </row>
    <row r="629">
      <c r="A629" t="inlineStr">
        <is>
          <t>jabref</t>
        </is>
      </c>
      <c r="B629" t="inlineStr">
        <is>
          <t>.jbang/JabKitLauncher.java</t>
        </is>
      </c>
      <c r="C629">
        <f>HYPERLINK("https://github.com/JabRef/jabref/blob/master/.jbang/JabKitLauncher.java")</f>
        <v/>
      </c>
      <c r="D629" t="inlineStr">
        <is>
          <t>This code appears to be a Java project that uses the `jbang` build tool to create a standalone executable jar file. The project has several dependencies on other libraries, including `org.jabref:jablib`, `io.github.adr:e-adr`, and `info.picocli:picocli`. It also includes some custom source code in the</t>
        </is>
      </c>
      <c r="E629" t="n">
        <v>0.0051</v>
      </c>
      <c r="F629" t="n">
        <v>0.0678</v>
      </c>
      <c r="G629" t="n">
        <v>0.1304</v>
      </c>
      <c r="H629" t="inlineStr">
        <is>
          <t>This code defines a Java project with several dependencies and source files. It appears to be a tool or library that provides some kind of functionality related to managing BibTeX files. The README file describes the purpose of the project as "manage BibTeX files using JabRef," and it lists various dependencies and source files. The complexity of the code is described as O(N),</t>
        </is>
      </c>
      <c r="I629" t="n">
        <v>0.0038</v>
      </c>
      <c r="J629" t="n">
        <v>0.0833</v>
      </c>
      <c r="K629" t="n">
        <v>0.1111</v>
      </c>
      <c r="L629" t="inlineStr">
        <is>
          <t>The code defines a Java application called "jabkit", which manages BibTeX files using JabRef. It uses the Picocli library for command line interface (CLI) parsing and the JabLib library for various tasks such as converting case and fetching citations. The application requires Java 25 or later and has dependencies on several other libraries.</t>
        </is>
      </c>
      <c r="M629" t="n">
        <v>0.0035</v>
      </c>
      <c r="N629" t="n">
        <v>0.0328</v>
      </c>
      <c r="O629" t="n">
        <v>0.08</v>
      </c>
    </row>
    <row r="630">
      <c r="A630" t="inlineStr">
        <is>
          <t>jabref</t>
        </is>
      </c>
      <c r="B630" t="inlineStr">
        <is>
          <t>.jbang/JabSrvLauncher.java</t>
        </is>
      </c>
      <c r="C630">
        <f>HYPERLINK("https://github.com/JabRef/jabref/blob/master/.jbang/JabSrvLauncher.java")</f>
        <v/>
      </c>
      <c r="D630" t="inlineStr">
        <is>
          <t>This code appears to be a Java program that serves BibTeX files using JabRef. It uses Picocli as a command line interface library and various other dependencies such as Jackson, Guava, Caffeine, Unirest, and Jakarta libraries. The program has been compiled with Java version 25 or later and requires access to certain native resources. The code is well</t>
        </is>
      </c>
      <c r="E630" t="n">
        <v>0.0037</v>
      </c>
      <c r="F630" t="n">
        <v>0.0606</v>
      </c>
      <c r="G630" t="n">
        <v>0.1154</v>
      </c>
      <c r="H630" t="inlineStr">
        <is>
          <t>This is a Java project that serves BibTeX files using JabRef. The project uses the Picocli library to handle command-line arguments and the Jackson library to parse JSON data. It also uses other libraries such as Caffeine, Guava, Unirest, and Jakarta Servlet API. The project has a complexity of O(N) and consists of around</t>
        </is>
      </c>
      <c r="I630" t="n">
        <v>0.004</v>
      </c>
      <c r="J630" t="n">
        <v>0.0625</v>
      </c>
      <c r="K630" t="n">
        <v>0.119</v>
      </c>
      <c r="L630" t="inlineStr">
        <is>
          <t>The provided code serves as the basis for a web service that provides access to BibTeX files using JabRef. It utilizes Java 25 or later, enables native access to all unnamed modules, and includes dependencies on various libraries such as Jackson, Caffeine, Guava, Unirest, CiteProc-Java, Picocli, Jakarta Servlet API</t>
        </is>
      </c>
      <c r="M630" t="n">
        <v>0.0037</v>
      </c>
      <c r="N630" t="n">
        <v>0.06900000000000001</v>
      </c>
      <c r="O630" t="n">
        <v>0.08260000000000001</v>
      </c>
    </row>
    <row r="631">
      <c r="A631" t="inlineStr">
        <is>
          <t>jabref</t>
        </is>
      </c>
      <c r="B631" t="inlineStr">
        <is>
          <t>.jbang/CheckoutPR.java</t>
        </is>
      </c>
      <c r="C631">
        <f>HYPERLINK("https://github.com/JabRef/jabref/blob/master/.jbang/CheckoutPR.java")</f>
        <v/>
      </c>
      <c r="D631" t="inlineStr">
        <is>
          <t>This is a Java program that uses the JGit library to clone a Git repository and then checks out a specific pull request from the repository using the GitHub API. The program takes two command line arguments: the first is the URL of the Git repository, and the second is the ID of the pull request to check out.
The program starts by creating a `GitHub` object using the</t>
        </is>
      </c>
      <c r="E631" t="n">
        <v>0.0031</v>
      </c>
      <c r="F631" t="n">
        <v>0.0519</v>
      </c>
      <c r="G631" t="n">
        <v>0.1064</v>
      </c>
      <c r="H631" t="inlineStr">
        <is>
          <t>This Java program uses the GitHub API to retrieve information about pull requests in a given repository and check out those that have been merged into the default branch. The program takes one argument, which is the name of the repository to be checked. It then retrieves all open pull requests for the specified repository using the `repo.queryPullRequests()` method from the `org.kohsu</t>
        </is>
      </c>
      <c r="I631" t="n">
        <v>0.0035</v>
      </c>
      <c r="J631" t="n">
        <v>0.0556</v>
      </c>
      <c r="K631" t="n">
        <v>0.1119</v>
      </c>
      <c r="L631" t="inlineStr">
        <is>
          <t>The provided Java code is a command line utility that checks out pull requests from a GitHub repository using the JGit library. It takes two arguments: the name of the repository and the number of the pull request to check out. The code uses the GitHub API to retrieve the specified pull request and then uses JGit to clone the repository and checkout the requested branch. Once the branch has been checked out</t>
        </is>
      </c>
      <c r="M631" t="n">
        <v>0.0025</v>
      </c>
      <c r="N631" t="n">
        <v>0.0247</v>
      </c>
      <c r="O631" t="n">
        <v>0.06900000000000001</v>
      </c>
    </row>
    <row r="632">
      <c r="A632" t="inlineStr">
        <is>
          <t>jabref</t>
        </is>
      </c>
      <c r="B632" t="inlineStr">
        <is>
          <t>.jbang/JabLsLauncher.java</t>
        </is>
      </c>
      <c r="C632">
        <f>HYPERLINK("https://github.com/JabRef/jabref/blob/master/.jbang/JabLsLauncher.java")</f>
        <v/>
      </c>
      <c r="D632" t="inlineStr">
        <is>
          <t>This code appears to be a Java program that uses the JabRef library to provide a BibTeX language server. The program is designed to work with the JabRef library's `BibtexTextDocumentService` class, which provides a text document service for working with BibTeX files. The program also depends on several other libraries, including Picocli, Jackson, and Tiny</t>
        </is>
      </c>
      <c r="E632" t="n">
        <v>0.004</v>
      </c>
      <c r="F632" t="n">
        <v>0.0625</v>
      </c>
      <c r="G632" t="n">
        <v>0.1181</v>
      </c>
      <c r="H632" t="inlineStr">
        <is>
          <t>This is a Java project with a README file that describes the purpose of the project and its dependencies. The project uses JabRef's library to implement a language server for BibTeX files. It also includes a CLI tool called "jabls-cli" which can be used to interact with the language server. The project has a total of 1000 lines of</t>
        </is>
      </c>
      <c r="I632" t="n">
        <v>0.0037</v>
      </c>
      <c r="J632" t="n">
        <v>0.058</v>
      </c>
      <c r="K632" t="n">
        <v>0.1527</v>
      </c>
      <c r="L632" t="inlineStr">
        <is>
          <t>The code provides a Java implementation of a BibTeX language server, which enables text editing features such as syntax highlighting, autocompletion, and error checking for BibTeX files. It uses the JabRef library for parsing and generating BibTeX content, and includes support for multiple programming languages through the Picocli framework.</t>
        </is>
      </c>
      <c r="M632" t="n">
        <v>0.0037</v>
      </c>
      <c r="N632" t="n">
        <v>0.0702</v>
      </c>
      <c r="O632" t="n">
        <v>0.124</v>
      </c>
    </row>
    <row r="633">
      <c r="A633" t="inlineStr">
        <is>
          <t>jabref</t>
        </is>
      </c>
      <c r="B633" t="inlineStr">
        <is>
          <t>jablib/src/jmh/java/org/jabref/benchmarks/Benchmarks.java</t>
        </is>
      </c>
      <c r="C633">
        <f>HYPERLINK("https://github.com/JabRef/jabref/blob/master/jablib/src/jmh/java/org/jabref/benchmarks/Benchmarks.java")</f>
        <v/>
      </c>
      <c r="D633" t="inlineStr">
        <is>
          <t>This is Java code for a benchmarking tool that measures the performance of various JabRef-related tasks. The code imports several classes from the JabRef library, including `org.jabref.logic`, `org.jabref.model`, and `org.jabref.gui`. It also uses several third-party libraries, such as Apache Commons IO and Jackson</t>
        </is>
      </c>
      <c r="E633" t="n">
        <v>0.0051</v>
      </c>
      <c r="F633" t="n">
        <v>0.0678</v>
      </c>
      <c r="G633" t="n">
        <v>0.1304</v>
      </c>
      <c r="H633" t="inlineStr">
        <is>
          <t>This Java package `org.jabref.benchmarks` contains various classes that implement benchmarking for JabRef, a reference management tool. The package includes classes for reading and writing BibTeX files, parsing and formatting strings, and implementing various algorithms related to citation key generation and HTML-to-LaTeX conversion. The code is well-documented with comments and has been</t>
        </is>
      </c>
      <c r="I633" t="n">
        <v>0.0043</v>
      </c>
      <c r="J633" t="n">
        <v>0.09379999999999999</v>
      </c>
      <c r="K633" t="n">
        <v>0.122</v>
      </c>
      <c r="L633" t="inlineStr">
        <is>
          <t>The provided Java code is part of a JabRef project that is responsible for generating bibliographic entries from plain text files. It takes in a list of strings representing the contents of these files as input and returns a list of ParserResults containing the parsed data. The code uses various libraries such as BibTeX parser, HTML formatter, and Latex formatter to perform the necessary parsing and</t>
        </is>
      </c>
      <c r="M633" t="n">
        <v>0.0028</v>
      </c>
      <c r="N633" t="n">
        <v>0.027</v>
      </c>
      <c r="O633" t="n">
        <v>0.0725</v>
      </c>
    </row>
    <row r="634">
      <c r="A634" t="inlineStr">
        <is>
          <t>jabref</t>
        </is>
      </c>
      <c r="B634" t="inlineStr">
        <is>
          <t>jablib/src/main/java/module-info.java</t>
        </is>
      </c>
      <c r="C634">
        <f>HYPERLINK("https://github.com/JabRef/jabref/blob/master/jablib/src/main/java/module-info.java")</f>
        <v/>
      </c>
      <c r="D634" t="inlineStr">
        <is>
          <t>This is a Java project that consists of several modules, each with its own set of packages and classes. The main package is `org.jabref`, which contains the entry point for the application. Within this package, there are several subpackages that define different functionalities, such as `org.jabref.model` (which contains data models), `org.jabref</t>
        </is>
      </c>
      <c r="E634" t="n">
        <v>0.0043</v>
      </c>
      <c r="F634" t="n">
        <v>0.09520000000000001</v>
      </c>
      <c r="G634" t="n">
        <v>0.0813</v>
      </c>
      <c r="H634" t="inlineStr">
        <is>
          <t>This is a Java module that exports various packages related to JabRef's backend software components. The module includes several sub-modules, each responsible for different aspects of the program's functionality. Some of these modules include:
* `org.jabref.model`: Contains classes related to data modeling and manipulation, such as entry types, fields, and databases</t>
        </is>
      </c>
      <c r="I634" t="n">
        <v>0.0051</v>
      </c>
      <c r="J634" t="n">
        <v>0.1587</v>
      </c>
      <c r="K634" t="n">
        <v>0.1626</v>
      </c>
      <c r="L634" t="inlineStr">
        <is>
          <t>The provided code defines a Java module named `org.jabref.jablib` that exports various packages related to JabRef, a citation management tool. The module is responsible for managing dependencies, searching, parsing, and exporting data in different formats. It also includes classes for handling preferences, importing and exporting files, and performing consistency checks.</t>
        </is>
      </c>
      <c r="M634" t="n">
        <v>0.0044</v>
      </c>
      <c r="N634" t="n">
        <v>0.0667</v>
      </c>
      <c r="O634" t="n">
        <v>0.082</v>
      </c>
    </row>
    <row r="635">
      <c r="A635" t="inlineStr">
        <is>
          <t>jabref</t>
        </is>
      </c>
      <c r="B635" t="inlineStr">
        <is>
          <t>jablib/src/main/java/org/jabref/logic/FilePreferences.java</t>
        </is>
      </c>
      <c r="C635">
        <f>HYPERLINK("https://github.com/JabRef/jabref/blob/master/jablib/src/main/java/org/jabref/logic/FilePreferences.java")</f>
        <v/>
      </c>
      <c r="D635" t="inlineStr">
        <is>
          <t>The `FilePreferences` class in JabRef is responsible for storing preferences related to the management of linked files. It provides several properties that can be used to customize the behavior of the application when working with files. These include:
* `userAndHost`: A string property representing the username and hostname of the current user.
* `mainFileDirectory`: A string</t>
        </is>
      </c>
      <c r="E635" t="n">
        <v>0.0033</v>
      </c>
      <c r="F635" t="n">
        <v>0.0323</v>
      </c>
      <c r="G635" t="n">
        <v>0.0781</v>
      </c>
      <c r="H635" t="inlineStr">
        <is>
          <t>This is Java code that defines a `FilePreferences` class with several properties related to file management in JabRef, a bibliography manager application. The class has the following members:
* A string property called `userAndHost`, which represents the username and hostname of the current user.
* A string property called `mainFileDirectory`, which represents the directory where the main</t>
        </is>
      </c>
      <c r="I635" t="n">
        <v>0.0038</v>
      </c>
      <c r="J635" t="n">
        <v>0.0635</v>
      </c>
      <c r="K635" t="n">
        <v>0.0775</v>
      </c>
      <c r="L635" t="inlineStr">
        <is>
          <t>The `FilePreferences` class is used to store preferences related to linking files in JabRef. It includes properties such as the directory where the main file is located, whether to store files relative to the bib file, and the filename patterns to use when renaming linked files.</t>
        </is>
      </c>
      <c r="M635" t="n">
        <v>0.004</v>
      </c>
      <c r="N635" t="n">
        <v>0.037</v>
      </c>
      <c r="O635" t="n">
        <v>0.0847</v>
      </c>
    </row>
    <row r="636">
      <c r="A636" t="inlineStr">
        <is>
          <t>jabref</t>
        </is>
      </c>
      <c r="B636" t="inlineStr">
        <is>
          <t>jablib/src/main/java/org/jabref/logic/UiCommand.java</t>
        </is>
      </c>
      <c r="C636">
        <f>HYPERLINK("https://github.com/JabRef/jabref/blob/master/jablib/src/main/java/org/jabref/logic/UiCommand.java")</f>
        <v/>
      </c>
      <c r="D636" t="inlineStr">
        <is>
          <t>The provided code defines several classes that represent different commands for interacting with a user interface (UI). These commands can be executed on a UI instance to perform various actions such as selecting entries, opening libraries, appending files or streams to the current library, focusing the UI, etc. The code also includes some deprecated methods that were used in the past but have since been removed. Overall</t>
        </is>
      </c>
      <c r="E636" t="n">
        <v>0</v>
      </c>
      <c r="F636" t="n">
        <v>0</v>
      </c>
      <c r="G636" t="n">
        <v>0.036</v>
      </c>
      <c r="H636" t="inlineStr">
        <is>
          <t>This is a Java package containing several classes that implement different UI commands for a library management system. The classes are annotated with `@NullMarked` to indicate that they can accept null values.
The `UiCommand` interface defines the structure of each command, which includes a type (either `BlankWorkspace`, `SelectEntryKeys`, `OpenLibraries`,</t>
        </is>
      </c>
      <c r="I636" t="n">
        <v>0.0037</v>
      </c>
      <c r="J636" t="n">
        <v>0.0702</v>
      </c>
      <c r="K636" t="n">
        <v>0.08260000000000001</v>
      </c>
      <c r="L636" t="inlineStr">
        <is>
          <t>The `UiCommand` class defines different types of commands that can be executed by the user interface (UI). It includes several subcommands, each representing a specific action such as opening files, appending data to the current library, or focusing on a particular entry. The class is annotated with `@NullMarked`, indicating that some of its fields may be null.</t>
        </is>
      </c>
      <c r="M636" t="n">
        <v>0</v>
      </c>
      <c r="N636" t="n">
        <v>0</v>
      </c>
      <c r="O636" t="n">
        <v>0</v>
      </c>
    </row>
    <row r="637">
      <c r="A637" t="inlineStr">
        <is>
          <t>jabref</t>
        </is>
      </c>
      <c r="B637" t="inlineStr">
        <is>
          <t>jablib/src/main/java/org/jabref/logic/JabRefException.java</t>
        </is>
      </c>
      <c r="C637">
        <f>HYPERLINK("https://github.com/JabRef/jabref/blob/master/jablib/src/main/java/org/jabref/logic/JabRefException.java")</f>
        <v/>
      </c>
      <c r="D637" t="inlineStr">
        <is>
          <t>The provided code is part of a Java library for managing bibliographic references called JabRef. It defines a custom exception class named `JabRefException` that inherits from the built-in `Exception` class in Java.
The `JabRefException` class has several constructors to handle different scenarios where an error occurs while using the library. Each constructor takes a</t>
        </is>
      </c>
      <c r="E637" t="n">
        <v>0</v>
      </c>
      <c r="F637" t="n">
        <v>0</v>
      </c>
      <c r="G637" t="n">
        <v>0.0397</v>
      </c>
      <c r="H637" t="inlineStr">
        <is>
          <t>This is a Java class named "JabRefException" that extends the built-in "Exception" class in Java. It has several constructors to initialize the exception with different types of parameters, including a string message, a throwable cause, or both. The class also has a method called "getLocalizedMessage()" which returns a localized version of the exception's message.</t>
        </is>
      </c>
      <c r="I637" t="n">
        <v>0.0034</v>
      </c>
      <c r="J637" t="n">
        <v>0.0312</v>
      </c>
      <c r="K637" t="n">
        <v>0.0397</v>
      </c>
      <c r="L637" t="inlineStr">
        <is>
          <t>The provided Java code defines a custom exception class called `JabRefException` that inherits from the built-in `Exception` class. It has several constructors for different use cases, including one that takes a message string as input and another that takes both a message and a throwable object as input. Additionally, it provides two methods for retrieving the localized error message and the</t>
        </is>
      </c>
      <c r="M637" t="n">
        <v>0.003</v>
      </c>
      <c r="N637" t="n">
        <v>0.0286</v>
      </c>
      <c r="O637" t="n">
        <v>0.0752</v>
      </c>
    </row>
    <row r="638">
      <c r="A638" t="inlineStr">
        <is>
          <t>jabref</t>
        </is>
      </c>
      <c r="B638" t="inlineStr">
        <is>
          <t>jablib/src/main/java/org/jabref/logic/InternalPreferences.java</t>
        </is>
      </c>
      <c r="C638">
        <f>HYPERLINK("https://github.com/JabRef/jabref/blob/master/jablib/src/main/java/org/jabref/logic/InternalPreferences.java")</f>
        <v/>
      </c>
      <c r="D638" t="inlineStr">
        <is>
          <t>The `InternalPreferences` class is responsible for storing internal preferences for JabRef, such as whether to check for updates or not, the path where the preferences were last saved, and other miscellaneous settings. It also provides methods for retrieving and updating these values.
The class has several fields that store different types of data, including:
* `ignored</t>
        </is>
      </c>
      <c r="E638" t="n">
        <v>0.0033</v>
      </c>
      <c r="F638" t="n">
        <v>0.0317</v>
      </c>
      <c r="G638" t="n">
        <v>0.0391</v>
      </c>
      <c r="H638" t="inlineStr">
        <is>
          <t>This Java package `org.jabref.logic` contains several classes that represent internal preferences for JabRef, a reference management tool. The main class is `InternalPreferences`, which has several properties related to the application's behavior and data storage. These include:
* `ignoredVersion`: A property representing the current version of JabRef being used.
*</t>
        </is>
      </c>
      <c r="I638" t="n">
        <v>0.0045</v>
      </c>
      <c r="J638" t="n">
        <v>0.06900000000000001</v>
      </c>
      <c r="K638" t="n">
        <v>0.08260000000000001</v>
      </c>
      <c r="L638" t="inlineStr">
        <is>
          <t>The provided Java code defines a `InternalPreferences` class that stores various preferences for the JabRef application. It includes properties for the following:
* `ignoredVersion`: A property representing the version of JabRef that should be ignored when checking for updates (e.g., if the user has manually disabled automatic update checks).
* `versionCheckEnabled`: A property</t>
        </is>
      </c>
      <c r="M638" t="n">
        <v>0</v>
      </c>
      <c r="N638" t="n">
        <v>0</v>
      </c>
      <c r="O638" t="n">
        <v>0</v>
      </c>
    </row>
    <row r="639">
      <c r="A639" t="inlineStr">
        <is>
          <t>jabref</t>
        </is>
      </c>
      <c r="B639" t="inlineStr">
        <is>
          <t>jablib/src/main/java/org/jabref/logic/LibraryPreferences.java</t>
        </is>
      </c>
      <c r="C639">
        <f>HYPERLINK("https://github.com/JabRef/jabref/blob/master/jablib/src/main/java/org/jabref/logic/LibraryPreferences.java")</f>
        <v/>
      </c>
      <c r="D639" t="inlineStr">
        <is>
          <t>The `LibraryPreferences` class is used to store preferences for the JabRef library management tool. It has several properties that can be set by the user, including:
* `defaultBibDatabaseMode`: A property representing the default bibliography database mode (e.g., BibTeX or biblatex).
* `alwaysReformatOnSave`: A property indicating whether the</t>
        </is>
      </c>
      <c r="E639" t="n">
        <v>0</v>
      </c>
      <c r="F639" t="n">
        <v>0</v>
      </c>
      <c r="G639" t="n">
        <v>0.042</v>
      </c>
      <c r="H639" t="inlineStr">
        <is>
          <t>This Java package `org.jabref.logic` contains classes related to library preferences management for JabRef (Journal Abbreviation and BibTeX Reference Editor). The main class is `LibraryPreferences`, which has several properties that define the user's preferences for the application. These include:
* `defaultBibDatabaseMode`: A property representing the default mode</t>
        </is>
      </c>
      <c r="I639" t="n">
        <v>0.0048</v>
      </c>
      <c r="J639" t="n">
        <v>0.07140000000000001</v>
      </c>
      <c r="K639" t="n">
        <v>0.0847</v>
      </c>
      <c r="L639" t="inlineStr">
        <is>
          <t>The provided Java code defines a `LibraryPreferences` class that stores various preferences related to a bibliography library. It has five properties:
* `defaultBibDatabaseMode`: An object property storing the default bibliographic database mode (e.g., BibTeX).
* `alwaysReformatOnSave`: A boolean property indicating whether to reformat the bibliography upon saving changes</t>
        </is>
      </c>
      <c r="M639" t="n">
        <v>0</v>
      </c>
      <c r="N639" t="n">
        <v>0</v>
      </c>
      <c r="O639" t="n">
        <v>0</v>
      </c>
    </row>
    <row r="640">
      <c r="A640" t="inlineStr">
        <is>
          <t>jabref</t>
        </is>
      </c>
      <c r="B640" t="inlineStr">
        <is>
          <t>jablib/src/main/java/org/jabref/logic/UiMessageHandler.java</t>
        </is>
      </c>
      <c r="C640">
        <f>HYPERLINK("https://github.com/JabRef/jabref/blob/master/jablib/src/main/java/org/jabref/logic/UiMessageHandler.java")</f>
        <v/>
      </c>
      <c r="D640" t="inlineStr">
        <is>
          <t>The provided code defines an interface named `UiMessageHandler` in the `org.jabref.logic` package. It specifies a method called `handleUiCommands()` that takes a list of `UiCommand` objects as input and processes them accordingly. This interface is used for handling both CLI (command-line interface) and remote commands to the UI.</t>
        </is>
      </c>
      <c r="E640" t="n">
        <v>0.0046</v>
      </c>
      <c r="F640" t="n">
        <v>0.06900000000000001</v>
      </c>
      <c r="G640" t="n">
        <v>0.1261</v>
      </c>
      <c r="H640" t="inlineStr">
        <is>
          <t>This is a Java interface named `UiMessageHandler` in the `org.jabref.logic` package. It defines a method called `handleUiCommands()` that takes a list of `UiCommand` objects as input. The purpose of this method is to process either CLI (command-line interface) or remote commands related to the user interface.
The</t>
        </is>
      </c>
      <c r="I640" t="n">
        <v>0.0039</v>
      </c>
      <c r="J640" t="n">
        <v>0.06900000000000001</v>
      </c>
      <c r="K640" t="n">
        <v>0.042</v>
      </c>
      <c r="L640" t="inlineStr">
        <is>
          <t>The code defines an interface called `UiMessageHandler` that processes CLI or remote commands to the UI. It specifies a method called `handleUiCommands()` that takes a list of `UiCommand` objects as input.</t>
        </is>
      </c>
      <c r="M640" t="n">
        <v>0</v>
      </c>
      <c r="N640" t="n">
        <v>0</v>
      </c>
      <c r="O640" t="n">
        <v>0</v>
      </c>
    </row>
    <row r="641">
      <c r="A641" t="inlineStr">
        <is>
          <t>jabref</t>
        </is>
      </c>
      <c r="B641" t="inlineStr">
        <is>
          <t>jablib/src/main/java/org/jabref/logic/WatchServiceUnavailableException.java</t>
        </is>
      </c>
      <c r="C641">
        <f>HYPERLINK("https://github.com/JabRef/jabref/blob/master/jablib/src/main/java/org/jabref/logic/WatchServiceUnavailableException.java")</f>
        <v/>
      </c>
      <c r="D641" t="inlineStr">
        <is>
          <t>This is a Java class called `WatchServiceUnavailableException` that inherits from `JabRefException`. It has three constructors: one with no arguments, another with a string argument for the error message, and another with a string argument for the error message and a throwable object (usually an exception). The class does not have any instance variables or methods.</t>
        </is>
      </c>
      <c r="E641" t="n">
        <v>0.004</v>
      </c>
      <c r="F641" t="n">
        <v>0.0635</v>
      </c>
      <c r="G641" t="n">
        <v>0.07870000000000001</v>
      </c>
      <c r="H641" t="inlineStr">
        <is>
          <t>This is Java code for a custom exception called "WatchServiceUnavailableException" that inherits from the base class "JabRefException". The constructor takes three arguments: a string message, a localized message, and a throwable cause. It then calls the parent class's constructor with these values to create a new instance of this exception.</t>
        </is>
      </c>
      <c r="I641" t="n">
        <v>0.0044</v>
      </c>
      <c r="J641" t="n">
        <v>0.0678</v>
      </c>
      <c r="K641" t="n">
        <v>0.082</v>
      </c>
      <c r="L641" t="inlineStr">
        <is>
          <t>The provided code defines a custom exception class called `WatchServiceUnavailableException` that inherits from `JabRefException`. It is used to indicate that the watch service is unavailable for some reason, such as when the operating system fails to provide the necessary resources or permissions. The constructor takes three parameters: a message string, a localized message string, and a throwable object (</t>
        </is>
      </c>
      <c r="M641" t="n">
        <v>0.0031</v>
      </c>
      <c r="N641" t="n">
        <v>0.0303</v>
      </c>
      <c r="O641" t="n">
        <v>0.07630000000000001</v>
      </c>
    </row>
    <row r="642">
      <c r="A642" t="inlineStr">
        <is>
          <t>jabref</t>
        </is>
      </c>
      <c r="B642" t="inlineStr">
        <is>
          <t>jablib/src/main/java/org/jabref/logic/citation/SearchCitationsRelationsService.java</t>
        </is>
      </c>
      <c r="C642">
        <f>HYPERLINK("https://github.com/JabRef/jabref/blob/master/jablib/src/main/java/org/jabref/logic/citation/SearchCitationsRelationsService.java")</f>
        <v/>
      </c>
      <c r="D642" t="inlineStr">
        <is>
          <t>This is a Java project that appears to be related to bibliographic reference management. The code defines several classes and interfaces related to fetching citations from online databases, as well as managing citation data in memory. It also includes some utility functions for working with strings and lists.
The main class `CitationFetcher` seems to be responsible for fetching citations from online</t>
        </is>
      </c>
      <c r="E642" t="n">
        <v>0.0036</v>
      </c>
      <c r="F642" t="n">
        <v>0.08699999999999999</v>
      </c>
      <c r="G642" t="n">
        <v>0.1128</v>
      </c>
      <c r="H642" t="inlineStr">
        <is>
          <t>This is a Java library that provides various functionalities for working with citations in bibliographic databases. The main classes and interfaces defined in this package include:
* `Citation`: A class representing a citation, which can be used to represent a reference or a footnote in a document. It has properties such as the author, title, publication date, etc., as well as</t>
        </is>
      </c>
      <c r="I642" t="n">
        <v>0.0036</v>
      </c>
      <c r="J642" t="n">
        <v>0.0882</v>
      </c>
      <c r="K642" t="n">
        <v>0.1128</v>
      </c>
      <c r="L642" t="inlineStr">
        <is>
          <t>The provided Java code is part of a software system that implements citation management for academic papers. It appears to be responsible for fetching citation counts and references from online databases using various fetchers. The code defines several classes and interfaces related to citation management, including `CitationFetcher`, `CitationCountFetcher`, and `BibEntryCitationsAndReferencesRepository`.</t>
        </is>
      </c>
      <c r="M642" t="n">
        <v>0.0048</v>
      </c>
      <c r="N642" t="n">
        <v>0.1034</v>
      </c>
      <c r="O642" t="n">
        <v>0.1639</v>
      </c>
    </row>
    <row r="643">
      <c r="A643" t="inlineStr">
        <is>
          <t>jabref</t>
        </is>
      </c>
      <c r="B643" t="inlineStr">
        <is>
          <t>jablib/src/main/java/org/jabref/logic/citation/repository/MVStoreBibEntryRelationRepository.java</t>
        </is>
      </c>
      <c r="C643">
        <f>HYPERLINK("https://github.com/JabRef/jabref/blob/master/jablib/src/main/java/org/jabref/logic/citation/repository/MVStoreBibEntryRelationRepository.java")</f>
        <v/>
      </c>
      <c r="D643" t="inlineStr">
        <is>
          <t>The `MVStoreBibEntryRelationRepository` class is responsible for storing and retrieving relations between `BibEntry` objects using an MVStore. It provides methods for adding, removing, and querying these relations. The class also includes a method for updating the relation cache after changes to the underlying data have been made.
The `MVStoreBibEntry</t>
        </is>
      </c>
      <c r="E643" t="n">
        <v>0.0038</v>
      </c>
      <c r="F643" t="n">
        <v>0.0357</v>
      </c>
      <c r="G643" t="n">
        <v>0.0833</v>
      </c>
      <c r="H643" t="inlineStr">
        <is>
          <t>The `MVStoreBibEntryRelationRepository` class is a Java implementation of a relation repository that stores and retrieves relations between `BibEntry` objects using an MVStore database. It provides methods for adding, removing, and querying these relations. The class also includes comments and annotations to indicate its purpose and usage.</t>
        </is>
      </c>
      <c r="I643" t="n">
        <v>0.004</v>
      </c>
      <c r="J643" t="n">
        <v>0.0741</v>
      </c>
      <c r="K643" t="n">
        <v>0.1271</v>
      </c>
      <c r="L643" t="inlineStr">
        <is>
          <t>The `MVStoreBibEntryRelationRepository` class is a Java implementation of a `BibEntryRelationRepository` that stores and retrieves relations between `BibEntry` objects using an MVStore database. The class is responsible for managing the storage and retrieval of these relations, which can be used to perform various tasks such as generating citation strings or ident</t>
        </is>
      </c>
      <c r="M643" t="n">
        <v>0.0037</v>
      </c>
      <c r="N643" t="n">
        <v>0.06900000000000001</v>
      </c>
      <c r="O643" t="n">
        <v>0.123</v>
      </c>
    </row>
    <row r="644">
      <c r="A644" t="inlineStr">
        <is>
          <t>jabref</t>
        </is>
      </c>
      <c r="B644" t="inlineStr">
        <is>
          <t>jablib/src/main/java/org/jabref/logic/citation/repository/BibEntryCitationsAndReferencesRepository.java</t>
        </is>
      </c>
      <c r="C644">
        <f>HYPERLINK("https://github.com/JabRef/jabref/blob/master/jablib/src/main/java/org/jabref/logic/citation/repository/BibEntryCitationsAndReferencesRepository.java")</f>
        <v/>
      </c>
      <c r="D644" t="inlineStr">
        <is>
          <t>This code defines an interface for a repository that manages citation and reference information for bibliographic entries in JabRef. The interface provides methods to insert, retrieve, and update citation and reference information for a given entry, as well as methods to check if certain operations are possible (e.g., whether it's possible to update the references for a given entry). Additionally, there</t>
        </is>
      </c>
      <c r="E644" t="n">
        <v>0.0036</v>
      </c>
      <c r="F644" t="n">
        <v>0.0563</v>
      </c>
      <c r="G644" t="n">
        <v>0.0752</v>
      </c>
      <c r="H644" t="inlineStr">
        <is>
          <t>This Java interface defines a repository for storing and managing citation and reference information related to a bibliographic entry. The interface provides methods for adding citations and references, retrieving them, checking if they exist, and updating their status. It also includes a method for closing the repository.</t>
        </is>
      </c>
      <c r="I644" t="n">
        <v>0.0046</v>
      </c>
      <c r="J644" t="n">
        <v>0.0727</v>
      </c>
      <c r="K644" t="n">
        <v>0.08400000000000001</v>
      </c>
      <c r="L644" t="inlineStr">
        <is>
          <t>The provided code defines an interface for managing citation and reference data for bibliographic entries in JabRef. It provides methods for inserting new citations and references, retrieving existing citations and references, checking if certain operations can be performed on a given entry, and closing the repository.</t>
        </is>
      </c>
      <c r="M644" t="n">
        <v>0.004</v>
      </c>
      <c r="N644" t="n">
        <v>0.037</v>
      </c>
      <c r="O644" t="n">
        <v>0.0424</v>
      </c>
    </row>
    <row r="645">
      <c r="A645" t="inlineStr">
        <is>
          <t>jabref</t>
        </is>
      </c>
      <c r="B645" t="inlineStr">
        <is>
          <t>jablib/src/main/java/org/jabref/logic/citation/repository/BibEntryHashSetSerializer.java</t>
        </is>
      </c>
      <c r="C645">
        <f>HYPERLINK("https://github.com/JabRef/jabref/blob/master/jablib/src/main/java/org/jabref/logic/citation/repository/BibEntryHashSetSerializer.java")</f>
        <v/>
      </c>
      <c r="D645" t="inlineStr">
        <is>
          <t>This is a Java class that implements a serializer for a `LinkedHashSet` of `BibEntry` objects using the H2 database library's `BasicDataType` interface. The class takes in two parameters upon instantiation: an instance of `BibEntryTypesManager`, which manages the different types of bibliographic entries, and an instance of `ImportFormatPreferences</t>
        </is>
      </c>
      <c r="E645" t="n">
        <v>0.0051</v>
      </c>
      <c r="F645" t="n">
        <v>0.1071</v>
      </c>
      <c r="G645" t="n">
        <v>0.1681</v>
      </c>
      <c r="H645" t="inlineStr">
        <is>
          <t>This is a Java class that implements a custom serializer for a LinkedHashSet of BibEntry objects using the H2 database library's BasicDataType interface. The serializer takes in a set of BibEntry objects and returns a ByteBuffer containing their serialized representation. It uses the BibEntrySerializer class to serialize each individual BibEntry object before appending it to the output buffer. The</t>
        </is>
      </c>
      <c r="I645" t="n">
        <v>0.0041</v>
      </c>
      <c r="J645" t="n">
        <v>0.0882</v>
      </c>
      <c r="K645" t="n">
        <v>0.1527</v>
      </c>
      <c r="L645" t="inlineStr">
        <is>
          <t>The code defines a custom serializer for a LinkedHashSet of BibEntries using H2's MVStore library. It takes in three parameters: an instance of BibEntryTypesManager, an instance of ImportFormatPreferences, and an instance of FieldPreferences. The serializer is responsible for converting a LinkedHashSet of BibEntries into a byte array that can be stored in an</t>
        </is>
      </c>
      <c r="M645" t="n">
        <v>0.0035</v>
      </c>
      <c r="N645" t="n">
        <v>0.0323</v>
      </c>
      <c r="O645" t="n">
        <v>0.08</v>
      </c>
    </row>
    <row r="646">
      <c r="A646" t="inlineStr">
        <is>
          <t>jabref</t>
        </is>
      </c>
      <c r="B646" t="inlineStr">
        <is>
          <t>jablib/src/main/java/org/jabref/logic/citation/repository/BibEntryCitationsAndReferencesRepositoryShell.java</t>
        </is>
      </c>
      <c r="C646">
        <f>HYPERLINK("https://github.com/JabRef/jabref/blob/master/jablib/src/main/java/org/jabref/logic/citation/repository/BibEntryCitationsAndReferencesRepositoryShell.java")</f>
        <v/>
      </c>
      <c r="D646" t="inlineStr">
        <is>
          <t>The `BibEntryCitationsAndReferencesRepository` is a Java class that provides a way to store and retrieve citations and references for bibliographic entries in JabRef. It uses a MVStore-based database to store the data.
The class has several methods, including:
* `addCitation`: adds a citation to the database
* `</t>
        </is>
      </c>
      <c r="E646" t="n">
        <v>0.0039</v>
      </c>
      <c r="F646" t="n">
        <v>0.0377</v>
      </c>
      <c r="G646" t="n">
        <v>0.08400000000000001</v>
      </c>
      <c r="H646" t="inlineStr">
        <is>
          <t>This is a Java class that represents a repository for storing and retrieving citations and references for bibliographic entries in JabRef. The class uses the MVStore library to store data in a database file on disk. It also uses various other libraries such as Guava, JSpecify, and SLF4J for additional functionality.
The class has several methods that provide different</t>
        </is>
      </c>
      <c r="I646" t="n">
        <v>0.0037</v>
      </c>
      <c r="J646" t="n">
        <v>0.0597</v>
      </c>
      <c r="K646" t="n">
        <v>0.1145</v>
      </c>
      <c r="L646" t="inlineStr">
        <is>
          <t>The `BibEntryCitationsAndReferencesRepository` is a Java class that provides access to the citations and references of a given entry. It uses the `MVStoreBase` class as its backing data store and implements the `BibEntryCitationsAndReferencesRepository` interface. The class has several methods for adding, removing, and retrieving entries from the database.</t>
        </is>
      </c>
      <c r="M646" t="n">
        <v>0.0046</v>
      </c>
      <c r="N646" t="n">
        <v>0.0727</v>
      </c>
      <c r="O646" t="n">
        <v>0.1261</v>
      </c>
    </row>
    <row r="647">
      <c r="A647" t="inlineStr">
        <is>
          <t>jabref</t>
        </is>
      </c>
      <c r="B647" t="inlineStr">
        <is>
          <t>jablib/src/main/java/org/jabref/logic/citation/repository/BibEntrySerializer.java</t>
        </is>
      </c>
      <c r="C647">
        <f>HYPERLINK("https://github.com/JabRef/jabref/blob/master/jablib/src/main/java/org/jabref/logic/citation/repository/BibEntrySerializer.java")</f>
        <v/>
      </c>
      <c r="D647" t="inlineStr">
        <is>
          <t>The `BibEntrySerializer` class is responsible for serializing and deserializing `BibEntry` objects to and from binary data using the H2 database library's MVStore format. It provides methods for reading and writing entries in the MVStore format, as well as methods for comparing and merging entries.
The class uses the `org.h2.</t>
        </is>
      </c>
      <c r="E647" t="n">
        <v>0.0037</v>
      </c>
      <c r="F647" t="n">
        <v>0.0339</v>
      </c>
      <c r="G647" t="n">
        <v>0.08260000000000001</v>
      </c>
      <c r="H647" t="inlineStr">
        <is>
          <t>The `BibEntrySerializer` class is a custom data type for H2's MVStore database that allows storing and retrieving `BibEntry` objects in a serialized form. It implements the `BasicDataType` interface from H2's MVStore library.
The class has several responsibilities, including:
* Serializing and deserial</t>
        </is>
      </c>
      <c r="I647" t="n">
        <v>0.0052</v>
      </c>
      <c r="J647" t="n">
        <v>0.0784</v>
      </c>
      <c r="K647" t="n">
        <v>0.0877</v>
      </c>
      <c r="L647" t="inlineStr">
        <is>
          <t>The `BibEntrySerializer` class is responsible for serializing and deserializing `BibEntry` objects using the H2 database library's `WriteBuffer`. It implements the `BasicDataType` interface from the `org.h2.mvstore.type` package.
The class has several methods that perform different tasks related to serialization and deserialization,</t>
        </is>
      </c>
      <c r="M647" t="n">
        <v>0.0055</v>
      </c>
      <c r="N647" t="n">
        <v>0.0769</v>
      </c>
      <c r="O647" t="n">
        <v>0.1339</v>
      </c>
    </row>
    <row r="648">
      <c r="A648" t="inlineStr">
        <is>
          <t>jabref</t>
        </is>
      </c>
      <c r="B648" t="inlineStr">
        <is>
          <t>jablib/src/main/java/org/jabref/logic/citation/repository/BibEntryRelationRepository.java</t>
        </is>
      </c>
      <c r="C648">
        <f>HYPERLINK("https://github.com/JabRef/jabref/blob/master/jablib/src/main/java/org/jabref/logic/citation/repository/BibEntryRelationRepository.java")</f>
        <v/>
      </c>
      <c r="D648" t="inlineStr">
        <is>
          <t>This is a Java interface named `BibEntryRelationRepository` that defines a generic contract for storing relations between `BibEntry` objects in a database or other data storage system. The interface provides three methods:
1. `getRelations`: Returns a list of related `BibEntry` objects for a given `BibEntry`.
2. `addRelations</t>
        </is>
      </c>
      <c r="E648" t="n">
        <v>0.004</v>
      </c>
      <c r="F648" t="n">
        <v>0.037</v>
      </c>
      <c r="G648" t="n">
        <v>0.0424</v>
      </c>
      <c r="H648" t="inlineStr">
        <is>
          <t>This is a Java interface named "BibEntryRelationRepository" that defines a generic repository for storing relationships between entries in a bibliography database. The interface provides methods for retrieving and adding such relationships, as well as checking if a key exists in the repository. Additionally, it includes a default method for determining whether or not an update should be performed on an entry.</t>
        </is>
      </c>
      <c r="I648" t="n">
        <v>0.0036</v>
      </c>
      <c r="J648" t="n">
        <v>0.058</v>
      </c>
      <c r="K648" t="n">
        <v>0.0752</v>
      </c>
      <c r="L648" t="inlineStr">
        <is>
          <t>The provided code defines a generic interface for storing relationships between bib entries. It provides two methods: `getRelations` which returns all the relations associated with a given entry, and `addRelations` which adds new relations to an existing entry. Additionally, it includes a method called `shouldUpdate`, which always returns true by default.</t>
        </is>
      </c>
      <c r="M648" t="n">
        <v>0.0036</v>
      </c>
      <c r="N648" t="n">
        <v>0.0339</v>
      </c>
      <c r="O648" t="n">
        <v>0.0407</v>
      </c>
    </row>
    <row r="649">
      <c r="A649" t="inlineStr">
        <is>
          <t>jabref</t>
        </is>
      </c>
      <c r="B649" t="inlineStr">
        <is>
          <t>jablib/src/main/java/org/jabref/logic/l10n/LocalizationKey.java</t>
        </is>
      </c>
      <c r="C649">
        <f>HYPERLINK("https://github.com/JabRef/jabref/blob/master/jablib/src/main/java/org/jabref/logic/l10n/LocalizationKey.java")</f>
        <v/>
      </c>
      <c r="D649" t="inlineStr">
        <is>
          <t>This Java code defines a `LocalizationKey` class that represents a localized string with a unique key. It has two constructors, one that takes a plain key as a parameter and another that takes a property key as a parameter. The constructor that takes a property key also performs some formatting on the key to ensure it can be used as a valid property key in a properties file. The</t>
        </is>
      </c>
      <c r="E649" t="n">
        <v>0.0031</v>
      </c>
      <c r="F649" t="n">
        <v>0.0519</v>
      </c>
      <c r="G649" t="n">
        <v>0.1064</v>
      </c>
      <c r="H649" t="inlineStr">
        <is>
          <t>This Java package `org.jabref.logic.l10n` contains classes related to localization, specifically for translating plain text into different languages using a properties file format. The main class `LocalizationKey` represents a key that can be used to look up a translation in a properties file. It takes a string parameter representing the plain text key and performs some basic san</t>
        </is>
      </c>
      <c r="I649" t="n">
        <v>0.0038</v>
      </c>
      <c r="J649" t="n">
        <v>0.0588</v>
      </c>
      <c r="K649" t="n">
        <v>0.1163</v>
      </c>
      <c r="L649" t="inlineStr">
        <is>
          <t>This Java code defines a model for a localization key used in JabRef, a reference management tool. The `LocalizationKey` class represents a key that can be translated into different languages. It takes a string parameter representing the plain key (no escaping), and then performs various transformations to ensure that the resulting property key is compliant with the Java Properties file format. Specifically,</t>
        </is>
      </c>
      <c r="M649" t="n">
        <v>0.0035</v>
      </c>
      <c r="N649" t="n">
        <v>0.0571</v>
      </c>
      <c r="O649" t="n">
        <v>0.1119</v>
      </c>
    </row>
    <row r="650">
      <c r="A650" t="inlineStr">
        <is>
          <t>jabref</t>
        </is>
      </c>
      <c r="B650" t="inlineStr">
        <is>
          <t>jablib/src/main/java/org/jabref/logic/l10n/LocalizationKeyParams.java</t>
        </is>
      </c>
      <c r="C650">
        <f>HYPERLINK("https://github.com/JabRef/jabref/blob/master/jablib/src/main/java/org/jabref/logic/l10n/LocalizationKeyParams.java")</f>
        <v/>
      </c>
      <c r="D650" t="inlineStr">
        <is>
          <t>The `LocalizationKeyParams` class is used to represent a localization key with its corresponding parameters in JabRef's backend. It has two main methods:
* `LocalizationKeyParams(String key, String... params)`: Constructs a new instance of `LocalizationKeyParams` from a given key and list of parameters.
* `replacePlacehold</t>
        </is>
      </c>
      <c r="E650" t="n">
        <v>0.0043</v>
      </c>
      <c r="F650" t="n">
        <v>0.0392</v>
      </c>
      <c r="G650" t="n">
        <v>0.08699999999999999</v>
      </c>
      <c r="H650" t="inlineStr">
        <is>
          <t>This is a Java class named "LocalizationKeyParams" that represents a localization key with its corresponding parameters. The class has a constructor that takes in a string representing the localization key and an array of strings representing the parameters. It also has a method called "replacePlaceholders()" which replaces placeholders in the localization key with their corresponding parameters. The complexity of the</t>
        </is>
      </c>
      <c r="I650" t="n">
        <v>0.0036</v>
      </c>
      <c r="J650" t="n">
        <v>0.0588</v>
      </c>
      <c r="K650" t="n">
        <v>0.07580000000000001</v>
      </c>
      <c r="L650" t="inlineStr">
        <is>
          <t>The `LocalizationKeyParams` class is used to represent localized keys with placeholders for dynamic values. It takes a string key and an array of strings as parameters in its constructor, and stores them as instance variables. The `replacePlaceholders()` method replaces each placeholder in the key with the corresponding parameter value. The class ensures that there are no more than 1</t>
        </is>
      </c>
      <c r="M650" t="n">
        <v>0.0031</v>
      </c>
      <c r="N650" t="n">
        <v>0.0299</v>
      </c>
      <c r="O650" t="n">
        <v>0.07630000000000001</v>
      </c>
    </row>
    <row r="651">
      <c r="A651" t="inlineStr">
        <is>
          <t>jabref</t>
        </is>
      </c>
      <c r="B651" t="inlineStr">
        <is>
          <t>jablib/src/main/java/org/jabref/logic/l10n/Localization.java</t>
        </is>
      </c>
      <c r="C651">
        <f>HYPERLINK("https://github.com/JabRef/jabref/blob/master/jablib/src/main/java/org/jabref/logic/l10n/Localization.java")</f>
        <v/>
      </c>
      <c r="D651" t="inlineStr">
        <is>
          <t>The provided Java code defines a class called `L10nManager`, which manages localization (i18n) for a JabRef application. It provides methods for accessing and formatting messages and menu items in the preferred language of the user.
The class has several responsibilities, including:
* Loading and caching resource bundles for different languages.</t>
        </is>
      </c>
      <c r="E651" t="n">
        <v>0.0037</v>
      </c>
      <c r="F651" t="n">
        <v>0.0351</v>
      </c>
      <c r="G651" t="n">
        <v>0.041</v>
      </c>
      <c r="H651" t="inlineStr">
        <is>
          <t>The provided Java code defines a class called `L10nManager`, which provides methods for managing localization (i18n) of messages and menu entries in the preferred language of a user. It uses the `java.util.ResourceBundle` class to load and access localized resources from property files. The `L10nManager` class also has methods for formatting</t>
        </is>
      </c>
      <c r="I651" t="n">
        <v>0.0037</v>
      </c>
      <c r="J651" t="n">
        <v>0.0333</v>
      </c>
      <c r="K651" t="n">
        <v>0.082</v>
      </c>
      <c r="L651" t="inlineStr">
        <is>
          <t>The provided Java code defines a class called `L10nMessage` which provides methods for accessing and manipulating localized messages and menu items in the preferred language of the user. The class uses the `java.util.ResourceBundle` API to load and store localization data from a properties file. It also includes a number of utility methods for working with strings and collections.</t>
        </is>
      </c>
      <c r="M651" t="n">
        <v>0.0031</v>
      </c>
      <c r="N651" t="n">
        <v>0.0294</v>
      </c>
      <c r="O651" t="n">
        <v>0.0769</v>
      </c>
    </row>
    <row r="652">
      <c r="A652" t="inlineStr">
        <is>
          <t>jabref</t>
        </is>
      </c>
      <c r="B652" t="inlineStr">
        <is>
          <t>jablib/src/main/java/org/jabref/logic/l10n/Language.java</t>
        </is>
      </c>
      <c r="C652">
        <f>HYPERLINK("https://github.com/JabRef/jabref/blob/master/jablib/src/main/java/org/jabref/logic/l10n/Language.java")</f>
        <v/>
      </c>
      <c r="D652" t="inlineStr">
        <is>
          <t>The `Language` class in this Java file defines a set of constants representing different languages that can be used for localization purposes. Each language constant has a name and a corresponding ISO 639-1 language code. The class also provides methods for retrieving the list of available languages, sorting them by their names, and checking if a given language is supported.</t>
        </is>
      </c>
      <c r="E652" t="n">
        <v>0.003</v>
      </c>
      <c r="F652" t="n">
        <v>0.058</v>
      </c>
      <c r="G652" t="n">
        <v>0.1136</v>
      </c>
      <c r="H652" t="inlineStr">
        <is>
          <t>This is a Java package named `org.jabref.logic.l10n` that contains a class called `Language`. The `Language` class defines a list of supported languages in JabRef, along with their names and ISO codes. It also provides methods for retrieving information about specific languages based on their name or ISO code.
The `Language` class has</t>
        </is>
      </c>
      <c r="I652" t="n">
        <v>0.0042</v>
      </c>
      <c r="J652" t="n">
        <v>0.0635</v>
      </c>
      <c r="K652" t="n">
        <v>0.0806</v>
      </c>
      <c r="L652" t="inlineStr">
        <is>
          <t>The provided code defines an enumeration called `Language` that represents all supported languages. It includes various localized names for each language and their corresponding ISO codes. The class also provides methods for retrieving the list of available languages, sorting them by name, and finding a specific language based on its ISO code.</t>
        </is>
      </c>
      <c r="M652" t="n">
        <v>0.0035</v>
      </c>
      <c r="N652" t="n">
        <v>0.0333</v>
      </c>
      <c r="O652" t="n">
        <v>0.0403</v>
      </c>
    </row>
    <row r="653">
      <c r="A653" t="inlineStr">
        <is>
          <t>jabref</t>
        </is>
      </c>
      <c r="B653" t="inlineStr">
        <is>
          <t>jablib/src/main/java/org/jabref/logic/icore/ConferenceUtils.java</t>
        </is>
      </c>
      <c r="C653">
        <f>HYPERLINK("https://github.com/JabRef/jabref/blob/master/jablib/src/main/java/org/jabref/logic/icore/ConferenceUtils.java")</f>
        <v/>
      </c>
      <c r="D653" t="inlineStr">
        <is>
          <t>The `ConferenceUtils` class provides various utility methods for working with conference names and their associated year information. It includes the following methods:
* `getYearFromName`: takes a conference name as input and returns the year associated with it if any, otherwise returns an empty optional. This method uses regular expressions to extract the year from the conference name.
* `getYears</t>
        </is>
      </c>
      <c r="E653" t="n">
        <v>0.0037</v>
      </c>
      <c r="F653" t="n">
        <v>0.0308</v>
      </c>
      <c r="G653" t="n">
        <v>0.1145</v>
      </c>
      <c r="H653" t="inlineStr">
        <is>
          <t>This Java package `org.jabref.logic.icore` contains a single file called `ConferenceUtils`. The file defines several constants and methods for working with conference names and their associated year information.
The main method `getYearFromConferenceName` takes a conference name as input and returns its corresponding year using a regular expression pattern to extract the year from the name</t>
        </is>
      </c>
      <c r="I653" t="n">
        <v>0.004</v>
      </c>
      <c r="J653" t="n">
        <v>0.0615</v>
      </c>
      <c r="K653" t="n">
        <v>0.119</v>
      </c>
      <c r="L653" t="inlineStr">
        <is>
          <t>The `ConferenceUtils` class provides various utility methods for working with conference data. It includes methods for parsing strings containing conference names and identifying the year of the conference. Additionally, it defines a regular expression pattern for matching years in the format "19YY" or "20YY".</t>
        </is>
      </c>
      <c r="M653" t="n">
        <v>0.0042</v>
      </c>
      <c r="N653" t="n">
        <v>0.0385</v>
      </c>
      <c r="O653" t="n">
        <v>0.0862</v>
      </c>
    </row>
    <row r="654">
      <c r="A654" t="inlineStr">
        <is>
          <t>jabref</t>
        </is>
      </c>
      <c r="B654" t="inlineStr">
        <is>
          <t>jablib/src/main/java/org/jabref/logic/icore/ConferenceRepository.java</t>
        </is>
      </c>
      <c r="C654">
        <f>HYPERLINK("https://github.com/JabRef/jabref/blob/master/jablib/src/main/java/org/jabref/logic/icore/ConferenceRepository.java")</f>
        <v/>
      </c>
      <c r="D654" t="inlineStr">
        <is>
          <t>This Java class implements a repository for storing and retrieving conference rankings based on their acronym or title. It uses Apache Commons CSV library to read the ranking data from a CSV file and stores it in memory as a map of conference acronyms to conference objects. The `getRank` method returns the ranking of a given conference by its acronym or title, if</t>
        </is>
      </c>
      <c r="E654" t="n">
        <v>0.0038</v>
      </c>
      <c r="F654" t="n">
        <v>0.08450000000000001</v>
      </c>
      <c r="G654" t="n">
        <v>0.1481</v>
      </c>
      <c r="H654" t="inlineStr">
        <is>
          <t>This Java class implements a repository for storing and retrieving the latest ICORE Conference Ranking data. It uses Apache Commons CSV library to parse the downloaded CSV file and extract the necessary information. The repository also includes methods for looking up conferences by their acronym or title.</t>
        </is>
      </c>
      <c r="I654" t="n">
        <v>0.0051</v>
      </c>
      <c r="J654" t="n">
        <v>0.1091</v>
      </c>
      <c r="K654" t="n">
        <v>0.1681</v>
      </c>
      <c r="L654" t="inlineStr">
        <is>
          <t>The provided code defines a class called "ICORERepository" which serves as a repository for storing and retrieving the latest ICORE Conference Ranking data. It provides methods for loading the data from a CSV file, looking up conferences by their acronym or title, and calculating similarity between conference titles.</t>
        </is>
      </c>
      <c r="M654" t="n">
        <v>0.0038</v>
      </c>
      <c r="N654" t="n">
        <v>0.0357</v>
      </c>
      <c r="O654" t="n">
        <v>0.0417</v>
      </c>
    </row>
    <row r="655">
      <c r="A655" t="inlineStr">
        <is>
          <t>jabref</t>
        </is>
      </c>
      <c r="B655" t="inlineStr">
        <is>
          <t>jablib/src/main/java/org/jabref/logic/texparser/TexBibEntriesResolver.java</t>
        </is>
      </c>
      <c r="C655">
        <f>HYPERLINK("https://github.com/JabRef/jabref/blob/master/jablib/src/main/java/org/jabref/logic/texparser/TexBibEntriesResolver.java")</f>
        <v/>
      </c>
      <c r="D655" t="inlineStr">
        <is>
          <t>The `TexBibEntriesResolver` class is responsible for resolving LaTeX-style citations in a given text to their corresponding bibliography entries. It takes in a `masterDatabase`, which represents the current state of the bibliography database, as well as an `importFormatPreferences` object that specifies how to handle different types of files during the parsing process. Additionally, it requires</t>
        </is>
      </c>
      <c r="E655" t="n">
        <v>0</v>
      </c>
      <c r="F655" t="n">
        <v>0</v>
      </c>
      <c r="G655" t="n">
        <v>0</v>
      </c>
      <c r="H655" t="inlineStr">
        <is>
          <t>This Java package `org.jabref.logic.texparser` provides a tool for resolving LaTeX citations in text files to their corresponding bibliography entries. The main class `TexBibEntriesResolver` takes in a `masterDatabase`, which is a collection of all available bibliographic entries, as well as an `importFormatPreferences` object that specifies how to parse</t>
        </is>
      </c>
      <c r="I655" t="n">
        <v>0.0039</v>
      </c>
      <c r="J655" t="n">
        <v>0.06900000000000001</v>
      </c>
      <c r="K655" t="n">
        <v>0.042</v>
      </c>
      <c r="L655" t="inlineStr">
        <is>
          <t>The `TexBibEntriesResolver` class is responsible for resolving LaTeX bib entries within a given text. It takes in a `masterDatabase`, which represents the current state of the database, as well as an `importFormatPreferences` object that specifies how to parse the input data. Additionally, it requires a `fileMonitor` object to monitor changes to the underlying files.</t>
        </is>
      </c>
      <c r="M655" t="n">
        <v>0</v>
      </c>
      <c r="N655" t="n">
        <v>0</v>
      </c>
      <c r="O655" t="n">
        <v>0</v>
      </c>
    </row>
    <row r="656">
      <c r="A656" t="inlineStr">
        <is>
          <t>jabref</t>
        </is>
      </c>
      <c r="B656" t="inlineStr">
        <is>
          <t>jablib/src/main/java/org/jabref/logic/texparser/LatexParser.java</t>
        </is>
      </c>
      <c r="C656">
        <f>HYPERLINK("https://github.com/JabRef/jabref/blob/master/jablib/src/main/java/org/jabref/logic/texparser/LatexParser.java")</f>
        <v/>
      </c>
      <c r="D656" t="inlineStr">
        <is>
          <t>The `LatexParser` class provides methods for parsing LaTeX files and extracting information about their citations. It has two main methods:
* `parse(citeString)`: This method takes a string containing a citation as input and returns a `LatexParserResult`, which includes the path to the LaTeX file (empty in this case), the line number where the</t>
        </is>
      </c>
      <c r="E656" t="n">
        <v>0.0041</v>
      </c>
      <c r="F656" t="n">
        <v>0.06560000000000001</v>
      </c>
      <c r="G656" t="n">
        <v>0.08</v>
      </c>
      <c r="H656" t="inlineStr">
        <is>
          <t>This Java package `org.jabref.logic.texparser` defines an interface called `LatexParser`, which provides methods for parsing LaTeX files and extracting information about their bibliographic references. The interface has three methods:
* `parse(citeString)`: Takes a string argument that represents a LaTeX citation and returns a `LatexParserResult`</t>
        </is>
      </c>
      <c r="I656" t="n">
        <v>0.0051</v>
      </c>
      <c r="J656" t="n">
        <v>0.0741</v>
      </c>
      <c r="K656" t="n">
        <v>0.08699999999999999</v>
      </c>
      <c r="L656" t="inlineStr">
        <is>
          <t>The provided Java code defines an interface named `LatexParser` that provides methods for parsing LaTeX files. The interface has two methods: `parse`, which takes a string as input and returns a `LatexParserResult` object containing the parsed data, and another method called `parse` that takes a path to a LaTeX file as input and returns an optional `LatexParser</t>
        </is>
      </c>
      <c r="M656" t="n">
        <v>0.0032</v>
      </c>
      <c r="N656" t="n">
        <v>0.0308</v>
      </c>
      <c r="O656" t="n">
        <v>0.0388</v>
      </c>
    </row>
    <row r="657">
      <c r="A657" t="inlineStr">
        <is>
          <t>jabref</t>
        </is>
      </c>
      <c r="B657" t="inlineStr">
        <is>
          <t>jablib/src/main/java/org/jabref/logic/texparser/DefaultLatexParser.java</t>
        </is>
      </c>
      <c r="C657">
        <f>HYPERLINK("https://github.com/JabRef/jabref/blob/master/jablib/src/main/java/org/jabref/logic/texparser/DefaultLatexParser.java")</f>
        <v/>
      </c>
      <c r="D657" t="inlineStr">
        <is>
          <t>The `DefaultLatexParser` class in JabRef's Java library provides functionality for parsing LaTeX files and extracting information from them. Specifically, it can be used to parse `.tex` files and extract references (such as citations or bibliography entries) contained within them.
The class uses regular expressions to match specific patterns in the input file, such as citations</t>
        </is>
      </c>
      <c r="E657" t="n">
        <v>0.004</v>
      </c>
      <c r="F657" t="n">
        <v>0.0625</v>
      </c>
      <c r="G657" t="n">
        <v>0.07870000000000001</v>
      </c>
      <c r="H657" t="inlineStr">
        <is>
          <t>This Java package `org.jabref.logic.texparser` contains a default LaTeX parser implementation that can be used to parse LaTeX files and extract information about citations and bibliography entries. The main entry point is the `parse()` method in the `DefaultLatexParser` class, which takes a path to a LaTeX file as input and returns a `LatexParser</t>
        </is>
      </c>
      <c r="I657" t="n">
        <v>0.0042</v>
      </c>
      <c r="J657" t="n">
        <v>0.09520000000000001</v>
      </c>
      <c r="K657" t="n">
        <v>0.1613</v>
      </c>
      <c r="L657" t="inlineStr">
        <is>
          <t>The `DefaultLatexParser` class is responsible for parsing LaTeX files and extracting relevant information such as citations and bibliography entries. It achieves this by using regular expressions to match specific patterns within the LaTeX text. The parser takes in a path to a LaTeX file and returns a `LatexParserResult` object that contains the extracted information.</t>
        </is>
      </c>
      <c r="M657" t="n">
        <v>0.0034</v>
      </c>
      <c r="N657" t="n">
        <v>0.0645</v>
      </c>
      <c r="O657" t="n">
        <v>0.119</v>
      </c>
    </row>
    <row r="658">
      <c r="A658" t="inlineStr">
        <is>
          <t>jabref</t>
        </is>
      </c>
      <c r="B658" t="inlineStr">
        <is>
          <t>jablib/src/main/java/org/jabref/logic/exporter/MetaDataSerializer.java</t>
        </is>
      </c>
      <c r="C658">
        <f>HYPERLINK("https://github.com/JabRef/jabref/blob/master/jablib/src/main/java/org/jabref/logic/exporter/MetaDataSerializer.java")</f>
        <v/>
      </c>
      <c r="D658" t="inlineStr">
        <is>
          <t>The `MetaDataSerializer` class in JabRef's backend software is responsible for serializing metadata related to a bibliographic database into a specific format. It takes a `MetaData` object as input and generates a string representation of that data in the specified format.
The class has several methods for different types of metadata, including `serializeGroups()`, which serializes group information</t>
        </is>
      </c>
      <c r="E658" t="n">
        <v>0.0039</v>
      </c>
      <c r="F658" t="n">
        <v>0.0615</v>
      </c>
      <c r="G658" t="n">
        <v>0.0781</v>
      </c>
      <c r="H658" t="inlineStr">
        <is>
          <t>The `MetaDataSerializer` class in JabRef's backend software components is responsible for serializing metadata from a database to a file format that can be read by other applications. It takes in a `MetaData` object as input and outputs a string representation of the metadata in a specific format. The output format is determined by the `MetaDataSerializer` implementation, which uses a combination</t>
        </is>
      </c>
      <c r="I658" t="n">
        <v>0.0036</v>
      </c>
      <c r="J658" t="n">
        <v>0.058</v>
      </c>
      <c r="K658" t="n">
        <v>0.1136</v>
      </c>
      <c r="L658" t="inlineStr">
        <is>
          <t>The `MetaDataSerializer` class is responsible for serializing metadata from a JabRef database into a specific format. It takes a `MetaData` object as input and generates a string representation of that data in the desired format. The class uses several other classes and methods to perform its task, including `org.jabref.logic.exporter.Exporter`, `org.</t>
        </is>
      </c>
      <c r="M658" t="n">
        <v>0.0037</v>
      </c>
      <c r="N658" t="n">
        <v>0.0645</v>
      </c>
      <c r="O658" t="n">
        <v>0.082</v>
      </c>
    </row>
    <row r="659">
      <c r="A659" t="inlineStr">
        <is>
          <t>jabref</t>
        </is>
      </c>
      <c r="B659" t="inlineStr">
        <is>
          <t>jablib/src/main/java/org/jabref/logic/exporter/SaveException.java</t>
        </is>
      </c>
      <c r="C659">
        <f>HYPERLINK("https://github.com/JabRef/jabref/blob/master/jablib/src/main/java/org/jabref/logic/exporter/SaveException.java")</f>
        <v/>
      </c>
      <c r="D659" t="inlineStr">
        <is>
          <t>The provided code defines a `SaveException` class that is used to represent errors during the saving process in JabRef. It has several static fields that define different types of exceptions, such as `FILE_LOCKED`, `BACKUP_CREATION`, etc. Each field corresponds to a specific error message and can be used to throw an appropriate exception when needed.
The `</t>
        </is>
      </c>
      <c r="E659" t="n">
        <v>0.0033</v>
      </c>
      <c r="F659" t="n">
        <v>0.0308</v>
      </c>
      <c r="G659" t="n">
        <v>0.0781</v>
      </c>
      <c r="H659" t="inlineStr">
        <is>
          <t>This is a Java package containing classes related to exporting data from JabRef, a bibliography management tool. The package includes a single class called `SaveException`, which is used to represent exceptions that occur during the saving process. The class has several static fields representing different types of errors, such as `FILE_LOCKED` and `BACKUP_CREATION`. It also defines</t>
        </is>
      </c>
      <c r="I659" t="n">
        <v>0.0039</v>
      </c>
      <c r="J659" t="n">
        <v>0.0606</v>
      </c>
      <c r="K659" t="n">
        <v>0.1172</v>
      </c>
      <c r="L659" t="inlineStr">
        <is>
          <t>The provided code defines a custom exception called `SaveException` that is used to indicate errors during saving operations. It has three predefined instances: `FILE_LOCKED`, `BACKUP_CREATION`, and a default constructor without arguments. Each instance has a corresponding error message and can optionally keep track of the entry that caused the problem. The exception also includes two constructors for</t>
        </is>
      </c>
      <c r="M659" t="n">
        <v>0.0032</v>
      </c>
      <c r="N659" t="n">
        <v>0.0299</v>
      </c>
      <c r="O659" t="n">
        <v>0.0775</v>
      </c>
    </row>
    <row r="660">
      <c r="A660" t="inlineStr">
        <is>
          <t>jabref</t>
        </is>
      </c>
      <c r="B660" t="inlineStr">
        <is>
          <t>jablib/src/main/java/org/jabref/logic/exporter/OpenDocumentSpreadsheetCreator.java</t>
        </is>
      </c>
      <c r="C660">
        <f>HYPERLINK("https://github.com/JabRef/jabref/blob/master/jablib/src/main/java/org/jabref/logic/exporter/OpenDocumentSpreadsheetCreator.java")</f>
        <v/>
      </c>
      <c r="D660" t="inlineStr">
        <is>
          <t>This is Java code for exporting a BibTeX database to a ZIP file. The code uses JAXP (Java Architecture for XML Processing) to transform an XML representation of the database into a ZIP file containing the XML file and any associated files such as PDFs or images. The code also includes error handling and logging.</t>
        </is>
      </c>
      <c r="E660" t="n">
        <v>0.004</v>
      </c>
      <c r="F660" t="n">
        <v>0.0635</v>
      </c>
      <c r="G660" t="n">
        <v>0.1181</v>
      </c>
      <c r="H660" t="inlineStr">
        <is>
          <t>This is a Java package containing classes for exporting bibliographic data in various formats, such as BibTeX or EndNote. The `org.jabref.logic.exporter` package defines several classes that implement the `Exporter` interface, which provides methods for exporting bibliographic data to different file formats. These classes use JAXP (Java Architecture for XML Processing)</t>
        </is>
      </c>
      <c r="I660" t="n">
        <v>0.0037</v>
      </c>
      <c r="J660" t="n">
        <v>0.06560000000000001</v>
      </c>
      <c r="K660" t="n">
        <v>0.123</v>
      </c>
      <c r="L660" t="inlineStr">
        <is>
          <t>The provided Java code is part of a library for exporting bibliographic data from JabRef. It exports the data as a ZIP archive containing XML files representing each entry. The code uses various libraries such as Apache Commons Compress, JAXP, and JDOM to perform the compression and XML transformation tasks. The main method takes a list of entries and a database context as input,</t>
        </is>
      </c>
      <c r="M660" t="n">
        <v>0.0028</v>
      </c>
      <c r="N660" t="n">
        <v>0.0278</v>
      </c>
      <c r="O660" t="n">
        <v>0.0735</v>
      </c>
    </row>
    <row r="661">
      <c r="A661" t="inlineStr">
        <is>
          <t>jabref</t>
        </is>
      </c>
      <c r="B661" t="inlineStr">
        <is>
          <t>jablib/src/main/java/org/jabref/logic/exporter/SaveConfiguration.java</t>
        </is>
      </c>
      <c r="C661">
        <f>HYPERLINK("https://github.com/JabRef/jabref/blob/master/jablib/src/main/java/org/jabref/logic/exporter/SaveConfiguration.java")</f>
        <v/>
      </c>
      <c r="D661" t="inlineStr">
        <is>
          <t>The provided code defines a `SaveConfiguration` class that represents the configuration for saving a bibliography database in JabRef. It has several fields, including `reformatFile`, `saveOrder`, `makeBackup`, and `saveType`. There is also a constructor method that takes these parameters as arguments. Additionally, there is a default constructor that sets all values to their defaults. Finally</t>
        </is>
      </c>
      <c r="E661" t="n">
        <v>0.0034</v>
      </c>
      <c r="F661" t="n">
        <v>0.0323</v>
      </c>
      <c r="G661" t="n">
        <v>0.0397</v>
      </c>
      <c r="H661" t="inlineStr">
        <is>
          <t>The `SaveConfiguration` class is part of a Java library for managing bibliographic data in JabRef format. It provides configuration options for saving files in JabRef format, including the encoding used to write the file, whether to reformat the file, and the order in which entries should be saved. The class has several constructors that allow users to customize these options, as</t>
        </is>
      </c>
      <c r="I661" t="n">
        <v>0.003</v>
      </c>
      <c r="J661" t="n">
        <v>0.029</v>
      </c>
      <c r="K661" t="n">
        <v>0.0752</v>
      </c>
      <c r="L661" t="inlineStr">
        <is>
          <t>The provided code defines a Java class called `SaveConfiguration` that is used for storing configuration options related to saving changes made to a bibliography database. It has several fields and methods that define the encoding format, whether to create backups, the type of save operation, and whether to reformat the file before saving. The class also includes a constructor and some utility methods for getting and setting these</t>
        </is>
      </c>
      <c r="M661" t="n">
        <v>0.0027</v>
      </c>
      <c r="N661" t="n">
        <v>0.0263</v>
      </c>
      <c r="O661" t="n">
        <v>0.07140000000000001</v>
      </c>
    </row>
    <row r="662">
      <c r="A662" t="inlineStr">
        <is>
          <t>jabref</t>
        </is>
      </c>
      <c r="B662" t="inlineStr">
        <is>
          <t>jablib/src/main/java/org/jabref/logic/exporter/OpenDocumentRepresentation.java</t>
        </is>
      </c>
      <c r="C662">
        <f>HYPERLINK("https://github.com/JabRef/jabref/blob/master/jablib/src/main/java/org/jabref/logic/exporter/OpenDocumentRepresentation.java")</f>
        <v/>
      </c>
      <c r="D662" t="inlineStr">
        <is>
          <t>The `OpenDocumentRepresentation` class is responsible for generating an XML representation of a BibTeX database in the format required by the OpenDocument standard. It does this by iterating over each entry in the database and creating a new element in the XML document for each one. Each element has attributes representing the entry's fields and values, as well as child elements for any nested entries or strings</t>
        </is>
      </c>
      <c r="E662" t="n">
        <v>0.0028</v>
      </c>
      <c r="F662" t="n">
        <v>0.0533</v>
      </c>
      <c r="G662" t="n">
        <v>0.0725</v>
      </c>
      <c r="H662" t="inlineStr">
        <is>
          <t>This Java class `OpenDocumentRepresentation` is part of a larger project that involves generating XML documents from BibTeX entries. The class takes in a `BibDatabase` object and generates an XML document using the JDOM library. It does this by creating a new `org.w3c.dom.Document` object and populating it with elements and text nodes based on the fields</t>
        </is>
      </c>
      <c r="I662" t="n">
        <v>0.004</v>
      </c>
      <c r="J662" t="n">
        <v>0.0606</v>
      </c>
      <c r="K662" t="n">
        <v>0.1181</v>
      </c>
      <c r="L662" t="inlineStr">
        <is>
          <t>The provided code is part of a Java class named `OpenDocumentRepresentation` that represents a representation of a BibTeX database in the OpenDocument format. It takes a `BibDatabase` object as input and generates an XML document that can be used to represent the bibliography data in an OpenDocument file.
The method `createDoc()` is responsible for creating the actual OpenDocument</t>
        </is>
      </c>
      <c r="M662" t="n">
        <v>0.0031</v>
      </c>
      <c r="N662" t="n">
        <v>0.0303</v>
      </c>
      <c r="O662" t="n">
        <v>0.0769</v>
      </c>
    </row>
    <row r="663">
      <c r="A663" t="inlineStr">
        <is>
          <t>jabref</t>
        </is>
      </c>
      <c r="B663" t="inlineStr">
        <is>
          <t>jablib/src/main/java/org/jabref/logic/exporter/OpenOfficeDocumentCreator.java</t>
        </is>
      </c>
      <c r="C663">
        <f>HYPERLINK("https://github.com/JabRef/jabref/blob/master/jablib/src/main/java/org/jabref/logic/exporter/OpenOfficeDocumentCreator.java")</f>
        <v/>
      </c>
      <c r="D663" t="inlineStr">
        <is>
          <t>The provided Java code is a part of a JabRef library that exports bibliographic data in various formats such as BibTeX or EndNote. It appears to be responsible for generating ZIP archives containing XML files representing the bibliographic entries.
The code imports several packages related to input/output operations, file manipulation, and XML processing. It also defines several variables and constants used</t>
        </is>
      </c>
      <c r="E663" t="n">
        <v>0.003</v>
      </c>
      <c r="F663" t="n">
        <v>0.0286</v>
      </c>
      <c r="G663" t="n">
        <v>0.0752</v>
      </c>
      <c r="H663" t="inlineStr">
        <is>
          <t>This Java code is part of a larger project that involves exporting data from a database to various file formats, such as XML or CSV. The code defines several classes and methods for handling these exports, including the `ExportFormat` class which represents a specific format (e.g., XML or CSV), and the `Exporter` interface which provides a common API for all exporters.</t>
        </is>
      </c>
      <c r="I663" t="n">
        <v>0.0036</v>
      </c>
      <c r="J663" t="n">
        <v>0.0571</v>
      </c>
      <c r="K663" t="n">
        <v>0.1128</v>
      </c>
      <c r="L663" t="inlineStr">
        <is>
          <t>The code is part of a Java library for exporting bibliographic data from a database to various formats such as BibTeX, EndNote, and RIS. It takes in a `BibDatabase` object representing the database and exports it to a specified output format, such as a ZIP archive containing multiple files. The code uses several third-party libraries for XML transformation and compression.</t>
        </is>
      </c>
      <c r="M663" t="n">
        <v>0.003</v>
      </c>
      <c r="N663" t="n">
        <v>0.029</v>
      </c>
      <c r="O663" t="n">
        <v>0.07580000000000001</v>
      </c>
    </row>
    <row r="664">
      <c r="A664" t="inlineStr">
        <is>
          <t>jabref</t>
        </is>
      </c>
      <c r="B664" t="inlineStr">
        <is>
          <t>jablib/src/main/java/org/jabref/logic/exporter/XmpPdfExporter.java</t>
        </is>
      </c>
      <c r="C664">
        <f>HYPERLINK("https://github.com/JabRef/jabref/blob/master/jablib/src/main/java/org/jabref/logic/exporter/XmpPdfExporter.java")</f>
        <v/>
      </c>
      <c r="D664" t="inlineStr">
        <is>
          <t>The `XmpPdfExporter` class is responsible for exporting bibliographic information from a JabRef database to PDF files using XMP (Extensible Metadata Platform). It takes in a list of `BibEntry` objects and writes them as XMP metadata to each page of a PDF document.
The class uses Apache PDFBox library to create a new PDF</t>
        </is>
      </c>
      <c r="E664" t="n">
        <v>0.0035</v>
      </c>
      <c r="F664" t="n">
        <v>0.0328</v>
      </c>
      <c r="G664" t="n">
        <v>0.08</v>
      </c>
      <c r="H664" t="inlineStr">
        <is>
          <t>The `XmpPdfExporter` class is responsible for exporting bibliographic data from JabRef to PDF files with XMP metadata. It does this by taking in a list of `BibEntry` objects and a `BibDatabaseContext`, and then using Apache PDFBox and XMPBox libraries to create a new PDF file with the appropriate XMP metadata. The resulting</t>
        </is>
      </c>
      <c r="I664" t="n">
        <v>0.0035</v>
      </c>
      <c r="J664" t="n">
        <v>0.0667</v>
      </c>
      <c r="K664" t="n">
        <v>0.121</v>
      </c>
      <c r="L664" t="inlineStr">
        <is>
          <t>The `XmpPdfExporter` class is part of JabRef, a reference management tool for academics. It exports bibliographic data from a BibTeX database into PDF files using the XMP (Extensible Metadata Platform) standard. The export process involves adding metadata to each page of the PDF document, including the entry's title, author, publication date, and</t>
        </is>
      </c>
      <c r="M664" t="n">
        <v>0.0035</v>
      </c>
      <c r="N664" t="n">
        <v>0.0328</v>
      </c>
      <c r="O664" t="n">
        <v>0.0806</v>
      </c>
    </row>
    <row r="665">
      <c r="A665" t="inlineStr">
        <is>
          <t>jabref</t>
        </is>
      </c>
      <c r="B665" t="inlineStr">
        <is>
          <t>jablib/src/main/java/org/jabref/logic/exporter/EndnoteXmlExporter.java</t>
        </is>
      </c>
      <c r="C665">
        <f>HYPERLINK("https://github.com/JabRef/jabref/blob/master/jablib/src/main/java/org/jabref/logic/exporter/EndnoteXmlExporter.java")</f>
        <v/>
      </c>
      <c r="D665" t="inlineStr">
        <is>
          <t>This Java code is part of a JabRef library for managing bibliographic references in academic research. It appears to be responsible for exporting bibliographic data from a `BibDatabase` object into a specific format (in this case, XML). The code uses various libraries such as `javax.xml`, `java.nio`, and `org.w3c.dom`.</t>
        </is>
      </c>
      <c r="E665" t="n">
        <v>0.0045</v>
      </c>
      <c r="F665" t="n">
        <v>0.0667</v>
      </c>
      <c r="G665" t="n">
        <v>0.125</v>
      </c>
      <c r="H665" t="inlineStr">
        <is>
          <t>This is a Java package that provides various utility classes for working with XML documents. The package includes several classes that allow you to parse, transform, and write XML data using the JAXP API. Some of the key features of this package include:
* A `XmlReader` class that allows you to read XML files from disk or from other sources such as strings or URLs.</t>
        </is>
      </c>
      <c r="I665" t="n">
        <v>0.0033</v>
      </c>
      <c r="J665" t="n">
        <v>0.0556</v>
      </c>
      <c r="K665" t="n">
        <v>0.1095</v>
      </c>
      <c r="L665" t="inlineStr">
        <is>
          <t>The provided Java code is part of a library for exporting bibliographic data from JabRef, a reference management tool. It exports data in XML format, using the XSL transformation engine to create valid XML documents. The code takes several arguments, including a list of entries (represented as `BibEntry` objects), a path to save the output file, and some configuration options</t>
        </is>
      </c>
      <c r="M665" t="n">
        <v>0.003</v>
      </c>
      <c r="N665" t="n">
        <v>0.0294</v>
      </c>
      <c r="O665" t="n">
        <v>0.07580000000000001</v>
      </c>
    </row>
    <row r="666">
      <c r="A666" t="inlineStr">
        <is>
          <t>jabref</t>
        </is>
      </c>
      <c r="B666" t="inlineStr">
        <is>
          <t>jablib/src/main/java/org/jabref/logic/exporter/AtomicFileOutputStream.java</t>
        </is>
      </c>
      <c r="C666">
        <f>HYPERLINK("https://github.com/JabRef/jabref/blob/master/jablib/src/main/java/org/jabref/logic/exporter/AtomicFileOutputStream.java")</f>
        <v/>
      </c>
      <c r="D666" t="inlineStr">
        <is>
          <t>The provided Java code defines a custom implementation of `FileOutputStream` called `AtomicFileOutputStream`. It extends the default `FileOutputStream` class by adding atomicity guarantees when writing to files. Specifically, it creates a temporary file with a `.tmp` suffix in the same directory as the target file, and then atomically replaces the target file with the temporary file upon closing the stream</t>
        </is>
      </c>
      <c r="E666" t="n">
        <v>0.0031</v>
      </c>
      <c r="F666" t="n">
        <v>0.0597</v>
      </c>
      <c r="G666" t="n">
        <v>0.07630000000000001</v>
      </c>
      <c r="H666" t="inlineStr">
        <is>
          <t>This Java class implements a customized version of `FileOutputStream` that allows for atomic updates to files by writing to a temporary file before replacing the original file with the updated content. The class provides several methods for reading and writing data to the file, including `write`, `flush`, and `close`. It also includes support for setting permissions on the file using the `setPermissions` method</t>
        </is>
      </c>
      <c r="I666" t="n">
        <v>0.0038</v>
      </c>
      <c r="J666" t="n">
        <v>0.08450000000000001</v>
      </c>
      <c r="K666" t="n">
        <v>0.1481</v>
      </c>
      <c r="L666" t="inlineStr">
        <is>
          <t>The provided Java code defines a custom implementation of a file output stream that provides atomic writing to a file by first writing to a temporary file and then replacing the original file with the contents of the temporary file upon closing the stream. The class uses the `java.nio` package for file I/O operations and implements the `Closeable` interface to ensure proper resource management.</t>
        </is>
      </c>
      <c r="M666" t="n">
        <v>0.0034</v>
      </c>
      <c r="N666" t="n">
        <v>0.0541</v>
      </c>
      <c r="O666" t="n">
        <v>0.1103</v>
      </c>
    </row>
    <row r="667">
      <c r="A667" t="inlineStr">
        <is>
          <t>jabref</t>
        </is>
      </c>
      <c r="B667" t="inlineStr">
        <is>
          <t>jablib/src/main/java/org/jabref/logic/exporter/SelfContainedSaveConfiguration.java</t>
        </is>
      </c>
      <c r="C667">
        <f>HYPERLINK("https://github.com/JabRef/jabref/blob/master/jablib/src/main/java/org/jabref/logic/exporter/SelfContainedSaveConfiguration.java")</f>
        <v/>
      </c>
      <c r="D667" t="inlineStr">
        <is>
          <t>The provided code defines a custom implementation of the `SaveConfiguration` interface in Java. It provides additional functionality beyond what is defined by the base `SaveConfiguration` class, specifically allowing for self-contained save orders using the `SelfContainedSaveOrder` class. The `SelfContainedSaveConfiguration` class also includes methods to retrieve the underlying `SelfContainedSaveOrder` instance and</t>
        </is>
      </c>
      <c r="E667" t="n">
        <v>0.0045</v>
      </c>
      <c r="F667" t="n">
        <v>0.1034</v>
      </c>
      <c r="G667" t="n">
        <v>0.124</v>
      </c>
      <c r="H667" t="inlineStr">
        <is>
          <t>The code defines a Java class called `SelfContainedSaveConfiguration` that inherits from the `SaveConfiguration` class in the JabRef library. It represents a self-contained save configuration for the JabRef application, which includes a `SelfContainedSaveOrder` object as its save order. The class has several constructors, including one that takes four parameters: `save</t>
        </is>
      </c>
      <c r="I667" t="n">
        <v>0</v>
      </c>
      <c r="J667" t="n">
        <v>0</v>
      </c>
      <c r="K667" t="n">
        <v>0</v>
      </c>
      <c r="L667" t="inlineStr">
        <is>
          <t>The provided code defines a custom implementation of the `org.jabref.model.metadata.SaveConfiguration` class called `SelfContainedSaveConfiguration`. It provides additional functionality beyond the base class by allowing for self-contained save orders using the `SelfContainedSaveOrder` type. Additionally, it includes constructors that allow for specifying various parameters such as backup mode, save type</t>
        </is>
      </c>
      <c r="M667" t="n">
        <v>0.0039</v>
      </c>
      <c r="N667" t="n">
        <v>0.0667</v>
      </c>
      <c r="O667" t="n">
        <v>0.08400000000000001</v>
      </c>
    </row>
    <row r="668">
      <c r="A668" t="inlineStr">
        <is>
          <t>jabref</t>
        </is>
      </c>
      <c r="B668" t="inlineStr">
        <is>
          <t>jablib/src/main/java/org/jabref/logic/exporter/BibDatabaseWriter.java</t>
        </is>
      </c>
      <c r="C668">
        <f>HYPERLINK("https://github.com/JabRef/jabref/blob/master/jablib/src/main/java/org/jabref/logic/exporter/BibDatabaseWriter.java")</f>
        <v/>
      </c>
      <c r="D668" t="inlineStr">
        <is>
          <t>The provided Java code is part of a library for exporting bibliographic data in BibTeX format. It appears to be responsible for generating the actual BibTeX output from a list of `org.jabref.model.entry.BibEntry` objects.
The code imports several classes and interfaces from other parts of JabRef, including `org.jabref.logic</t>
        </is>
      </c>
      <c r="E668" t="n">
        <v>0.0039</v>
      </c>
      <c r="F668" t="n">
        <v>0.06560000000000001</v>
      </c>
      <c r="G668" t="n">
        <v>0.08400000000000001</v>
      </c>
      <c r="H668" t="inlineStr">
        <is>
          <t>This is a Java package containing various classes and methods for implementing backend software components. The package includes several classes related to BibTeX parsing and writing, as well as other utility classes for working with strings, lists, maps, and sets. The main class in this package appears to be `org.jabref.logic.exporter.BibExporter`, which exports bibliographic entries in</t>
        </is>
      </c>
      <c r="I668" t="n">
        <v>0.0044</v>
      </c>
      <c r="J668" t="n">
        <v>0.1194</v>
      </c>
      <c r="K668" t="n">
        <v>0.1969</v>
      </c>
      <c r="L668" t="inlineStr">
        <is>
          <t>The provided Java code is part of a library for exporting bibliographic data in BibTeX format. It appears to be responsible for generating the actual BibTeX string representation of a list of entries, which can then be written to a file or other output stream.
The code imports various classes from JabRef's internal libraries, including `org.jabref.logic.bib</t>
        </is>
      </c>
      <c r="M668" t="n">
        <v>0</v>
      </c>
      <c r="N668" t="n">
        <v>0.0294</v>
      </c>
      <c r="O668" t="n">
        <v>0.0391</v>
      </c>
    </row>
    <row r="669">
      <c r="A669" t="inlineStr">
        <is>
          <t>jabref</t>
        </is>
      </c>
      <c r="B669" t="inlineStr">
        <is>
          <t>jablib/src/main/java/org/jabref/logic/exporter/AtomicFileWriter.java</t>
        </is>
      </c>
      <c r="C669">
        <f>HYPERLINK("https://github.com/JabRef/jabref/blob/master/jablib/src/main/java/org/jabref/logic/exporter/AtomicFileWriter.java")</f>
        <v/>
      </c>
      <c r="D669" t="inlineStr">
        <is>
          <t>The `AtomicFileWriter` class provides a wrapper around the `java.io.FileWriter` class with some additional features. It uses the `AtomicFileOutputStream` instead of the regular `FileOutputStream`, which ensures that the file is written atomically, meaning that either the entire file is written or none of it is written at all. Additionally, the class checks for problems</t>
        </is>
      </c>
      <c r="E669" t="n">
        <v>0</v>
      </c>
      <c r="F669" t="n">
        <v>0</v>
      </c>
      <c r="G669" t="n">
        <v>0.04</v>
      </c>
      <c r="H669" t="inlineStr">
        <is>
          <t>The `AtomicFileWriter` class provides a wrapper around the standard Java `FileWriter` class with some additional features. It uses the `AtomicFileOutputStream` class as its underlying output stream, which ensures that any errors that occur during writing do not corrupt the target file. Additionally, it performs character encoding validation, allowing developers to retrieve a set of characters that cannot be encoded</t>
        </is>
      </c>
      <c r="I669" t="n">
        <v>0</v>
      </c>
      <c r="J669" t="n">
        <v>0</v>
      </c>
      <c r="K669" t="n">
        <v>0.0382</v>
      </c>
      <c r="L669" t="inlineStr">
        <is>
          <t>The `AtomicFileWriter` class provides a wrapper around the `java.io.FileWriter` class that uses the `AtomicFileOutputStream` class as the underlying output stream. It ensures that any errors during the write process do not destroy the contents of the target file. Additionally, it checks if the chosen encoding supports all text that is written, and stores characters whose encoding was</t>
        </is>
      </c>
      <c r="M669" t="n">
        <v>0.0032</v>
      </c>
      <c r="N669" t="n">
        <v>0.0299</v>
      </c>
      <c r="O669" t="n">
        <v>0.0775</v>
      </c>
    </row>
    <row r="670">
      <c r="A670" t="inlineStr">
        <is>
          <t>jabref</t>
        </is>
      </c>
      <c r="B670" t="inlineStr">
        <is>
          <t>jablib/src/main/java/org/jabref/logic/exporter/ExporterFactory.java</t>
        </is>
      </c>
      <c r="C670">
        <f>HYPERLINK("https://github.com/JabRef/jabref/blob/master/jablib/src/main/java/org/jabref/logic/exporter/ExporterFactory.java")</f>
        <v/>
      </c>
      <c r="D670" t="inlineStr">
        <is>
          <t>The `ExporterFactory` class is responsible for creating instances of various export formats based on user preferences. It takes a list of `Exporter` objects as input and returns a new instance of `ExporterFactory`. The factory method `create()` takes a `CliPreferences` object as input and creates a new instance of `ExporterFactory` with a list of custom export format</t>
        </is>
      </c>
      <c r="E670" t="n">
        <v>0.0033</v>
      </c>
      <c r="F670" t="n">
        <v>0.0312</v>
      </c>
      <c r="G670" t="n">
        <v>0.0391</v>
      </c>
      <c r="H670" t="inlineStr">
        <is>
          <t>This is a Java class called `ExporterFactory` that creates instances of various export formats based on user preferences. The class takes in a list of `Exporter` objects as input and returns an instance of itself with the specified export format. It also has a method called `create()` which takes in a `CliPreferences` object and returns an instance of itself with the export format</t>
        </is>
      </c>
      <c r="I670" t="n">
        <v>0.0034</v>
      </c>
      <c r="J670" t="n">
        <v>0.0563</v>
      </c>
      <c r="K670" t="n">
        <v>0.0741</v>
      </c>
      <c r="L670" t="inlineStr">
        <is>
          <t>The `ExporterFactory` class is responsible for creating instances of various exporter classes that can be used to export bibliographic data from JabRef. It takes a list of available exporters as input and creates a new instance of itself with that list. The factory also provides methods for retrieving specific exporters based on their name or type.
The `create()` method</t>
        </is>
      </c>
      <c r="M670" t="n">
        <v>0.0031</v>
      </c>
      <c r="N670" t="n">
        <v>0.0299</v>
      </c>
      <c r="O670" t="n">
        <v>0.07630000000000001</v>
      </c>
    </row>
    <row r="671">
      <c r="A671" t="inlineStr">
        <is>
          <t>jabref</t>
        </is>
      </c>
      <c r="B671" t="inlineStr">
        <is>
          <t>jablib/src/main/java/org/jabref/logic/exporter/BlankLineBehaviour.java</t>
        </is>
      </c>
      <c r="C671">
        <f>HYPERLINK("https://github.com/JabRef/jabref/blob/master/jablib/src/main/java/org/jabref/logic/exporter/BlankLineBehaviour.java")</f>
        <v/>
      </c>
      <c r="D671" t="inlineStr">
        <is>
          <t>The `BlankLineBehaviour` enum defines two constants that represent different behaviors for handling blank lines when exporting data using the `TemplateExporter`. The `KEEP_BLANKS` constant indicates that blank lines should be kept as is, while the `DELETE_BLANKS` constant specifies that they should be removed.</t>
        </is>
      </c>
      <c r="E671" t="n">
        <v>0</v>
      </c>
      <c r="F671" t="n">
        <v>0</v>
      </c>
      <c r="G671" t="n">
        <v>0.0439</v>
      </c>
      <c r="H671" t="inlineStr">
        <is>
          <t>The code defines an enumeration called `BlankLineBehaviour` that has two possible values: `KEEP_BLANKS` and `DELETE_BLANKS`. It is used to control how blank lines are handled when exporting templates using the `TemplateExporter` class.</t>
        </is>
      </c>
      <c r="I671" t="n">
        <v>0.0058</v>
      </c>
      <c r="J671" t="n">
        <v>0.0476</v>
      </c>
      <c r="K671" t="n">
        <v>0.09619999999999999</v>
      </c>
      <c r="L671" t="inlineStr">
        <is>
          <t>The code defines an enumeration called `BlankLineBehaviour` that specifies how blank lines should be handled when exporting templates using the `TemplateExporter` class. It has two values: `KEEP_BLANKS`, which keeps existing blank lines, and `DELETE_BLANKS`, which deletes them.</t>
        </is>
      </c>
      <c r="M671" t="n">
        <v>0.005</v>
      </c>
      <c r="N671" t="n">
        <v>0.0426</v>
      </c>
      <c r="O671" t="n">
        <v>0.0917</v>
      </c>
    </row>
    <row r="672">
      <c r="A672" t="inlineStr">
        <is>
          <t>jabref</t>
        </is>
      </c>
      <c r="B672" t="inlineStr">
        <is>
          <t>jablib/src/main/java/org/jabref/logic/exporter/MSBibExporter.java</t>
        </is>
      </c>
      <c r="C672">
        <f>HYPERLINK("https://github.com/JabRef/jabref/blob/master/jablib/src/main/java/org/jabref/logic/exporter/MSBibExporter.java")</f>
        <v/>
      </c>
      <c r="D672" t="inlineStr">
        <is>
          <t>The `MSBibExporter` class is responsible for exporting data in the MSBIB (Microsoft Office 2007) XML format. It takes a list of `BibEntry` objects as input and returns a string containing the MSBIB-formatted output.
The implementation uses the `javax.xml.transform` package to perform the actual transformation from</t>
        </is>
      </c>
      <c r="E672" t="n">
        <v>0.0041</v>
      </c>
      <c r="F672" t="n">
        <v>0.0357</v>
      </c>
      <c r="G672" t="n">
        <v>0.1282</v>
      </c>
      <c r="H672" t="inlineStr">
        <is>
          <t>This is a Java class that implements the `org.jabref.logic.exporter.Exporter` interface and provides an implementation for exporting bibliographic data in the MSBib (Microsoft Bibliography) XML format. The class takes a list of `org.jabref.model.entry.BibEntry` objects as input and returns a string representation of the data</t>
        </is>
      </c>
      <c r="I672" t="n">
        <v>0.0056</v>
      </c>
      <c r="J672" t="n">
        <v>0.1017</v>
      </c>
      <c r="K672" t="n">
        <v>0.1304</v>
      </c>
      <c r="L672" t="inlineStr">
        <is>
          <t>The provided code is part of a Java class called `MSBibExporter` that implements the `Exporter` interface. It appears to be responsible for generating an XML document based on a set of entries from a bibliography database.
The class has several dependencies, including `javax.xml.transform`, which provides classes for working with XML documents, and `org.jab</t>
        </is>
      </c>
      <c r="M672" t="n">
        <v>0.0041</v>
      </c>
      <c r="N672" t="n">
        <v>0.0625</v>
      </c>
      <c r="O672" t="n">
        <v>0.12</v>
      </c>
    </row>
    <row r="673">
      <c r="A673" t="inlineStr">
        <is>
          <t>jabref</t>
        </is>
      </c>
      <c r="B673" t="inlineStr">
        <is>
          <t>jablib/src/main/java/org/jabref/logic/exporter/Exporter.java</t>
        </is>
      </c>
      <c r="C673">
        <f>HYPERLINK("https://github.com/JabRef/jabref/blob/master/jablib/src/main/java/org/jabref/logic/exporter/Exporter.java")</f>
        <v/>
      </c>
      <c r="D673" t="inlineStr">
        <is>
          <t>The `Exporter` class is responsible for exporting data from a `BibDatabaseContext` object into a specific format, such as BibTeX or EndNote. It provides methods for setting up the export process, such as specifying the output file path and name, and configuring the export options. Additionally, it includes utility methods for handling linked files and journal abbreviations.</t>
        </is>
      </c>
      <c r="E673" t="n">
        <v>0.0033</v>
      </c>
      <c r="F673" t="n">
        <v>0.0312</v>
      </c>
      <c r="G673" t="n">
        <v>0.0391</v>
      </c>
      <c r="H673" t="inlineStr">
        <is>
          <t>This is a Java library containing a set of classes that represent different types of data exporters. The `Exporter` class is the base class for all exporters, and it defines the basic properties and methods that all exporters must implement. Each subclass of `Exporter` represents a specific type of exporter, such as a BibTeX exporter or a CSV exporter</t>
        </is>
      </c>
      <c r="I673" t="n">
        <v>0.0037</v>
      </c>
      <c r="J673" t="n">
        <v>0.0597</v>
      </c>
      <c r="K673" t="n">
        <v>0.07630000000000001</v>
      </c>
      <c r="L673" t="inlineStr">
        <is>
          <t>The provided code defines an abstract class called "Exporter" that is responsible for exporting bibliographic data from a database into various formats such as BibTeX, EndNote, etc. The class has several methods that perform different tasks related to exporting, including generating output files, handling exceptions, and formatting data. The class also includes fields for storing metadata about the export process, such as the</t>
        </is>
      </c>
      <c r="M673" t="n">
        <v>0.0029</v>
      </c>
      <c r="N673" t="n">
        <v>0.0282</v>
      </c>
      <c r="O673" t="n">
        <v>0.037</v>
      </c>
    </row>
    <row r="674">
      <c r="A674" t="inlineStr">
        <is>
          <t>jabref</t>
        </is>
      </c>
      <c r="B674" t="inlineStr">
        <is>
          <t>jablib/src/main/java/org/jabref/logic/exporter/XmpExporter.java</t>
        </is>
      </c>
      <c r="C674">
        <f>HYPERLINK("https://github.com/JabRef/jabref/blob/master/jablib/src/main/java/org/jabref/logic/exporter/XmpExporter.java")</f>
        <v/>
      </c>
      <c r="D674" t="inlineStr">
        <is>
          <t>This is a Java class that implements the `org.jabref.logic.exporter.Exporter` interface, which defines methods for exporting bibliographic data from JabRef (a reference management tool). The class takes a `BibDatabaseContext` object as input and exports its contents to a `.xmp` file using Dublin Core format. It also includes some additional logic</t>
        </is>
      </c>
      <c r="E674" t="n">
        <v>0.0049</v>
      </c>
      <c r="F674" t="n">
        <v>0.1311</v>
      </c>
      <c r="G674" t="n">
        <v>0.2066</v>
      </c>
      <c r="H674" t="inlineStr">
        <is>
          <t>This is a Java library that provides a custom exporter for exporting bibliographic data (e.g., BibTeX or MEDLINE XML) to a `.xmp` file. The exporter uses Dublin Core format for writing the XMP metadata. It also supports splitting the output into multiple files if the number of records exceeds a certain threshold.</t>
        </is>
      </c>
      <c r="I674" t="n">
        <v>0.0035</v>
      </c>
      <c r="J674" t="n">
        <v>0.06560000000000001</v>
      </c>
      <c r="K674" t="n">
        <v>0.121</v>
      </c>
      <c r="L674" t="inlineStr">
        <is>
          <t>The `XmpExporter` class is responsible for writing bibliographic data from a JabRef database to a file in the Dublin Core (DC) format using the Extensible Metadata Platform (XMP). The exported file can be used as input for other applications that support XMP metadata. The class takes a `BibDatabaseContext` object as input and writes the corresponding</t>
        </is>
      </c>
      <c r="M674" t="n">
        <v>0.0033</v>
      </c>
      <c r="N674" t="n">
        <v>0.0635</v>
      </c>
      <c r="O674" t="n">
        <v>0.1181</v>
      </c>
    </row>
    <row r="675">
      <c r="A675" t="inlineStr">
        <is>
          <t>jabref</t>
        </is>
      </c>
      <c r="B675" t="inlineStr">
        <is>
          <t>jablib/src/main/java/org/jabref/logic/exporter/BibWriter.java</t>
        </is>
      </c>
      <c r="C675">
        <f>HYPERLINK("https://github.com/JabRef/jabref/blob/master/jablib/src/main/java/org/jabref/logic/exporter/BibWriter.java")</f>
        <v/>
      </c>
      <c r="D675" t="inlineStr">
        <is>
          <t>This is a Java class that writes strings to a `.bib` file. It has several methods, including `BibWriter`, which takes in a `Writer` object and a newline separator as parameters. The class also has instance variables such as `precedingNewLineRequired`, `somethingWasWritten`, `lastWriteWasNewline`, and `currentPosition`.</t>
        </is>
      </c>
      <c r="E675" t="n">
        <v>0.0051</v>
      </c>
      <c r="F675" t="n">
        <v>0.0784</v>
      </c>
      <c r="G675" t="n">
        <v>0.08699999999999999</v>
      </c>
      <c r="H675" t="inlineStr">
        <is>
          <t>This Java class named "BibWriter" is responsible for writing data in a specific format to a file with the extension ".bib". It takes two parameters during initialization - a `Writer` object and a `String` representing the newline separator character. The class has several methods that allow it to write strings to the output stream, including a method called `write()` which writes a given string while</t>
        </is>
      </c>
      <c r="I675" t="n">
        <v>0.0033</v>
      </c>
      <c r="J675" t="n">
        <v>0.0556</v>
      </c>
      <c r="K675" t="n">
        <v>0.073</v>
      </c>
      <c r="L675" t="inlineStr">
        <is>
          <t>The `BibWriter` class is responsible for writing data to a `.bib` file. It takes a `Writer` object and a newline separator as input, and provides methods for writing strings to the file while handling newline conversions. The class keeps track of whether a newline was written previously and whether anything has been written at all, and uses these flags to determine when to insert additional new</t>
        </is>
      </c>
      <c r="M675" t="n">
        <v>0.0028</v>
      </c>
      <c r="N675" t="n">
        <v>0.027</v>
      </c>
      <c r="O675" t="n">
        <v>0.0725</v>
      </c>
    </row>
    <row r="676">
      <c r="A676" t="inlineStr">
        <is>
          <t>jabref</t>
        </is>
      </c>
      <c r="B676" t="inlineStr">
        <is>
          <t>jablib/src/main/java/org/jabref/logic/exporter/GroupSerializer.java</t>
        </is>
      </c>
      <c r="C676">
        <f>HYPERLINK("https://github.com/JabRef/jabref/blob/master/jablib/src/main/java/org/jabref/logic/exporter/GroupSerializer.java")</f>
        <v/>
      </c>
      <c r="D676" t="inlineStr">
        <is>
          <t>The `GroupSerializer` class is responsible for serializing groups in JabRef's library management system. It provides several methods for serializing different types of groups, including `serializeAllEntriesGroup`, which serializes all entries group. The method takes no arguments and returns a string representation of the group. Other methods include `serializeExplicitGroup`, `serializeAutomatic</t>
        </is>
      </c>
      <c r="E676" t="n">
        <v>0.0038</v>
      </c>
      <c r="F676" t="n">
        <v>0.0351</v>
      </c>
      <c r="G676" t="n">
        <v>0.0417</v>
      </c>
      <c r="H676" t="inlineStr">
        <is>
          <t>This is a Java file that defines a class called `GroupSerializer` in the `org.jabref.logic.exporter` package. The class has several methods for serializing various types of groups used by JabRef, which is a reference management tool. These groups can be defined manually or automatically based on certain criteria such as keywords, authors, or publication dates.</t>
        </is>
      </c>
      <c r="I676" t="n">
        <v>0.0034</v>
      </c>
      <c r="J676" t="n">
        <v>0.0615</v>
      </c>
      <c r="K676" t="n">
        <v>0.0794</v>
      </c>
      <c r="L676" t="inlineStr">
        <is>
          <t>The `GroupSerializer` class is responsible for serializing groups of entries from JabRef's database into XML format. It takes a list of `GroupTreeNode` objects as input and returns a string representation of the serialized data. The method `serializeAllEntriesGroup()` is specifically designed to handle the case where all entries should be included in the group.
The</t>
        </is>
      </c>
      <c r="M676" t="n">
        <v>0.0034</v>
      </c>
      <c r="N676" t="n">
        <v>0.0317</v>
      </c>
      <c r="O676" t="n">
        <v>0.0397</v>
      </c>
    </row>
    <row r="677">
      <c r="A677" t="inlineStr">
        <is>
          <t>jabref</t>
        </is>
      </c>
      <c r="B677" t="inlineStr">
        <is>
          <t>jablib/src/main/java/org/jabref/logic/exporter/TemplateExporter.java</t>
        </is>
      </c>
      <c r="C677">
        <f>HYPERLINK("https://github.com/JabRef/jabref/blob/master/jablib/src/main/java/org/jabref/logic/exporter/TemplateExporter.java")</f>
        <v/>
      </c>
      <c r="D677" t="inlineStr">
        <is>
          <t>The provided code is a Java program that exports a BibTeX database to a specified file format. It uses JabRef's library for handling BibTeX databases and formatting entries in various styles. The program takes two arguments: the first argument specifies the input BibTeX file, while the second argument specifies the output file path.
The program starts by reading the input BibTeX file</t>
        </is>
      </c>
      <c r="E677" t="n">
        <v>0.0029</v>
      </c>
      <c r="F677" t="n">
        <v>0.0282</v>
      </c>
      <c r="G677" t="n">
        <v>0.0746</v>
      </c>
      <c r="H677" t="inlineStr">
        <is>
          <t>This Java package `org.jabref.logic.exporter` provides classes for exporting bibliographic data in various formats. The main class is `BibtexExporter`, which exports entries to the BibTeX format. It takes a list of entries as input and returns a string containing the formatted output. Other classes in this package include `RisExporter`, which exports to</t>
        </is>
      </c>
      <c r="I677" t="n">
        <v>0.0043</v>
      </c>
      <c r="J677" t="n">
        <v>0.0645</v>
      </c>
      <c r="K677" t="n">
        <v>0.0813</v>
      </c>
      <c r="L677" t="inlineStr">
        <is>
          <t>The provided Java code is part of a library for exporting bibliographic data from JabRef. It takes a list of entries (represented as `BibEntry` objects), formats them according to a specific layout (defined by a `Layout` object), and writes the formatted output to a file. The code also includes support for journal abbreviations and entry types.</t>
        </is>
      </c>
      <c r="M677" t="n">
        <v>0.0033</v>
      </c>
      <c r="N677" t="n">
        <v>0.0312</v>
      </c>
      <c r="O677" t="n">
        <v>0.0781</v>
      </c>
    </row>
    <row r="678">
      <c r="A678" t="inlineStr">
        <is>
          <t>jabref</t>
        </is>
      </c>
      <c r="B678" t="inlineStr">
        <is>
          <t>jablib/src/main/java/org/jabref/logic/exporter/ExportPreferences.java</t>
        </is>
      </c>
      <c r="C678">
        <f>HYPERLINK("https://github.com/JabRef/jabref/blob/master/jablib/src/main/java/org/jabref/logic/exporter/ExportPreferences.java")</f>
        <v/>
      </c>
      <c r="D678" t="inlineStr">
        <is>
          <t>This Java class `ExportPreferences` represents preferences for exporting data from JabRef, a reference management tool. It has several properties that control how exports are performed, including:
* `lastExportExtension`: The file extension used for the most recent export.
* `exportWorkingDirectory`: The directory where exports will be saved by default.
* `exportSaveOrder</t>
        </is>
      </c>
      <c r="E678" t="n">
        <v>0.0037</v>
      </c>
      <c r="F678" t="n">
        <v>0.0364</v>
      </c>
      <c r="G678" t="n">
        <v>0.082</v>
      </c>
      <c r="H678" t="inlineStr">
        <is>
          <t>This Java class `ExportPreferences` represents a set of preferences for exporting data in JabRef, a reference management tool. It has several properties and methods that define how exports should be handled, including:
* `lastExportExtension`: A string property representing the file extension used for the most recent export.
* `exportWorkingDirectory`: An object property representing the directory</t>
        </is>
      </c>
      <c r="I678" t="n">
        <v>0.004</v>
      </c>
      <c r="J678" t="n">
        <v>0.06560000000000001</v>
      </c>
      <c r="K678" t="n">
        <v>0.1181</v>
      </c>
      <c r="L678" t="inlineStr">
        <is>
          <t>The provided code defines a Java class called `ExportPreferences` that represents user preferences for exporting data from JabRef, a reference management tool. The class has several properties, including `lastExportExtension`, which stores the extension used for the last exported file, `exportWorkingDirectory`, which specifies the directory where exports should be saved, `exportSaveOrder`, which determ</t>
        </is>
      </c>
      <c r="M678" t="n">
        <v>0</v>
      </c>
      <c r="N678" t="n">
        <v>0</v>
      </c>
      <c r="O678" t="n">
        <v>0.0403</v>
      </c>
    </row>
    <row r="679">
      <c r="A679" t="inlineStr">
        <is>
          <t>jabref</t>
        </is>
      </c>
      <c r="B679" t="inlineStr">
        <is>
          <t>jablib/src/main/java/org/jabref/logic/exporter/CffExporter.java</t>
        </is>
      </c>
      <c r="C679">
        <f>HYPERLINK("https://github.com/JabRef/jabref/blob/master/jablib/src/main/java/org/jabref/logic/exporter/CffExporter.java")</f>
        <v/>
      </c>
      <c r="D679" t="inlineStr">
        <is>
          <t>The provided Java code is part of a library for exporting data from a BibTeX database to a file in a specific format. It appears to be a utility class that provides methods for writing data to a file in a particular order based on the fields present in each entry. The code uses various classes and interfaces from the JabRef library, including `BibDatabaseContext`, `Bib</t>
        </is>
      </c>
      <c r="E679" t="n">
        <v>0.0028</v>
      </c>
      <c r="F679" t="n">
        <v>0.0274</v>
      </c>
      <c r="G679" t="n">
        <v>0.073</v>
      </c>
      <c r="H679" t="inlineStr">
        <is>
          <t>This is a Java package containing classes for exporting bibliographic data from JabRef to various formats such as BibTeX, BibLaTeX, and EndNote. The main class in this package is `org.jabref.logic.exporter.BibExporter`, which has several methods that perform different tasks related to exporting bibliographic data.
The `Bib</t>
        </is>
      </c>
      <c r="I679" t="n">
        <v>0.0049</v>
      </c>
      <c r="J679" t="n">
        <v>0.1053</v>
      </c>
      <c r="K679" t="n">
        <v>0.08550000000000001</v>
      </c>
      <c r="L679" t="inlineStr">
        <is>
          <t>The provided Java code is part of a library for exporting bibliographic data from JabRef, a reference management tool. It appears to be responsible for generating a BibTeX file based on a given database context.
The code defines several classes and interfaces related to entry types, fields, and authors, as well as methods for parsing and writing entries to a buffered writer. The main</t>
        </is>
      </c>
      <c r="M679" t="n">
        <v>0.0028</v>
      </c>
      <c r="N679" t="n">
        <v>0.0278</v>
      </c>
      <c r="O679" t="n">
        <v>0.0735</v>
      </c>
    </row>
    <row r="680">
      <c r="A680" t="inlineStr">
        <is>
          <t>jabref</t>
        </is>
      </c>
      <c r="B680" t="inlineStr">
        <is>
          <t>jablib/src/main/java/org/jabref/logic/exporter/ModsExporter.java</t>
        </is>
      </c>
      <c r="C680">
        <f>HYPERLINK("https://github.com/JabRef/jabref/blob/master/jablib/src/main/java/org/jabref/logic/exporter/ModsExporter.java")</f>
        <v/>
      </c>
      <c r="D680" t="inlineStr">
        <is>
          <t>This is Java code for exporting bibliographic entries in BibTeX format from a JabRef database. It uses the `org.jabref` library to access the database and generate the output file. The code defines several classes and methods that perform various tasks related to exporting the data, including reading the input files, parsing the entries, generating the XML output, and writing the result</t>
        </is>
      </c>
      <c r="E680" t="n">
        <v>0.0036</v>
      </c>
      <c r="F680" t="n">
        <v>0.0571</v>
      </c>
      <c r="G680" t="n">
        <v>0.1128</v>
      </c>
      <c r="H680" t="inlineStr">
        <is>
          <t>This Java package `org.jabref.logic.exporter` provides classes for exporting bibliographic data in various formats such as BibTeX, EndNote, and RIS. The main class is `BibtexExporter`, which exports the contents of a `BibDatabaseContext` object to a `.bib` file. It uses the `javax.xml.stream`</t>
        </is>
      </c>
      <c r="I680" t="n">
        <v>0.0055</v>
      </c>
      <c r="J680" t="n">
        <v>0.0755</v>
      </c>
      <c r="K680" t="n">
        <v>0.1339</v>
      </c>
      <c r="L680" t="inlineStr">
        <is>
          <t>The provided Java code is part of a library for exporting bibliographic data from a database management system (DBMS). It exports the data as XML files using the JAXP API. The code takes in a list of `BibEntry` objects representing the entries to be exported, and writes them to an output stream as XML.
The code first initializes some variables,</t>
        </is>
      </c>
      <c r="M680" t="n">
        <v>0.003</v>
      </c>
      <c r="N680" t="n">
        <v>0.0294</v>
      </c>
      <c r="O680" t="n">
        <v>0.07580000000000001</v>
      </c>
    </row>
    <row r="681">
      <c r="A681" t="inlineStr">
        <is>
          <t>jabref</t>
        </is>
      </c>
      <c r="B681" t="inlineStr">
        <is>
          <t>jablib/src/main/java/org/jabref/logic/exporter/AcademicPagesExporter.java</t>
        </is>
      </c>
      <c r="C681">
        <f>HYPERLINK("https://github.com/JabRef/jabref/blob/master/jablib/src/main/java/org/jabref/logic/exporter/AcademicPagesExporter.java")</f>
        <v/>
      </c>
      <c r="D681" t="inlineStr">
        <is>
          <t>This code is part of a Java library for exporting bibliographic data in various formats, such as BibTeX or EndNote. It appears to be responsible for generating citation strings based on a given style and input data. The code imports several dependencies, including JabRef's own classes for handling bibtex files, CSL styles, and journal abbreviations. It also defines several</t>
        </is>
      </c>
      <c r="E681" t="n">
        <v>0.0037</v>
      </c>
      <c r="F681" t="n">
        <v>0.0588</v>
      </c>
      <c r="G681" t="n">
        <v>0.1145</v>
      </c>
      <c r="H681" t="inlineStr">
        <is>
          <t>This is a Java library for exporting bibliographic data in various citation styles. The library provides several classes and methods that can be used to generate citations, bibtex entries, or other types of formatted text based on input data. The main entry point is the `org.jabref.logic.exporter.BibTeXExporter` class, which takes a list of</t>
        </is>
      </c>
      <c r="I681" t="n">
        <v>0.0042</v>
      </c>
      <c r="J681" t="n">
        <v>0.09379999999999999</v>
      </c>
      <c r="K681" t="n">
        <v>0.121</v>
      </c>
      <c r="L681" t="inlineStr">
        <is>
          <t>The provided Java code is part of a library for exporting bibliographic data in various citation styles. It takes as input a list of entries (represented by `org.jabref.model.entry.BibEntry` objects), a style name (either a string or a `java.net.URL`), and some preferences (such as the field format).</t>
        </is>
      </c>
      <c r="M681" t="n">
        <v>0.004</v>
      </c>
      <c r="N681" t="n">
        <v>0.0333</v>
      </c>
      <c r="O681" t="n">
        <v>0.0847</v>
      </c>
    </row>
    <row r="682">
      <c r="A682" t="inlineStr">
        <is>
          <t>jabref</t>
        </is>
      </c>
      <c r="B682" t="inlineStr">
        <is>
          <t>jablib/src/main/java/org/jabref/logic/exporter/EmbeddedBibFilePdfExporter.java</t>
        </is>
      </c>
      <c r="C682">
        <f>HYPERLINK("https://github.com/JabRef/jabref/blob/master/jablib/src/main/java/org/jabref/logic/exporter/EmbeddedBibFilePdfExporter.java")</f>
        <v/>
      </c>
      <c r="D682" t="inlineStr">
        <is>
          <t>The provided Java code is part of a library for exporting bibliographic entries to PDF format using Apache PDFBox. It appears to be a utility class that provides methods for generating PDF documents from a list of BibTeX entries.
The `PDFExporter` class has several methods that perform various tasks related to generating PDFs from bibliographic data, such as:
* `export</t>
        </is>
      </c>
      <c r="E682" t="n">
        <v>0</v>
      </c>
      <c r="F682" t="n">
        <v>0</v>
      </c>
      <c r="G682" t="n">
        <v>0.0379</v>
      </c>
      <c r="H682" t="inlineStr">
        <is>
          <t>This is Java code for a PDF exporter that takes in a list of BibTeX entries and exports them to a PDF file. The code uses Apache PDFBox library to create and manipulate PDF documents. It also uses JabRef's own libraries for working with BibTeX files and entries.
The main function of this code is to take in a list of BibTeX entries and export</t>
        </is>
      </c>
      <c r="I682" t="n">
        <v>0.0033</v>
      </c>
      <c r="J682" t="n">
        <v>0.08110000000000001</v>
      </c>
      <c r="K682" t="n">
        <v>0.1095</v>
      </c>
      <c r="L682" t="inlineStr">
        <is>
          <t>The provided Java code is part of a library for exporting bibliographic data from JabRef, a reference management tool. It exports entries in BibTeX format, which is a widely used standard for storing bibliographic data. The code takes as input a list of `BibEntry` objects, which represent individual bibliographic items, and writes them out to a file in BibTeX format.</t>
        </is>
      </c>
      <c r="M682" t="n">
        <v>0.003</v>
      </c>
      <c r="N682" t="n">
        <v>0.0294</v>
      </c>
      <c r="O682" t="n">
        <v>0.07580000000000001</v>
      </c>
    </row>
    <row r="683">
      <c r="A683" t="inlineStr">
        <is>
          <t>jabref</t>
        </is>
      </c>
      <c r="B683" t="inlineStr">
        <is>
          <t>jablib/src/main/java/org/jabref/logic/exporter/OOCalcDatabase.java</t>
        </is>
      </c>
      <c r="C683">
        <f>HYPERLINK("https://github.com/JabRef/jabref/blob/master/jablib/src/main/java/org/jabref/logic/exporter/OOCalcDatabase.java")</f>
        <v/>
      </c>
      <c r="D683" t="inlineStr">
        <is>
          <t>The provided code is part of a Java application that exports BibTeX entries to OpenOffice XML format. It uses various libraries such as JDOM for parsing and manipulating XML documents, Apache Commons Lang for string manipulation, and SLF4J for logging.
The main entry point of the program is the `export` method in the `OpenOfficeExporter` class, which takes</t>
        </is>
      </c>
      <c r="E683" t="n">
        <v>0.0032</v>
      </c>
      <c r="F683" t="n">
        <v>0.0308</v>
      </c>
      <c r="G683" t="n">
        <v>0.0775</v>
      </c>
      <c r="H683" t="inlineStr">
        <is>
          <t>This Java package `org.jabref.logic.exporter` contains classes for exporting bibliographic data in various formats, such as BibTeX, CSV, and OpenOffice XML (OOXML). The main class is `BibExporter`, which takes a list of `BibEntry` objects and exports them to a specified format. The export process involves several steps,</t>
        </is>
      </c>
      <c r="I683" t="n">
        <v>0.0048</v>
      </c>
      <c r="J683" t="n">
        <v>0.0702</v>
      </c>
      <c r="K683" t="n">
        <v>0.0847</v>
      </c>
      <c r="L683" t="inlineStr">
        <is>
          <t>The provided code is part of a Java library for exporting bibliographic data from JabRef, a reference management tool. It appears to be responsible for generating XML output based on a given list of entries and their fields.
The code imports several classes related to XML parsing, field comparison, and layout formatting, as well as some internal JabRef classes like `BibEntry`</t>
        </is>
      </c>
      <c r="M683" t="n">
        <v>0.003</v>
      </c>
      <c r="N683" t="n">
        <v>0.029</v>
      </c>
      <c r="O683" t="n">
        <v>0.0752</v>
      </c>
    </row>
    <row r="684">
      <c r="A684" t="inlineStr">
        <is>
          <t>jabref</t>
        </is>
      </c>
      <c r="B684" t="inlineStr">
        <is>
          <t>jablib/src/main/java/org/jabref/logic/help/HelpFile.java</t>
        </is>
      </c>
      <c r="C684">
        <f>HYPERLINK("https://github.com/JabRef/jabref/blob/master/jablib/src/main/java/org/jabref/logic/help/HelpFile.java")</f>
        <v/>
      </c>
      <c r="D684" t="inlineStr">
        <is>
          <t>The provided Java code defines an enumeration called `HelpFile` that represents different help files available for JabRef, a reference management tool. Each element in the enumeration corresponds to a specific help page on GitHub, which is identified by its Markdown filename in the user documentation repository. The code also includes comments explaining the purpose of each element in the enumeration and providing links to relevant sections</t>
        </is>
      </c>
      <c r="E684" t="n">
        <v>0.0028</v>
      </c>
      <c r="F684" t="n">
        <v>0.027</v>
      </c>
      <c r="G684" t="n">
        <v>0.0362</v>
      </c>
      <c r="H684" t="inlineStr">
        <is>
          <t>The code in this repository implements various backend software components for a system. It includes an enumeration called `HelpFile` which lists all available help files in the system, along with their corresponding names and descriptions. The enumeration values include the name of the markdown file in the user documentation repository on GitHub, as well as a brief description of each page. The code also includes comments explaining</t>
        </is>
      </c>
      <c r="I684" t="n">
        <v>0.0036</v>
      </c>
      <c r="J684" t="n">
        <v>0.08</v>
      </c>
      <c r="K684" t="n">
        <v>0.1439</v>
      </c>
      <c r="L684" t="inlineStr">
        <is>
          <t>The code defines an enumeration called `HelpFile` that lists various help files available for JabRef, a reference management tool. Each element in the enumeration represents a specific help page, identified by the name of the corresponding Markdown file in the user documentation repository on GitHub. The enumeration includes elements such as "CONTENTS", "ENTRY_EDITOR", "STRING_</t>
        </is>
      </c>
      <c r="M684" t="n">
        <v>0</v>
      </c>
      <c r="N684" t="n">
        <v>0</v>
      </c>
      <c r="O684" t="n">
        <v>0</v>
      </c>
    </row>
    <row r="685">
      <c r="A685" t="inlineStr">
        <is>
          <t>jabref</t>
        </is>
      </c>
      <c r="B685" t="inlineStr">
        <is>
          <t>jablib/src/main/java/org/jabref/logic/command/CommandSelectionTab.java</t>
        </is>
      </c>
      <c r="C685">
        <f>HYPERLINK("https://github.com/JabRef/jabref/blob/master/jablib/src/main/java/org/jabref/logic/command/CommandSelectionTab.java")</f>
        <v/>
      </c>
      <c r="D685" t="inlineStr">
        <is>
          <t>The `CommandSelectionTab` interface defines a set of methods for working with a selection of entries in a bibliography database. It provides two main functions:
1. `clearAndSelect`: This method clears any existing selections and selects the given list of `BibEntry` objects.
2. `getBibDatabaseContext`: This method returns the current `Bib</t>
        </is>
      </c>
      <c r="E685" t="n">
        <v>0.0045</v>
      </c>
      <c r="F685" t="n">
        <v>0.07140000000000001</v>
      </c>
      <c r="G685" t="n">
        <v>0.125</v>
      </c>
      <c r="H685" t="inlineStr">
        <is>
          <t>This is a Java interface named `CommandSelectionTab` that defines methods for working with a list of bibliographic entries (represented as `BibEntry` objects). The interface provides two main functions:
* `clearAndSelect()`: clears any existing selection and selects all given entries in the list.
* `getBibDatabaseContext()`: returns the context associated</t>
        </is>
      </c>
      <c r="I685" t="n">
        <v>0.0045</v>
      </c>
      <c r="J685" t="n">
        <v>0.1111</v>
      </c>
      <c r="K685" t="n">
        <v>0.125</v>
      </c>
      <c r="L685" t="inlineStr">
        <is>
          <t>The provided code defines an interface for a command that is used to select entries in a bibliography database. It specifies two methods: `clearAndSelect`, which clears any existing selections and selects the given list of entries, and `getBibDatabaseContext`, which returns the current bibliography database context.</t>
        </is>
      </c>
      <c r="M685" t="n">
        <v>0.0041</v>
      </c>
      <c r="N685" t="n">
        <v>0.0377</v>
      </c>
      <c r="O685" t="n">
        <v>0.08550000000000001</v>
      </c>
    </row>
    <row r="686">
      <c r="A686" t="inlineStr">
        <is>
          <t>jabref</t>
        </is>
      </c>
      <c r="B686" t="inlineStr">
        <is>
          <t>jablib/src/main/java/org/jabref/logic/integrity/HowPublishedChecker.java</t>
        </is>
      </c>
      <c r="C686">
        <f>HYPERLINK("https://github.com/JabRef/jabref/blob/master/jablib/src/main/java/org/jabref/logic/integrity/HowPublishedChecker.java")</f>
        <v/>
      </c>
      <c r="D686" t="inlineStr">
        <is>
          <t>This is a Java implementation of a value checker for the `HowPublished` field in a bibliographic entry. It checks if the first letter of the value is capitalized as per the official BibTeX specification or the `biblatex` package documentation. If it's not, it returns an error message indicating that the value needs to be capitalized.</t>
        </is>
      </c>
      <c r="E686" t="n">
        <v>0.0033</v>
      </c>
      <c r="F686" t="n">
        <v>0.0625</v>
      </c>
      <c r="G686" t="n">
        <v>0.07870000000000001</v>
      </c>
      <c r="H686" t="inlineStr">
        <is>
          <t>This Java code is part of a larger project that involves implementing various algorithms for different purposes. It appears to be related to the implementation of a specific algorithm called "HowPublishedChecker" which checks whether the value of the field "howpublished" in a bibliographic entry conforms to certain rules.
The algorithm takes as input a bibliographic entry object and returns a boolean indicating</t>
        </is>
      </c>
      <c r="I686" t="n">
        <v>0.0035</v>
      </c>
      <c r="J686" t="n">
        <v>0.0857</v>
      </c>
      <c r="K686" t="n">
        <v>0.1493</v>
      </c>
      <c r="L686" t="inlineStr">
        <is>
          <t>The `HowPublishedChecker` class is responsible for checking the validity of the "howpublished" field in a bibliographic entry. It takes a `BibDatabaseContext` object as input and performs various checks on the value of the "howpublished" field. If the field is empty or invalid, it returns an error message. Otherwise, it returns an empty optional</t>
        </is>
      </c>
      <c r="M686" t="n">
        <v>0.0035</v>
      </c>
      <c r="N686" t="n">
        <v>0.0328</v>
      </c>
      <c r="O686" t="n">
        <v>0.04</v>
      </c>
    </row>
    <row r="687">
      <c r="A687" t="inlineStr">
        <is>
          <t>jabref</t>
        </is>
      </c>
      <c r="B687" t="inlineStr">
        <is>
          <t>jablib/src/main/java/org/jabref/logic/integrity/IntegrityCheckResultWriter.java</t>
        </is>
      </c>
      <c r="C687">
        <f>HYPERLINK("https://github.com/JabRef/jabref/blob/master/jablib/src/main/java/org/jabref/logic/integrity/IntegrityCheckResultWriter.java")</f>
        <v/>
      </c>
      <c r="D687" t="inlineStr">
        <is>
          <t>This Java class `org.jabref.logic.integrity.IntegrityCheckResultWriter` defines an interface for writing integrity check results to a given output stream or file. It provides two constructors that take in a `java.io.Writer` object and a list of `org.jabref.logic.integrity.IntegrityMessage` objects as parameters. The</t>
        </is>
      </c>
      <c r="E687" t="n">
        <v>0.0058</v>
      </c>
      <c r="F687" t="n">
        <v>0.1071</v>
      </c>
      <c r="G687" t="n">
        <v>0.09089999999999999</v>
      </c>
      <c r="H687" t="inlineStr">
        <is>
          <t>This Java code defines an abstract class called `IntegrityCheckResultWriter` that provides a way to write integrity check results to a file or other output stream. It takes in a `Writer` object and a list of `IntegrityMessage` objects as parameters in its constructor, and it has one abstract method called `writeFindings()` that writes the integrity check findings to the output stream</t>
        </is>
      </c>
      <c r="I687" t="n">
        <v>0.0036</v>
      </c>
      <c r="J687" t="n">
        <v>0.0588</v>
      </c>
      <c r="K687" t="n">
        <v>0.07580000000000001</v>
      </c>
      <c r="L687" t="inlineStr">
        <is>
          <t>This code defines an abstract class called "IntegrityCheckResultWriter" that provides a way to write integrity check results to a given output stream. It takes two parameters upon initialization: a writer object and a list of integrity message objects. The class has one abstract method named "writeFindings()" that writes the integrity check findings to the output stream. Additionally, it overrides the "close</t>
        </is>
      </c>
      <c r="M687" t="n">
        <v>0.0036</v>
      </c>
      <c r="N687" t="n">
        <v>0.058</v>
      </c>
      <c r="O687" t="n">
        <v>0.0752</v>
      </c>
    </row>
    <row r="688">
      <c r="A688" t="inlineStr">
        <is>
          <t>jabref</t>
        </is>
      </c>
      <c r="B688" t="inlineStr">
        <is>
          <t>jablib/src/main/java/org/jabref/logic/integrity/BibTeXEntryTypeChecker.java</t>
        </is>
      </c>
      <c r="C688">
        <f>HYPERLINK("https://github.com/JabRef/jabref/blob/master/jablib/src/main/java/org/jabref/logic/integrity/BibTeXEntryTypeChecker.java")</f>
        <v/>
      </c>
      <c r="D688" t="inlineStr">
        <is>
          <t>The `BibTeXEntryTypeChecker` class in JabRef's logic module checks whether the given `BibEntry` object has a valid entry type that is compatible with the current bibliography style being used. If the entry type is exclusive to another mode (e.g., Biblatex), the method returns an integrity message indicating that the entry type is invalid for the current</t>
        </is>
      </c>
      <c r="E688" t="n">
        <v>0.0033</v>
      </c>
      <c r="F688" t="n">
        <v>0.0308</v>
      </c>
      <c r="G688" t="n">
        <v>0.0394</v>
      </c>
      <c r="H688" t="inlineStr">
        <is>
          <t>This Java package `org.jabref.logic.integrity` contains a single class called `BibTeXEntryTypeChecker`. It implements the interface `EntryChecker`, which is used to perform integrity checks on bibliographic entries in JabRef. The `check()` method takes a `BibEntry` object as input and returns a list of `IntegrityMessage`</t>
        </is>
      </c>
      <c r="I688" t="n">
        <v>0.0058</v>
      </c>
      <c r="J688" t="n">
        <v>0.1132</v>
      </c>
      <c r="K688" t="n">
        <v>0.1754</v>
      </c>
      <c r="L688" t="inlineStr">
        <is>
          <t>The provided Java code defines a custom implementation of the `EntryChecker` interface that checks whether the entry's type is exclusive to either BibTeX or BibLaTeX modes. If the entry type is exclusive to one mode, but used in the other mode, the checker returns an integrity message indicating that the entry should be moved to the appropriate mode.</t>
        </is>
      </c>
      <c r="M688" t="n">
        <v>0</v>
      </c>
      <c r="N688" t="n">
        <v>0.0299</v>
      </c>
      <c r="O688" t="n">
        <v>0.0769</v>
      </c>
    </row>
    <row r="689">
      <c r="A689" t="inlineStr">
        <is>
          <t>jabref</t>
        </is>
      </c>
      <c r="B689" t="inlineStr">
        <is>
          <t>jablib/src/main/java/org/jabref/logic/integrity/ASCIICharacterChecker.java</t>
        </is>
      </c>
      <c r="C689">
        <f>HYPERLINK("https://github.com/JabRef/jabref/blob/master/jablib/src/main/java/org/jabref/logic/integrity/ASCIICharacterChecker.java")</f>
        <v/>
      </c>
      <c r="D689" t="inlineStr">
        <is>
          <t>The `ASCIICharacterChecker` class is an implementation of the `EntryChecker` interface that checks whether all the values of the fields in a given `BibEntry` contain only ASCII characters. If any non-ASCII characters are detected, it returns a list of `IntegrityMessage` objects containing information about the problematic entries.</t>
        </is>
      </c>
      <c r="E689" t="n">
        <v>0</v>
      </c>
      <c r="F689" t="n">
        <v>0.0364</v>
      </c>
      <c r="G689" t="n">
        <v>0.0424</v>
      </c>
      <c r="H689" t="inlineStr">
        <is>
          <t>This is a Java program that checks whether there are any non-ASCII characters in the fields of a BibTeX entry. It uses the Guava library's `CharMatcher` class to match all ASCII characters against the value of each field in the entry. If any non-ASCII characters are found, it adds them to a list of integrity messages. The method returns this list</t>
        </is>
      </c>
      <c r="I689" t="n">
        <v>0.003</v>
      </c>
      <c r="J689" t="n">
        <v>0.0278</v>
      </c>
      <c r="K689" t="n">
        <v>0.0752</v>
      </c>
      <c r="L689" t="inlineStr">
        <is>
          <t>The provided code is part of a Java project that checks whether there are any non-ASCII encoded characters in the fields of a BibTeX entry. Specifically, it uses Google Guava's `CharMatcher` class to match all ASCII characters against those present in each field value. If any non-ASCII characters are detected, the method returns a list of integrity messages containing the details</t>
        </is>
      </c>
      <c r="M689" t="n">
        <v>0</v>
      </c>
      <c r="N689" t="n">
        <v>0</v>
      </c>
      <c r="O689" t="n">
        <v>0.0376</v>
      </c>
    </row>
    <row r="690">
      <c r="A690" t="inlineStr">
        <is>
          <t>jabref</t>
        </is>
      </c>
      <c r="B690" t="inlineStr">
        <is>
          <t>jablib/src/main/java/org/jabref/logic/integrity/CitationKeyDuplicationChecker.java</t>
        </is>
      </c>
      <c r="C690">
        <f>HYPERLINK("https://github.com/JabRef/jabref/blob/master/jablib/src/main/java/org/jabref/logic/integrity/CitationKeyDuplicationChecker.java")</f>
        <v/>
      </c>
      <c r="D690" t="inlineStr">
        <is>
          <t>The `CitationKeyDuplicationChecker` class checks for duplicate citation keys in a given `BibDatabase`. It does so by iterating over all entries in the database and checking whether any other entry has the same citation key as the current entry. If such a duplicate is found, it returns a list containing one integrity message indicating that there is a duplicate citation key</t>
        </is>
      </c>
      <c r="E690" t="n">
        <v>0.003</v>
      </c>
      <c r="F690" t="n">
        <v>0.0294</v>
      </c>
      <c r="G690" t="n">
        <v>0.0379</v>
      </c>
      <c r="H690" t="inlineStr">
        <is>
          <t>This Java code defines a `CitationKeyDuplicationChecker` class that checks for duplicate citation keys in a bibliography database. The class takes a `BibDatabase` object as its constructor argument and has a single method called `check`, which takes a `BibEntry` object as its input parameter. The method returns a list of integrity messages if there are any duplicates</t>
        </is>
      </c>
      <c r="I690" t="n">
        <v>0.0039</v>
      </c>
      <c r="J690" t="n">
        <v>0.0625</v>
      </c>
      <c r="K690" t="n">
        <v>0.0781</v>
      </c>
      <c r="L690" t="inlineStr">
        <is>
          <t>The `CitationKeyDuplicationChecker` class checks for duplicate citation keys in a given `BibDatabase`. It takes a `BibDatabase` as input and returns a list of integrity messages indicating any duplicates found. If a duplicate is found, it creates an integrity message with a warning message and the field that contains the duplicate citation key.</t>
        </is>
      </c>
      <c r="M690" t="n">
        <v>0.0035</v>
      </c>
      <c r="N690" t="n">
        <v>0.0333</v>
      </c>
      <c r="O690" t="n">
        <v>0.0403</v>
      </c>
    </row>
    <row r="691">
      <c r="A691" t="inlineStr">
        <is>
          <t>jabref</t>
        </is>
      </c>
      <c r="B691" t="inlineStr">
        <is>
          <t>jablib/src/main/java/org/jabref/logic/integrity/BracketChecker.java</t>
        </is>
      </c>
      <c r="C691">
        <f>HYPERLINK("https://github.com/JabRef/jabref/blob/master/jablib/src/main/java/org/jabref/logic/integrity/BracketChecker.java")</f>
        <v/>
      </c>
      <c r="D691" t="inlineStr">
        <is>
          <t>The `BracketChecker` class is a Java implementation of a bracket matching algorithm that checks whether a given string has balanced brackets. It uses a stack data structure to keep track of open and closed brackets, and returns an error message if there are unmatched or mismatched brackets. The complexity of this algorithm is O(N), where N is the length of the input string</t>
        </is>
      </c>
      <c r="E691" t="n">
        <v>0.0029</v>
      </c>
      <c r="F691" t="n">
        <v>0.0556</v>
      </c>
      <c r="G691" t="n">
        <v>0.1481</v>
      </c>
      <c r="H691" t="inlineStr">
        <is>
          <t>This Java package `org.jabref.logic.integrity` contains a class called `BracketChecker`, which is a value checker that checks whether a given string has balanced brackets. The class implements the `ValueChecker` interface from JabRef's library.
The `checkValue()` method takes in a string as input and returns an optional string</t>
        </is>
      </c>
      <c r="I691" t="n">
        <v>0.0053</v>
      </c>
      <c r="J691" t="n">
        <v>0.1034</v>
      </c>
      <c r="K691" t="n">
        <v>0.1271</v>
      </c>
      <c r="L691" t="inlineStr">
        <is>
          <t>The `BracketChecker` class is part of JabRef's library and implements the `ValueChecker` interface. It checks whether a given string has balanced brackets. The method takes a string as input and returns an optional error message if the brackets are unbalanced. If the brackets are balanced, the method returns an empty optional. The implementation uses a simple algorithm</t>
        </is>
      </c>
      <c r="M691" t="n">
        <v>0.0038</v>
      </c>
      <c r="N691" t="n">
        <v>0.0606</v>
      </c>
      <c r="O691" t="n">
        <v>0.1163</v>
      </c>
    </row>
    <row r="692">
      <c r="A692" t="inlineStr">
        <is>
          <t>jabref</t>
        </is>
      </c>
      <c r="B692" t="inlineStr">
        <is>
          <t>jablib/src/main/java/org/jabref/logic/integrity/IntegrityMessage.java</t>
        </is>
      </c>
      <c r="C692">
        <f>HYPERLINK("https://github.com/JabRef/jabref/blob/master/jablib/src/main/java/org/jabref/logic/integrity/IntegrityMessage.java")</f>
        <v/>
      </c>
      <c r="D692" t="inlineStr">
        <is>
          <t>The provided code defines a `IntegrityMessage` class that represents a message with information about a specific field in a `BibEntry`. It has three fields:
* `message`: A string containing the actual integrity message.
* `entry`: A reference to the `BibEntry` object that the message is associated with.
* `field`: A reference to the `</t>
        </is>
      </c>
      <c r="E692" t="n">
        <v>0</v>
      </c>
      <c r="F692" t="n">
        <v>0</v>
      </c>
      <c r="G692" t="n">
        <v>0</v>
      </c>
      <c r="H692" t="inlineStr">
        <is>
          <t>This is a Java class named `IntegrityMessage` that represents a message with information about the integrity of a bibliographic entry. It has three fields: `message`, which is a string representing the actual message, `entry`, which is a `BibEntry` object representing the entry being checked for integrity, and `field`, which is a `Field` object representing the specific field within</t>
        </is>
      </c>
      <c r="I692" t="n">
        <v>0.0037</v>
      </c>
      <c r="J692" t="n">
        <v>0.0606</v>
      </c>
      <c r="K692" t="n">
        <v>0.0769</v>
      </c>
      <c r="L692" t="inlineStr">
        <is>
          <t>The provided code defines a data class called `IntegrityMessage` that represents a message related to the integrity of a bibliographic entry. It has three fields: `message`, `entry`, and `field`. The `toString()` method returns a string representation of the object, which includes the citation key of the entry, the display name of the field, and the message itself. The `</t>
        </is>
      </c>
      <c r="M692" t="n">
        <v>0.0031</v>
      </c>
      <c r="N692" t="n">
        <v>0.0303</v>
      </c>
      <c r="O692" t="n">
        <v>0.0382</v>
      </c>
    </row>
    <row r="693">
      <c r="A693" t="inlineStr">
        <is>
          <t>jabref</t>
        </is>
      </c>
      <c r="B693" t="inlineStr">
        <is>
          <t>jablib/src/main/java/org/jabref/logic/integrity/AbbreviationChecker.java</t>
        </is>
      </c>
      <c r="C693">
        <f>HYPERLINK("https://github.com/JabRef/jabref/blob/master/jablib/src/main/java/org/jabref/logic/integrity/AbbreviationChecker.java")</f>
        <v/>
      </c>
      <c r="D693" t="inlineStr">
        <is>
          <t>The `AbbreviationChecker` class is responsible for checking the validity of journal names in a BibTeX entry. It takes a `BibEntry` object as input and returns a list of integrity messages indicating any issues found with the journal name.
The implementation first retrieves a set of book-related fields from the `FieldFactory`. Then, it iterates over each</t>
        </is>
      </c>
      <c r="E693" t="n">
        <v>0.0033</v>
      </c>
      <c r="F693" t="n">
        <v>0.0312</v>
      </c>
      <c r="G693" t="n">
        <v>0.07870000000000001</v>
      </c>
      <c r="H693" t="inlineStr">
        <is>
          <t>This Java code is part of a larger project that involves checking the integrity of BibTeX entries in JabRef. The `AbbreviationChecker` class is responsible for verifying whether the journal names used in a given entry are properly abbreviated according to a set of rules defined by the `JournalAbbreviationRepository`.
The class takes an instance of `Journal</t>
        </is>
      </c>
      <c r="I693" t="n">
        <v>0.0033</v>
      </c>
      <c r="J693" t="n">
        <v>0.0317</v>
      </c>
      <c r="K693" t="n">
        <v>0.07870000000000001</v>
      </c>
      <c r="L693" t="inlineStr">
        <is>
          <t>The provided Java code is part of a system that checks the integrity of BibTeX entries by verifying their journal names against a predefined list of abbreviations. The `AbbreviationChecker` class takes a `JournalAbbreviationRepository` instance as input and provides a method called `check` that returns a list of `IntegrityMessage` objects containing any errors found during</t>
        </is>
      </c>
      <c r="M693" t="n">
        <v>0.0034</v>
      </c>
      <c r="N693" t="n">
        <v>0.0323</v>
      </c>
      <c r="O693" t="n">
        <v>0.0794</v>
      </c>
    </row>
    <row r="694">
      <c r="A694" t="inlineStr">
        <is>
          <t>jabref</t>
        </is>
      </c>
      <c r="B694" t="inlineStr">
        <is>
          <t>jablib/src/main/java/org/jabref/logic/integrity/DatabaseChecker.java</t>
        </is>
      </c>
      <c r="C694">
        <f>HYPERLINK("https://github.com/JabRef/jabref/blob/master/jablib/src/main/java/org/jabref/logic/integrity/DatabaseChecker.java")</f>
        <v/>
      </c>
      <c r="D694" t="inlineStr">
        <is>
          <t>The code defines a functional interface called `DatabaseChecker` that has one method `check`, which takes a `BibDatabase` object as input and returns a list of `IntegrityMessage` objects. This interface is annotated with `@FunctionalInterface`.</t>
        </is>
      </c>
      <c r="E694" t="n">
        <v>0.0067</v>
      </c>
      <c r="F694" t="n">
        <v>0.09760000000000001</v>
      </c>
      <c r="G694" t="n">
        <v>0.1429</v>
      </c>
      <c r="H694" t="inlineStr">
        <is>
          <t>The provided code defines a functional interface called `DatabaseChecker` in the package `org.jabref.logic.integrity`. It takes a `BibDatabase` object as input and returns a list of `IntegrityMessage` objects. The complexity of this function is O(N), where N is the number of entries in the `BibDatabase`. This function implements the</t>
        </is>
      </c>
      <c r="I694" t="n">
        <v>0.005</v>
      </c>
      <c r="J694" t="n">
        <v>0.0667</v>
      </c>
      <c r="K694" t="n">
        <v>0.1667</v>
      </c>
      <c r="L694" t="inlineStr">
        <is>
          <t>The provided code defines a functional interface called `DatabaseChecker` that takes a `BibDatabase` object as input and returns a list of `IntegrityMessage` objects. The interface is annotated with `@FunctionalInterface`, indicating that it should be used for functional programming purposes only. The method `check()` defined by the interface performs some kind of integrity checking on the given `B</t>
        </is>
      </c>
      <c r="M694" t="n">
        <v>0.0032</v>
      </c>
      <c r="N694" t="n">
        <v>0.0615</v>
      </c>
      <c r="O694" t="n">
        <v>0.0775</v>
      </c>
    </row>
    <row r="695">
      <c r="A695" t="inlineStr">
        <is>
          <t>jabref</t>
        </is>
      </c>
      <c r="B695" t="inlineStr">
        <is>
          <t>jablib/src/main/java/org/jabref/logic/integrity/DoiDuplicationChecker.java</t>
        </is>
      </c>
      <c r="C695">
        <f>HYPERLINK("https://github.com/JabRef/jabref/blob/master/jablib/src/main/java/org/jabref/logic/integrity/DoiDuplicationChecker.java")</f>
        <v/>
      </c>
      <c r="D695" t="inlineStr">
        <is>
          <t>The `DoiDuplicationChecker` class is responsible for checking the integrity of a given `BibDatabase` by identifying any duplicates in the DOIs present in the entries. It does this by creating a map of DOIs to lists of corresponding BibEntries using a `BiMap`, where each entry in the list corresponds to a duplicate DOI. If there are no</t>
        </is>
      </c>
      <c r="E695" t="n">
        <v>0</v>
      </c>
      <c r="F695" t="n">
        <v>0.0312</v>
      </c>
      <c r="G695" t="n">
        <v>0.0781</v>
      </c>
      <c r="H695" t="inlineStr">
        <is>
          <t>This is Java code that checks for duplicates in a BibTeX database based on DOIs. The `DoiDuplicationChecker` class implements the `DatabaseChecker` interface and has one method called `check`. When this method is called with a `BibDatabase` object as its argument, it returns a list of `IntegrityMessage` objects representing any potential issues found in</t>
        </is>
      </c>
      <c r="I695" t="n">
        <v>0.0045</v>
      </c>
      <c r="J695" t="n">
        <v>0.0984</v>
      </c>
      <c r="K695" t="n">
        <v>0.12</v>
      </c>
      <c r="L695" t="inlineStr">
        <is>
          <t>The code is part of a Java library that checks for DOI duplications in a BibTeX database. It uses Guava's `HashBiMap` data structure to map each DOI to a list of entries with that DOI. The method takes a `BibDatabase` object as input and returns a list of `IntegrityMessage` objects representing potential issues found during the check</t>
        </is>
      </c>
      <c r="M695" t="n">
        <v>0.0032</v>
      </c>
      <c r="N695" t="n">
        <v>0.0303</v>
      </c>
      <c r="O695" t="n">
        <v>0.0775</v>
      </c>
    </row>
    <row r="696">
      <c r="A696" t="inlineStr">
        <is>
          <t>jabref</t>
        </is>
      </c>
      <c r="B696" t="inlineStr">
        <is>
          <t>jablib/src/main/java/org/jabref/logic/integrity/BibStringChecker.java</t>
        </is>
      </c>
      <c r="C696">
        <f>HYPERLINK("https://github.com/JabRef/jabref/blob/master/jablib/src/main/java/org/jabref/logic/integrity/BibStringChecker.java")</f>
        <v/>
      </c>
      <c r="D696" t="inlineStr">
        <is>
          <t>This Java class `BibStringChecker` implements the `EntryChecker` interface and provides a method called `check` that takes a `BibEntry` object as input and returns a list of integrity messages. The purpose of this class is to ensure that the contents of the `BibEntry` object do not contain any invalid characters or syntax errors.
The implementation of</t>
        </is>
      </c>
      <c r="E696" t="n">
        <v>0.0044</v>
      </c>
      <c r="F696" t="n">
        <v>0.09520000000000001</v>
      </c>
      <c r="G696" t="n">
        <v>0.1181</v>
      </c>
      <c r="H696" t="inlineStr">
        <is>
          <t>This Java code defines a class called `BibStringChecker` that implements the `EntryChecker` interface. The class checks whether there is an even number of unescaped `#` symbols (representing the start and end of a bibtex string) in the fields of a given `BibEntry`. If this condition is not met, the class returns a list of</t>
        </is>
      </c>
      <c r="I696" t="n">
        <v>0.0045</v>
      </c>
      <c r="J696" t="n">
        <v>0.0984</v>
      </c>
      <c r="K696" t="n">
        <v>0.119</v>
      </c>
      <c r="L696" t="inlineStr">
        <is>
          <t>The `BibStringChecker` class checks if there is an even number of unescaped `#` symbols in the `author`, `title`, or other fields of a BibTeX entry. It uses regular expressions to detect unescaped `#` symbols and returns a list of integrity messages indicating any issues found.</t>
        </is>
      </c>
      <c r="M696" t="n">
        <v>0.0041</v>
      </c>
      <c r="N696" t="n">
        <v>0.0392</v>
      </c>
      <c r="O696" t="n">
        <v>0.08550000000000001</v>
      </c>
    </row>
    <row r="697">
      <c r="A697" t="inlineStr">
        <is>
          <t>jabref</t>
        </is>
      </c>
      <c r="B697" t="inlineStr">
        <is>
          <t>jablib/src/main/java/org/jabref/logic/integrity/YearChecker.java</t>
        </is>
      </c>
      <c r="C697">
        <f>HYPERLINK("https://github.com/JabRef/jabref/blob/master/jablib/src/main/java/org/jabref/logic/integrity/YearChecker.java")</f>
        <v/>
      </c>
      <c r="D697" t="inlineStr">
        <is>
          <t>The `YearChecker` class in JabRef's logic package is responsible for checking whether a given string represents a valid year according to the BibTeX format. It does this by using regular expressions to match strings that contain four digits and end with those digits. Additionally, it checks for punctuation marks at the beginning or end of the string.</t>
        </is>
      </c>
      <c r="E697" t="n">
        <v>0.0032</v>
      </c>
      <c r="F697" t="n">
        <v>0.0606</v>
      </c>
      <c r="G697" t="n">
        <v>0.1163</v>
      </c>
      <c r="H697" t="inlineStr">
        <is>
          <t>This is a Java package named "org.jabref.logic.integrity" that provides a class called "YearChecker". The class implements the interface "ValueChecker" and has several methods for checking the validity of year values in various contexts.
The main method of the class, "check", takes a string argument representing a year value and returns an optional</t>
        </is>
      </c>
      <c r="I697" t="n">
        <v>0.0046</v>
      </c>
      <c r="J697" t="n">
        <v>0.09520000000000001</v>
      </c>
      <c r="K697" t="n">
        <v>0.121</v>
      </c>
      <c r="L697" t="inlineStr">
        <is>
          <t>The `YearChecker` class is part of JabRef's library for checking the integrity of BibTeX entries. It checks whether a given string contains a four-digit year at the end of the string, optionally preceded by punctuation marks. The method takes a `String` input and returns an `Optional&lt;Integer&gt;` containing the extracted year if it meets the criteria</t>
        </is>
      </c>
      <c r="M697" t="n">
        <v>0.0033</v>
      </c>
      <c r="N697" t="n">
        <v>0.0303</v>
      </c>
      <c r="O697" t="n">
        <v>0.07870000000000001</v>
      </c>
    </row>
    <row r="698">
      <c r="A698" t="inlineStr">
        <is>
          <t>jabref</t>
        </is>
      </c>
      <c r="B698" t="inlineStr">
        <is>
          <t>jablib/src/main/java/org/jabref/logic/integrity/NoURLChecker.java</t>
        </is>
      </c>
      <c r="C698">
        <f>HYPERLINK("https://github.com/JabRef/jabref/blob/master/jablib/src/main/java/org/jabref/logic/integrity/NoURLChecker.java")</f>
        <v/>
      </c>
      <c r="D698" t="inlineStr">
        <is>
          <t>The `NoURLChecker` class in JabRef's logic package is responsible for checking whether a given string contains a valid URL or not. It does this by using the `URLUtil` class to match the string against a predefined pattern. If the string matches the pattern, it returns an optional containing a message indicating that the string contains a URL. Otherwise, it returns an</t>
        </is>
      </c>
      <c r="E698" t="n">
        <v>0</v>
      </c>
      <c r="F698" t="n">
        <v>0.0286</v>
      </c>
      <c r="G698" t="n">
        <v>0.0752</v>
      </c>
      <c r="H698" t="inlineStr">
        <is>
          <t>The code in this repository appears to be Java code for implementing a custom validator that checks whether a given string contains a URL or not. The validator is implemented as a class called `NoURLChecker` which extends the `ValueChecker` interface. The `checkValue()` method takes a single argument, a string, and returns an optional string indicating whether the input string contains a</t>
        </is>
      </c>
      <c r="I698" t="n">
        <v>0.003</v>
      </c>
      <c r="J698" t="n">
        <v>0.08699999999999999</v>
      </c>
      <c r="K698" t="n">
        <v>0.1128</v>
      </c>
      <c r="L698" t="inlineStr">
        <is>
          <t>The provided code defines a Java class called "NoURLChecker" that implements the "ValueChecker" interface. It is used to verify whether a given string contains a valid URL. If the input string is blank or matches the pattern for URLs, then the method returns an empty optional. Otherwise, it returns an optional containing a message indicating that the input string contains a URL.</t>
        </is>
      </c>
      <c r="M698" t="n">
        <v>0.0029</v>
      </c>
      <c r="N698" t="n">
        <v>0.0286</v>
      </c>
      <c r="O698" t="n">
        <v>0.0746</v>
      </c>
    </row>
    <row r="699">
      <c r="A699" t="inlineStr">
        <is>
          <t>jabref</t>
        </is>
      </c>
      <c r="B699" t="inlineStr">
        <is>
          <t>jablib/src/main/java/org/jabref/logic/integrity/PersonNamesChecker.java</t>
        </is>
      </c>
      <c r="C699">
        <f>HYPERLINK("https://github.com/JabRef/jabref/blob/master/jablib/src/main/java/org/jabref/logic/integrity/PersonNamesChecker.java")</f>
        <v/>
      </c>
      <c r="D699" t="inlineStr">
        <is>
          <t>The `PersonNamesChecker` class is responsible for checking the validity of person names in JabRef's bibliography entries. It takes a string representing a person name as input and returns an optional error message if the name is invalid.
The implementation checks whether the name starts with "and" or "," and returns an error message if it does. If the name does not</t>
        </is>
      </c>
      <c r="E699" t="n">
        <v>0.003</v>
      </c>
      <c r="F699" t="n">
        <v>0.058</v>
      </c>
      <c r="G699" t="n">
        <v>0.0752</v>
      </c>
      <c r="H699" t="inlineStr">
        <is>
          <t>This is a Java library that provides a `PersonNamesChecker` class for checking whether a given string represents a valid person name in a specific format. The class takes a `BibDatabaseContext` object as its constructor argument and uses it to determine the mode of the bibliography database being processed. It then defines a method called `checkValue` which takes a string parameter representing the potential</t>
        </is>
      </c>
      <c r="I699" t="n">
        <v>0.0034</v>
      </c>
      <c r="J699" t="n">
        <v>0.0563</v>
      </c>
      <c r="K699" t="n">
        <v>0.1111</v>
      </c>
      <c r="L699" t="inlineStr">
        <is>
          <t>The code defines a `PersonNamesChecker` class that is used to validate author names in a bibliography database. It takes a string input and checks whether it meets certain criteria, such as being non-blank, not starting with "and", and not starting with a comma. If any of these conditions are met, the method returns an empty optional. Otherwise, it returns a string representing</t>
        </is>
      </c>
      <c r="M699" t="n">
        <v>0.0029</v>
      </c>
      <c r="N699" t="n">
        <v>0.0282</v>
      </c>
      <c r="O699" t="n">
        <v>0.0746</v>
      </c>
    </row>
    <row r="700">
      <c r="A700" t="inlineStr">
        <is>
          <t>jabref</t>
        </is>
      </c>
      <c r="B700" t="inlineStr">
        <is>
          <t>jablib/src/main/java/org/jabref/logic/integrity/DateChecker.java</t>
        </is>
      </c>
      <c r="C700">
        <f>HYPERLINK("https://github.com/JabRef/jabref/blob/master/jablib/src/main/java/org/jabref/logic/integrity/DateChecker.java")</f>
        <v/>
      </c>
      <c r="D700" t="inlineStr">
        <is>
          <t>The `DateChecker` class is a part of JabRef's backend software that checks whether a given string represents a valid date in the correct format. It uses the `org.jabref.model.entry.Date` class to parse the input string into a `Date` object, and then checks whether it is empty or not. If the parsing fails, the method</t>
        </is>
      </c>
      <c r="E700" t="n">
        <v>0.0041</v>
      </c>
      <c r="F700" t="n">
        <v>0.0606</v>
      </c>
      <c r="G700" t="n">
        <v>0.12</v>
      </c>
      <c r="H700" t="inlineStr">
        <is>
          <t>This is Java code for a date checking utility that checks whether a given string represents a valid date in the ISO 8601 format. The code imports several classes from JabRef's logic and model packages, including Localization and StringUtil. It also uses the Date class to parse the input string into a Date object. If the parsing fails or the resulting Date object is empty</t>
        </is>
      </c>
      <c r="I700" t="n">
        <v>0.0033</v>
      </c>
      <c r="J700" t="n">
        <v>0.0541</v>
      </c>
      <c r="K700" t="n">
        <v>0.1095</v>
      </c>
      <c r="L700" t="inlineStr">
        <is>
          <t>The code defines a Java class called `DateChecker` that implements the `ValueChecker` interface. It takes a string input and checks whether it is a valid date in the correct format. If the input is blank or has an incorrect format, it returns an error message. Otherwise, it returns an empty optional.</t>
        </is>
      </c>
      <c r="M700" t="n">
        <v>0.0043</v>
      </c>
      <c r="N700" t="n">
        <v>0.0678</v>
      </c>
      <c r="O700" t="n">
        <v>0.0813</v>
      </c>
    </row>
    <row r="701">
      <c r="A701" t="inlineStr">
        <is>
          <t>jabref</t>
        </is>
      </c>
      <c r="B701" t="inlineStr">
        <is>
          <t>jablib/src/main/java/org/jabref/logic/integrity/IntegrityCheck.java</t>
        </is>
      </c>
      <c r="C701">
        <f>HYPERLINK("https://github.com/JabRef/jabref/blob/master/jablib/src/main/java/org/jabref/logic/integrity/IntegrityCheck.java")</f>
        <v/>
      </c>
      <c r="D701" t="inlineStr">
        <is>
          <t>The `IntegrityCheck` class is responsible for checking the integrity of a bibliographic database stored in a `.bib` file. It takes a `BibDatabaseContext`, which represents the database, as well as several other dependencies such as `FilePreferences`, `CitationKeyPatternPreferences`, and `JournalAbbreviationRepository`.
The `IntegrityCheck` class has two</t>
        </is>
      </c>
      <c r="E701" t="n">
        <v>0.0043</v>
      </c>
      <c r="F701" t="n">
        <v>0.0392</v>
      </c>
      <c r="G701" t="n">
        <v>0.0435</v>
      </c>
      <c r="H701" t="inlineStr">
        <is>
          <t>The provided Java code is part of a larger project that implements various integrity checks for a bibliographic database. It appears to be a class called "IntegrityCheck" which takes in several dependencies including a `BibDatabaseContext`, `FilePreferences`, `CitationKeyPatternPreferences`, and `JournalAbbreviationRepository`. The class has several fields and methods that perform different types of integrity</t>
        </is>
      </c>
      <c r="I701" t="n">
        <v>0.0042</v>
      </c>
      <c r="J701" t="n">
        <v>0.0667</v>
      </c>
      <c r="K701" t="n">
        <v>0.121</v>
      </c>
      <c r="L701" t="inlineStr">
        <is>
          <t>The provided Java code is part of a larger system that checks the integrity of a bibliographic database stored in a `BibDatabase` object. It performs various checks on each entry in the database, including checking for missing fields, invalid characters, and correctness of citation keys. The code also uses several external dependencies, such as `FilePreferences`, `CitationKeyPatternPreferences`, and</t>
        </is>
      </c>
      <c r="M701" t="n">
        <v>0.0032</v>
      </c>
      <c r="N701" t="n">
        <v>0.0308</v>
      </c>
      <c r="O701" t="n">
        <v>0.0775</v>
      </c>
    </row>
    <row r="702">
      <c r="A702" t="inlineStr">
        <is>
          <t>jabref</t>
        </is>
      </c>
      <c r="B702" t="inlineStr">
        <is>
          <t>jablib/src/main/java/org/jabref/logic/integrity/JournalInAbbreviationListChecker.java</t>
        </is>
      </c>
      <c r="C702">
        <f>HYPERLINK("https://github.com/JabRef/jabref/blob/master/jablib/src/main/java/org/jabref/logic/integrity/JournalInAbbreviationListChecker.java")</f>
        <v/>
      </c>
      <c r="D702" t="inlineStr">
        <is>
          <t>The `JournalInAbbreviationListChecker` class is responsible for checking whether the journal name in a given `BibEntry` is present in the list of known journal abbreviations. It does this by first retrieving the value of the specified field from the `BibEntry`, then using the `JournalAbbreviationRepository` to determine whether the journal name is</t>
        </is>
      </c>
      <c r="E702" t="n">
        <v>0</v>
      </c>
      <c r="F702" t="n">
        <v>0.0345</v>
      </c>
      <c r="G702" t="n">
        <v>0.082</v>
      </c>
      <c r="H702" t="inlineStr">
        <is>
          <t>This is a Java package that provides a class called `JournalInAbbreviationListChecker` which implements the `EntryChecker` interface from JabRef. The purpose of this class is to check whether the journal name in a given BibTeX entry is present in the list of known journal abbreviations. If it is not present, then it returns a list of integrity messages</t>
        </is>
      </c>
      <c r="I702" t="n">
        <v>0.0038</v>
      </c>
      <c r="J702" t="n">
        <v>0.0615</v>
      </c>
      <c r="K702" t="n">
        <v>0.0775</v>
      </c>
      <c r="L702" t="inlineStr">
        <is>
          <t>The `JournalInAbbreviationListChecker` class is part of JabRef, a reference management tool for academics. It checks whether the journal name used in a BibTeX entry is present in the list of known journal abbreviations. If the journal name is not found in the list, it returns an integrity message indicating that the journal name needs to be added to the</t>
        </is>
      </c>
      <c r="M702" t="n">
        <v>0</v>
      </c>
      <c r="N702" t="n">
        <v>0</v>
      </c>
      <c r="O702" t="n">
        <v>0.0382</v>
      </c>
    </row>
    <row r="703">
      <c r="A703" t="inlineStr">
        <is>
          <t>jabref</t>
        </is>
      </c>
      <c r="B703" t="inlineStr">
        <is>
          <t>jablib/src/main/java/org/jabref/logic/integrity/FieldChecker.java</t>
        </is>
      </c>
      <c r="C703">
        <f>HYPERLINK("https://github.com/JabRef/jabref/blob/master/jablib/src/main/java/org/jabref/logic/integrity/FieldChecker.java")</f>
        <v/>
      </c>
      <c r="D703" t="inlineStr">
        <is>
          <t>The `FieldChecker` class in JabRef's logic package provides a way to use a `ValueChecker` as an `EntryChecker`. It takes two parameters upon initialization - a `Field` object representing the field to be checked, and a `ValueChecker` instance that will perform the actual checking. When the `check()` method is called on an instance of</t>
        </is>
      </c>
      <c r="E703" t="n">
        <v>0.0035</v>
      </c>
      <c r="F703" t="n">
        <v>0.0328</v>
      </c>
      <c r="G703" t="n">
        <v>0.08</v>
      </c>
      <c r="H703" t="inlineStr">
        <is>
          <t>This Java file defines a `FieldChecker` class that acts as a proxy for a `ValueChecker`. It takes in a field name and a `ValueChecker` instance and provides a method called `check()` which returns a list of integrity messages based on the input `BibEntry`. The `FieldChecker` uses the `ValueChecker` to check the value of</t>
        </is>
      </c>
      <c r="I703" t="n">
        <v>0.0041</v>
      </c>
      <c r="J703" t="n">
        <v>0.06560000000000001</v>
      </c>
      <c r="K703" t="n">
        <v>0.12</v>
      </c>
      <c r="L703" t="inlineStr">
        <is>
          <t>This Java code defines a `FieldChecker` class that acts as a proxy for a `ValueChecker`. It takes two parameters upon initialization: a `Field` object representing the field to be checked, and a `ValueChecker` instance that will perform the actual checking. When the `check()` method is called on an instance of `FieldChecker`, it retrieves the value</t>
        </is>
      </c>
      <c r="M703" t="n">
        <v>0.004</v>
      </c>
      <c r="N703" t="n">
        <v>0.0635</v>
      </c>
      <c r="O703" t="n">
        <v>0.07870000000000001</v>
      </c>
    </row>
    <row r="704">
      <c r="A704" t="inlineStr">
        <is>
          <t>jabref</t>
        </is>
      </c>
      <c r="B704" t="inlineStr">
        <is>
          <t>jablib/src/main/java/org/jabref/logic/integrity/ISBNChecker.java</t>
        </is>
      </c>
      <c r="C704">
        <f>HYPERLINK("https://github.com/JabRef/jabref/blob/master/jablib/src/main/java/org/jabref/logic/integrity/ISBNChecker.java")</f>
        <v/>
      </c>
      <c r="D704" t="inlineStr">
        <is>
          <t>This code defines a `ISBNChecker` class that implements the `ValueChecker` interface from JabRef's logic package. The class takes in a string input and checks whether it is a valid International Standard Book Number (ISBN). It does this by creating an instance of the `ISBN` class with the given input, then checking its validity using methods such as `isValid</t>
        </is>
      </c>
      <c r="E704" t="n">
        <v>0.0041</v>
      </c>
      <c r="F704" t="n">
        <v>0.0896</v>
      </c>
      <c r="G704" t="n">
        <v>0.1538</v>
      </c>
      <c r="H704" t="inlineStr">
        <is>
          <t>This Java code defines a class called `ISBNChecker` that implements the `ValueChecker` interface from the JabRef library. The class takes a string as input and checks whether it is a valid International Standard Book Number (ISBN). If the input is blank or in the wrong format, the method returns an empty optional. Otherwise, it creates an instance of the `ISBN` class</t>
        </is>
      </c>
      <c r="I704" t="n">
        <v>0.0039</v>
      </c>
      <c r="J704" t="n">
        <v>0.08699999999999999</v>
      </c>
      <c r="K704" t="n">
        <v>0.1128</v>
      </c>
      <c r="L704" t="inlineStr">
        <is>
          <t>The provided code defines an implementation for the `org.jabref.logic.integrity.ISBNChecker` interface, which checks whether a given string represents a valid International Standard Book Number (ISBN). The method takes a single input parameter, `value`, and returns an optional error message if the ISBN is invalid. If the ISBN is valid, the method returns an empty optional.</t>
        </is>
      </c>
      <c r="M704" t="n">
        <v>0.0034</v>
      </c>
      <c r="N704" t="n">
        <v>0.0606</v>
      </c>
      <c r="O704" t="n">
        <v>0.0794</v>
      </c>
    </row>
    <row r="705">
      <c r="A705" t="inlineStr">
        <is>
          <t>jabref</t>
        </is>
      </c>
      <c r="B705" t="inlineStr">
        <is>
          <t>jablib/src/main/java/org/jabref/logic/integrity/UrlChecker.java</t>
        </is>
      </c>
      <c r="C705">
        <f>HYPERLINK("https://github.com/JabRef/jabref/blob/master/jablib/src/main/java/org/jabref/logic/integrity/UrlChecker.java")</f>
        <v/>
      </c>
      <c r="D705" t="inlineStr">
        <is>
          <t>The `UrlChecker` class in this repository is a Java implementation of a value checker for URLs. It checks whether a given string represents a valid URL by verifying that it contains a protocol and follows the RFC 3986 URI syntax. If the input does not meet these requirements, the method returns an error message indicating what went wrong. Otherwise, it returns an empty</t>
        </is>
      </c>
      <c r="E705" t="n">
        <v>0.0029</v>
      </c>
      <c r="F705" t="n">
        <v>0.08450000000000001</v>
      </c>
      <c r="G705" t="n">
        <v>0.1481</v>
      </c>
      <c r="H705" t="inlineStr">
        <is>
          <t>This is a Java package containing a single class named `UrlChecker`. The `UrlChecker` class implements the `ValueChecker` interface and provides a method called `checkValue`, which takes a string argument and returns an optional error message if the input is invalid.
The `checkValue` method first checks whether the input string is blank or null. If it is,</t>
        </is>
      </c>
      <c r="I705" t="n">
        <v>0.0043</v>
      </c>
      <c r="J705" t="n">
        <v>0.09379999999999999</v>
      </c>
      <c r="K705" t="n">
        <v>0.1172</v>
      </c>
      <c r="L705" t="inlineStr">
        <is>
          <t>The `UrlChecker` class is a part of JabRef's library for integrity checks. It validates whether a given string represents a valid URL by checking if it contains a protocol and adheres to the RFC 3986 URI syntax. If the input string is blank or does not contain a protocol, it returns an empty optional. Otherwise, it attempts to</t>
        </is>
      </c>
      <c r="M705" t="n">
        <v>0.0031</v>
      </c>
      <c r="N705" t="n">
        <v>0.0299</v>
      </c>
      <c r="O705" t="n">
        <v>0.0769</v>
      </c>
    </row>
    <row r="706">
      <c r="A706" t="inlineStr">
        <is>
          <t>jabref</t>
        </is>
      </c>
      <c r="B706" t="inlineStr">
        <is>
          <t>jablib/src/main/java/org/jabref/logic/integrity/UnicodeNormalFormCanonicalCompositionCheck.java</t>
        </is>
      </c>
      <c r="C706">
        <f>HYPERLINK("https://github.com/JabRef/jabref/blob/master/jablib/src/main/java/org/jabref/logic/integrity/UnicodeNormalFormCanonicalCompositionCheck.java")</f>
        <v/>
      </c>
      <c r="D706" t="inlineStr">
        <is>
          <t>This code checks if the values of certain fields in a BibTeX entry are in Unicode normal form C (NFC). The function `check` takes a `BibEntry` object as input and returns a list of integrity messages indicating which fields have non-normalized values. The function uses the Java `Normalizer` class to perform the normalization check.</t>
        </is>
      </c>
      <c r="E706" t="n">
        <v>0.004</v>
      </c>
      <c r="F706" t="n">
        <v>0.09520000000000001</v>
      </c>
      <c r="G706" t="n">
        <v>0.119</v>
      </c>
      <c r="H706" t="inlineStr">
        <is>
          <t>This Java code defines a class called `UnicodeNormalFormCanonicalCompositionCheck` that implements the `EntryChecker` interface from JabRef. The class takes a BibTeX entry as input and checks if any of its fields contain non-normalized Unicode characters. If it finds such characters, it returns a list of integrity messages indicating which fields need to be normalized.</t>
        </is>
      </c>
      <c r="I706" t="n">
        <v>0.0045</v>
      </c>
      <c r="J706" t="n">
        <v>0.0968</v>
      </c>
      <c r="K706" t="n">
        <v>0.12</v>
      </c>
      <c r="L706" t="inlineStr">
        <is>
          <t>The `UnicodeNormalFormCanonicalCompositionCheck` class checks if any Unicode character in a BibTeX field is not in the normal form "Normalization Form Canonical Composition" (NFC). It uses the `java.text.Normalizer` class to perform the check. If a field value is found to be not in NFC format, an integrity message is</t>
        </is>
      </c>
      <c r="M706" t="n">
        <v>0</v>
      </c>
      <c r="N706" t="n">
        <v>0</v>
      </c>
      <c r="O706" t="n">
        <v>0.0417</v>
      </c>
    </row>
    <row r="707">
      <c r="A707" t="inlineStr">
        <is>
          <t>jabref</t>
        </is>
      </c>
      <c r="B707" t="inlineStr">
        <is>
          <t>jablib/src/main/java/org/jabref/logic/integrity/EntryChecker.java</t>
        </is>
      </c>
      <c r="C707">
        <f>HYPERLINK("https://github.com/JabRef/jabref/blob/master/jablib/src/main/java/org/jabref/logic/integrity/EntryChecker.java")</f>
        <v/>
      </c>
      <c r="D707" t="inlineStr">
        <is>
          <t>This is a Java interface for checking the integrity of a BibTeX entry. The `check` method takes a `BibEntry` object as input and returns a list of `IntegrityMessage` objects that describe any issues found with the entry. The complexity of this code is O(N), where N is the number of fields in the entry. It appears to be part of a larger</t>
        </is>
      </c>
      <c r="E707" t="n">
        <v>0.0035</v>
      </c>
      <c r="F707" t="n">
        <v>0.0563</v>
      </c>
      <c r="G707" t="n">
        <v>0.1119</v>
      </c>
      <c r="H707" t="inlineStr">
        <is>
          <t>This is a Java package containing a functional interface called `EntryChecker`, which takes in a `BibEntry` object as input and returns a list of `IntegrityMessage` objects. The complexity of this code is O(N), where N is the number of entries to be checked. The comments indicate that this class implements the core algorithms for checking the integrity of bibliographic entries.</t>
        </is>
      </c>
      <c r="I707" t="n">
        <v>0.0043</v>
      </c>
      <c r="J707" t="n">
        <v>0.08699999999999999</v>
      </c>
      <c r="K707" t="n">
        <v>0.1894</v>
      </c>
      <c r="L707" t="inlineStr">
        <is>
          <t>The provided code defines an interface for checking the integrity of bibliographic entries in JabRef. It specifies that the implementing classes must have a method called "check" that takes a BibEntry object as input and returns a list of IntegrityMessages. The class is annotated with @FunctionalInterface, indicating that it should be treated as a functional interface.</t>
        </is>
      </c>
      <c r="M707" t="n">
        <v>0.0033</v>
      </c>
      <c r="N707" t="n">
        <v>0.0625</v>
      </c>
      <c r="O707" t="n">
        <v>0.1172</v>
      </c>
    </row>
    <row r="708">
      <c r="A708" t="inlineStr">
        <is>
          <t>jabref</t>
        </is>
      </c>
      <c r="B708" t="inlineStr">
        <is>
          <t>jablib/src/main/java/org/jabref/logic/integrity/CitationKeyDeviationChecker.java</t>
        </is>
      </c>
      <c r="C708">
        <f>HYPERLINK("https://github.com/JabRef/jabref/blob/master/jablib/src/main/java/org/jabref/logic/integrity/CitationKeyDeviationChecker.java")</f>
        <v/>
      </c>
      <c r="D708" t="inlineStr">
        <is>
          <t>The `CitationKeyDeviationChecker` class is responsible for checking whether the citation keys in a given list of entries deviate from the expected format based on the user's preferences. It does this by comparing each entry's citation key with the corresponding citation key pattern specified by the user. If there is a deviation, it returns a warning message indicating that the</t>
        </is>
      </c>
      <c r="E708" t="n">
        <v>0</v>
      </c>
      <c r="F708" t="n">
        <v>0.029</v>
      </c>
      <c r="G708" t="n">
        <v>0.0382</v>
      </c>
      <c r="H708" t="inlineStr">
        <is>
          <t>This is Java code for a program that checks whether the citation keys in a bibliography database deviate from the expected pattern based on the user's preferences. The program uses the JabRef library to interact with the bibliography database and generates citation keys using the Citation Key Pattern Preferences. It also uses the Localization library to retrieve localized strings for error messages.</t>
        </is>
      </c>
      <c r="I708" t="n">
        <v>0.0035</v>
      </c>
      <c r="J708" t="n">
        <v>0.0563</v>
      </c>
      <c r="K708" t="n">
        <v>0.1119</v>
      </c>
      <c r="L708" t="inlineStr">
        <is>
          <t>The `CitationKeyDeviationChecker` class is part of JabRef, a reference management tool for academics. It checks whether the citation keys of entries in a bibliography database deviate from the expected format based on the selected citation key pattern. The class takes two parameters upon initialization: a `BibDatabaseContext` object representing the current bibliography database and a</t>
        </is>
      </c>
      <c r="M708" t="n">
        <v>0.0034</v>
      </c>
      <c r="N708" t="n">
        <v>0.0323</v>
      </c>
      <c r="O708" t="n">
        <v>0.0794</v>
      </c>
    </row>
    <row r="709">
      <c r="A709" t="inlineStr">
        <is>
          <t>jabref</t>
        </is>
      </c>
      <c r="B709" t="inlineStr">
        <is>
          <t>jablib/src/main/java/org/jabref/logic/integrity/FileChecker.java</t>
        </is>
      </c>
      <c r="C709">
        <f>HYPERLINK("https://github.com/JabRef/jabref/blob/master/jablib/src/main/java/org/jabref/logic/integrity/FileChecker.java")</f>
        <v/>
      </c>
      <c r="D709" t="inlineStr">
        <is>
          <t>The `FileChecker` class is responsible for checking the integrity of files associated with entries in a bibliographic database. It takes a string representing a path to a file as input and returns an optional string containing an error message if the file does not exist or cannot be read. If the file exists and can be read successfully, the method returns an empty optional.
The implementation checks whether</t>
        </is>
      </c>
      <c r="E709" t="n">
        <v>0.0027</v>
      </c>
      <c r="F709" t="n">
        <v>0.0263</v>
      </c>
      <c r="G709" t="n">
        <v>0.07140000000000001</v>
      </c>
      <c r="H709" t="inlineStr">
        <is>
          <t>The `FileChecker` class is part of a Java-based software system that checks files for integrity. It takes in a string representing a path to a file or directory as input and returns an optional string containing an error message if the file or directory does not meet certain criteria.
The method `checkValue` first checks whether the input string is blank. If it is, it</t>
        </is>
      </c>
      <c r="I709" t="n">
        <v>0.0034</v>
      </c>
      <c r="J709" t="n">
        <v>0.0548</v>
      </c>
      <c r="K709" t="n">
        <v>0.1103</v>
      </c>
      <c r="L709" t="inlineStr">
        <is>
          <t>The `FileChecker` class is part of JabRef, a reference management tool for academics. It checks the integrity of files associated with entries in the bibliography database. Specifically, it ensures that all files exist and can be accessed, and that they have the correct format based on their file type.
The class takes two parameters upon instantiation: a `Bib</t>
        </is>
      </c>
      <c r="M709" t="n">
        <v>0.0031</v>
      </c>
      <c r="N709" t="n">
        <v>0.0303</v>
      </c>
      <c r="O709" t="n">
        <v>0.0769</v>
      </c>
    </row>
    <row r="710">
      <c r="A710" t="inlineStr">
        <is>
          <t>jabref</t>
        </is>
      </c>
      <c r="B710" t="inlineStr">
        <is>
          <t>jablib/src/main/java/org/jabref/logic/integrity/NoteChecker.java</t>
        </is>
      </c>
      <c r="C710">
        <f>HYPERLINK("https://github.com/JabRef/jabref/blob/master/jablib/src/main/java/org/jabref/logic/integrity/NoteChecker.java")</f>
        <v/>
      </c>
      <c r="D710" t="inlineStr">
        <is>
          <t>This is a Java implementation of the `NoteChecker` class, which checks whether the notes in a bibliography database meet certain criteria. The class takes a `BibDatabaseContext` object as input and has several methods for checking the validity of the notes.
The `FIRST_LETTER_CAPITALIZED` field is a regular expression pattern</t>
        </is>
      </c>
      <c r="E710" t="n">
        <v>0.0045</v>
      </c>
      <c r="F710" t="n">
        <v>0.1034</v>
      </c>
      <c r="G710" t="n">
        <v>0.125</v>
      </c>
      <c r="H710" t="inlineStr">
        <is>
          <t>This is a Java program that checks if the notes in a bibliography database conform to certain rules. It uses regular expressions to check for specific patterns in the notes, such as ensuring that the first letter of each note is capitalized or that there is no whitespace before punctuation. It also includes some logic to handle different types of citations and to provide localized error messages.</t>
        </is>
      </c>
      <c r="I710" t="n">
        <v>0.0032</v>
      </c>
      <c r="J710" t="n">
        <v>0.0533</v>
      </c>
      <c r="K710" t="n">
        <v>0.1079</v>
      </c>
      <c r="L710" t="inlineStr">
        <is>
          <t>The `NoteChecker` class is responsible for checking the validity of notes in a bibliographic database. It takes a `BibDatabaseContext` object as input and checks if the first letter of each note is capitalized according to the rules specified by the `biblatex` package and the official BibTeX specification. If any notes violate these rules, the method returns an error message</t>
        </is>
      </c>
      <c r="M710" t="n">
        <v>0.0031</v>
      </c>
      <c r="N710" t="n">
        <v>0.0299</v>
      </c>
      <c r="O710" t="n">
        <v>0.0382</v>
      </c>
    </row>
    <row r="711">
      <c r="A711" t="inlineStr">
        <is>
          <t>jabref</t>
        </is>
      </c>
      <c r="B711" t="inlineStr">
        <is>
          <t>jablib/src/main/java/org/jabref/logic/integrity/UTF8Checker.java</t>
        </is>
      </c>
      <c r="C711">
        <f>HYPERLINK("https://github.com/JabRef/jabref/blob/master/jablib/src/main/java/org/jabref/logic/integrity/UTF8Checker.java")</f>
        <v/>
      </c>
      <c r="D711" t="inlineStr">
        <is>
          <t>This is a Java implementation of a UTF-8 checker for bibliographic entries in JabRef. The `UTF8Checker` class takes a `Charset` object as its constructor argument and provides a method called `check` which takes a `BibEntry` object as input and returns a list of warnings if any non-UTF-8 encoded fields were found.</t>
        </is>
      </c>
      <c r="E711" t="n">
        <v>0.0043</v>
      </c>
      <c r="F711" t="n">
        <v>0.0968</v>
      </c>
      <c r="G711" t="n">
        <v>0.122</v>
      </c>
      <c r="H711" t="inlineStr">
        <is>
          <t>This is a Java program that checks if any fields in a BibTeX entry (represented as a `BibEntry` object) contain non-UTF-8 characters. The program uses the `Charset` interface from the Java standard library to detect non-UTF-8 characters. It first converts each field value to a byte array using the `getBytes()` method, then dec</t>
        </is>
      </c>
      <c r="I711" t="n">
        <v>0.0035</v>
      </c>
      <c r="J711" t="n">
        <v>0.0308</v>
      </c>
      <c r="K711" t="n">
        <v>0.08</v>
      </c>
      <c r="L711" t="inlineStr">
        <is>
          <t>The `UTF8Checker` class is responsible for detecting non-UTF-8 encoded fields in a given `BibEntry`. It achieves this by decoding each field value as a string, then attempting to decode the resulting byte array back into a character array using the UTF-8 charset. If the conversion fails, the field is considered non-UTF-8 encoded.</t>
        </is>
      </c>
      <c r="M711" t="n">
        <v>0</v>
      </c>
      <c r="N711" t="n">
        <v>0.0308</v>
      </c>
      <c r="O711" t="n">
        <v>0.0806</v>
      </c>
    </row>
    <row r="712">
      <c r="A712" t="inlineStr">
        <is>
          <t>jabref</t>
        </is>
      </c>
      <c r="B712" t="inlineStr">
        <is>
          <t>jablib/src/main/java/org/jabref/logic/integrity/IntegrityCheckResultCsvWriter.java</t>
        </is>
      </c>
      <c r="C712">
        <f>HYPERLINK("https://github.com/JabRef/jabref/blob/master/jablib/src/main/java/org/jabref/logic/integrity/IntegrityCheckResultCsvWriter.java")</f>
        <v/>
      </c>
      <c r="D712" t="inlineStr">
        <is>
          <t>The provided Java code is a custom implementation of a `Writer` that writes integrity check results to a CSV file. It takes in a list of `IntegrityMessage` objects as input and uses Apache Commons CSV library to write the data to a CSV file.
The `writeFindings()` method iterates over the list of `IntegrityMessage` objects and prints each one out as</t>
        </is>
      </c>
      <c r="E712" t="n">
        <v>0.003</v>
      </c>
      <c r="F712" t="n">
        <v>0.0588</v>
      </c>
      <c r="G712" t="n">
        <v>0.1136</v>
      </c>
      <c r="H712" t="inlineStr">
        <is>
          <t>This is Java code for writing integrity check results to a CSV file using Apache Commons CSV library. The `IntegrityCheckResultCsvWriter` class takes in a list of `IntegrityMessage` objects as input and writes them to a CSV file using the `CSVPrinter` class from Apache Commons CSV. It also includes methods for closing the output stream and handling any exceptions that may</t>
        </is>
      </c>
      <c r="I712" t="n">
        <v>0.0036</v>
      </c>
      <c r="J712" t="n">
        <v>0.0588</v>
      </c>
      <c r="K712" t="n">
        <v>0.1136</v>
      </c>
      <c r="L712" t="inlineStr">
        <is>
          <t>The provided code is a Java implementation of a custom `IntegrityCheckResultWriter` class that writes integrity check results as a CSV file. It takes a list of `IntegrityMessage` objects as input and uses the Apache Commons CSV library to print the results to a Writer object. The class overrides two methods from the parent class - `writeFindings()` and `close()`. The</t>
        </is>
      </c>
      <c r="M712" t="n">
        <v>0.0031</v>
      </c>
      <c r="N712" t="n">
        <v>0.0606</v>
      </c>
      <c r="O712" t="n">
        <v>0.1145</v>
      </c>
    </row>
    <row r="713">
      <c r="A713" t="inlineStr">
        <is>
          <t>jabref</t>
        </is>
      </c>
      <c r="B713" t="inlineStr">
        <is>
          <t>jablib/src/main/java/org/jabref/logic/integrity/AmpersandChecker.java</t>
        </is>
      </c>
      <c r="C713">
        <f>HYPERLINK("https://github.com/JabRef/jabref/blob/master/jablib/src/main/java/org/jabref/logic/integrity/AmpersandChecker.java")</f>
        <v/>
      </c>
      <c r="D713" t="inlineStr">
        <is>
          <t>The `AmpersandChecker` class checks if a given `BibEntry` contains unescaped ampersands (&amp;) in its fields. It does this by using regular expressions to search for occurrences of `&amp;` that are not preceded by any number of backslashes (`\`). If such an occurrence is found, it returns a list containing a single `</t>
        </is>
      </c>
      <c r="E713" t="n">
        <v>0</v>
      </c>
      <c r="F713" t="n">
        <v>0.0357</v>
      </c>
      <c r="G713" t="n">
        <v>0.0806</v>
      </c>
      <c r="H713" t="inlineStr">
        <is>
          <t>This Java code defines a class called `AmpersandChecker` that implements the `EntryChecker` interface. It checks if a given `BibEntry` object contains unescaped ampersands (&amp;) in its field values.
The implementation uses regular expressions to match the pattern "\\*" followed by an ampersand character (&amp;). The `\*`</t>
        </is>
      </c>
      <c r="I713" t="n">
        <v>0.0048</v>
      </c>
      <c r="J713" t="n">
        <v>0.08</v>
      </c>
      <c r="K713" t="n">
        <v>0.1271</v>
      </c>
      <c r="L713" t="inlineStr">
        <is>
          <t>The `AmpersandChecker` class checks if a `BibEntry` contains unescaped ampersands (&amp;) in nonverbatim fields. It uses regular expressions to identify such occurrences and returns a list of integrity messages indicating the presence of unescaped ampersands. The class is part of JabRef's library for checking the integrity</t>
        </is>
      </c>
      <c r="M713" t="n">
        <v>0.004</v>
      </c>
      <c r="N713" t="n">
        <v>0.037</v>
      </c>
      <c r="O713" t="n">
        <v>0.0847</v>
      </c>
    </row>
    <row r="714">
      <c r="A714" t="inlineStr">
        <is>
          <t>jabref</t>
        </is>
      </c>
      <c r="B714" t="inlineStr">
        <is>
          <t>jablib/src/main/java/org/jabref/logic/integrity/DoiValidityChecker.java</t>
        </is>
      </c>
      <c r="C714">
        <f>HYPERLINK("https://github.com/JabRef/jabref/blob/master/jablib/src/main/java/org/jabref/logic/integrity/DoiValidityChecker.java")</f>
        <v/>
      </c>
      <c r="D714" t="inlineStr">
        <is>
          <t>This Java file defines a `DoiValidityChecker` class that checks whether a given string is a valid DOI (Digital Object Identifier). The class implements the `ValueChecker` interface from JabRef library. It has one method called `checkValue`, which takes a string as input and returns an optional error message if the DOI is invalid. If the DOI is</t>
        </is>
      </c>
      <c r="E714" t="n">
        <v>0.0043</v>
      </c>
      <c r="F714" t="n">
        <v>0.09379999999999999</v>
      </c>
      <c r="G714" t="n">
        <v>0.1172</v>
      </c>
      <c r="H714" t="inlineStr">
        <is>
          <t>This Java package `org.jabref.logic.integrity` provides a utility class called `DoiValidityChecker`. It implements the `ValueChecker` interface from JabRef library to validate DOIs in a given string. The method `checkValue()` takes a string as input and returns an optional string with an error message if the DOI is invalid. If</t>
        </is>
      </c>
      <c r="I714" t="n">
        <v>0.005</v>
      </c>
      <c r="J714" t="n">
        <v>0.1017</v>
      </c>
      <c r="K714" t="n">
        <v>0.125</v>
      </c>
      <c r="L714" t="inlineStr">
        <is>
          <t>The provided Java code defines a `DoiValidityChecker` class that implements the `ValueChecker` interface. It checks whether a given string is a valid DOI by using the `DOI.isValid()` method from the JabRef library. If the input string is blank or a valid DOI, the method returns an empty optional object. Otherwise, it returns a</t>
        </is>
      </c>
      <c r="M714" t="n">
        <v>0.0035</v>
      </c>
      <c r="N714" t="n">
        <v>0.0323</v>
      </c>
      <c r="O714" t="n">
        <v>0.08</v>
      </c>
    </row>
    <row r="715">
      <c r="A715" t="inlineStr">
        <is>
          <t>jabref</t>
        </is>
      </c>
      <c r="B715" t="inlineStr">
        <is>
          <t>jablib/src/main/java/org/jabref/logic/integrity/ValidCitationKeyChecker.java</t>
        </is>
      </c>
      <c r="C715">
        <f>HYPERLINK("https://github.com/JabRef/jabref/blob/master/jablib/src/main/java/org/jabref/logic/integrity/ValidCitationKeyChecker.java")</f>
        <v/>
      </c>
      <c r="D715" t="inlineStr">
        <is>
          <t>This Java file defines a class called `ValidCitationKeyChecker` that implements the `ValueChecker` interface from JabRef's library. The class takes in a string parameter representing a set of unwanted characters and uses it to validate the format of a given citation key. It does so by removing any unwanted characters from the key using the `CitationKeyGenerator</t>
        </is>
      </c>
      <c r="E715" t="n">
        <v>0.0044</v>
      </c>
      <c r="F715" t="n">
        <v>0.09379999999999999</v>
      </c>
      <c r="G715" t="n">
        <v>0.1575</v>
      </c>
      <c r="H715" t="inlineStr">
        <is>
          <t>This Java package `org.jabref.logic.integrity` contains a single class called `ValidCitationKeyChecker`. It implements the `ValueChecker` interface to ensure that the input string adheres to certain rules. The constructor takes in a parameter `unwantedCharacters`, which represents a set of characters that should be removed from the input string before checking</t>
        </is>
      </c>
      <c r="I715" t="n">
        <v>0.0045</v>
      </c>
      <c r="J715" t="n">
        <v>0.0678</v>
      </c>
      <c r="K715" t="n">
        <v>0.0833</v>
      </c>
      <c r="L715" t="inlineStr">
        <is>
          <t>The code defines a `ValidCitationKeyChecker` class that checks whether a given string is a valid citation key by removing any unwanted characters using the `CitationKeyGenerator` method and comparing the result with the original input. If the two strings match, then the input is considered valid, otherwise it's invalid. The constructor takes a single argument, which specifies the</t>
        </is>
      </c>
      <c r="M715" t="n">
        <v>0.0032</v>
      </c>
      <c r="N715" t="n">
        <v>0.0303</v>
      </c>
      <c r="O715" t="n">
        <v>0.0775</v>
      </c>
    </row>
    <row r="716">
      <c r="A716" t="inlineStr">
        <is>
          <t>jabref</t>
        </is>
      </c>
      <c r="B716" t="inlineStr">
        <is>
          <t>jablib/src/main/java/org/jabref/logic/integrity/IntegrityCheckResultErrorFormatWriter.java</t>
        </is>
      </c>
      <c r="C716">
        <f>HYPERLINK("https://github.com/JabRef/jabref/blob/master/jablib/src/main/java/org/jabref/logic/integrity/IntegrityCheckResultErrorFormatWriter.java")</f>
        <v/>
      </c>
      <c r="D716" t="inlineStr">
        <is>
          <t>This is a Java class that implements the `IntegrityCheckResultWriter` interface. It takes in a list of `IntegrityMessages`, which represent errors or warnings found during the integrity check process, as well as a `ParserResult` object and a `Path` to the file being checked. The `writeFindings()` method iterates over the list of `IntegrityMessages` and</t>
        </is>
      </c>
      <c r="E716" t="n">
        <v>0.0046</v>
      </c>
      <c r="F716" t="n">
        <v>0.1</v>
      </c>
      <c r="G716" t="n">
        <v>0.121</v>
      </c>
      <c r="H716" t="inlineStr">
        <is>
          <t>This Java file defines a custom `IntegrityCheckResultErrorFormatWriter` class that is used to format the output of integrity checks performed by JABRef's importer. The class takes in several parameters upon initialization, including a `Writer`, a list of `IntegrityMessages`, a `ParserResult`, and a `Path`. It overrides the `writeFindings()` method to</t>
        </is>
      </c>
      <c r="I716" t="n">
        <v>0.0045</v>
      </c>
      <c r="J716" t="n">
        <v>0.0702</v>
      </c>
      <c r="K716" t="n">
        <v>0.125</v>
      </c>
      <c r="L716" t="inlineStr">
        <is>
          <t>The provided Java code is part of a project that involves checking the integrity of bibliographic entries in a database. It appears to be responsible for writing error messages related to the integrity checks to a log file.
The `IntegrityCheckResultErrorFormatWriter` class takes four parameters at construction time: a `Writer` object, a list of `IntegrityMessage` objects representing the errors</t>
        </is>
      </c>
      <c r="M716" t="n">
        <v>0</v>
      </c>
      <c r="N716" t="n">
        <v>0</v>
      </c>
      <c r="O716" t="n">
        <v>0.0385</v>
      </c>
    </row>
    <row r="717">
      <c r="A717" t="inlineStr">
        <is>
          <t>jabref</t>
        </is>
      </c>
      <c r="B717" t="inlineStr">
        <is>
          <t>jablib/src/main/java/org/jabref/logic/integrity/PagesChecker.java</t>
        </is>
      </c>
      <c r="C717">
        <f>HYPERLINK("https://github.com/JabRef/jabref/blob/master/jablib/src/main/java/org/jabref/logic/integrity/PagesChecker.java")</f>
        <v/>
      </c>
      <c r="D717" t="inlineStr">
        <is>
          <t>The `PagesChecker` class in JabRef is responsible for checking the validity of page numbers in a BibTeX entry. It uses regular expressions to match Roman numerals (e.g., "iii"), decimal numbers (e.g., "123"), or both (e.g., "i-ii"). It also allows for page ranges (e.g.,</t>
        </is>
      </c>
      <c r="E717" t="n">
        <v>0</v>
      </c>
      <c r="F717" t="n">
        <v>0</v>
      </c>
      <c r="G717" t="n">
        <v>0.0435</v>
      </c>
      <c r="H717" t="inlineStr">
        <is>
          <t>This Java package `org.jabref.logic.integrity` provides a class called `PagesChecker`, which is used to check the validity of page ranges in BibTeX files. The class implements the interface `ValueChecker`. It has several constants defined for regular expressions that match various types of page ranges, such as Roman numerals, decimal numbers, and hyphenated</t>
        </is>
      </c>
      <c r="I717" t="n">
        <v>0.0047</v>
      </c>
      <c r="J717" t="n">
        <v>0.0968</v>
      </c>
      <c r="K717" t="n">
        <v>0.1626</v>
      </c>
      <c r="L717" t="inlineStr">
        <is>
          <t>The `PagesChecker` class is part of JabRef, a reference management tool for academics. It provides a method called `checkValue()` that takes a string as input and returns an optional value if the input matches the expected page format. The method checks whether the input consists of Roman numerals (i, v, x, l, c, d, m), decimal numbers</t>
        </is>
      </c>
      <c r="M717" t="n">
        <v>0.0032</v>
      </c>
      <c r="N717" t="n">
        <v>0.0308</v>
      </c>
      <c r="O717" t="n">
        <v>0.0775</v>
      </c>
    </row>
    <row r="718">
      <c r="A718" t="inlineStr">
        <is>
          <t>jabref</t>
        </is>
      </c>
      <c r="B718" t="inlineStr">
        <is>
          <t>jablib/src/main/java/org/jabref/logic/integrity/IntegrityCheckResultTxtWriter.java</t>
        </is>
      </c>
      <c r="C718">
        <f>HYPERLINK("https://github.com/JabRef/jabref/blob/master/jablib/src/main/java/org/jabref/logic/integrity/IntegrityCheckResultTxtWriter.java")</f>
        <v/>
      </c>
      <c r="D718" t="inlineStr">
        <is>
          <t>The `IntegrityCheckResultTxtWriter` class is responsible for writing integrity check results to a text file in a specific format. It takes two parameters during initialization - a `Writer` object and a list of `IntegrityMessage` objects. When the `writeFindings()` method is called, it iterates over the list of messages and writes each one to the output stream using the</t>
        </is>
      </c>
      <c r="E718" t="n">
        <v>0.0032</v>
      </c>
      <c r="F718" t="n">
        <v>0.0312</v>
      </c>
      <c r="G718" t="n">
        <v>0.0775</v>
      </c>
      <c r="H718" t="inlineStr">
        <is>
          <t>This Java class, `IntegrityCheckResultTxtWriter`, is a custom implementation of the `IntegrityCheckResultWriter` interface. It takes in a list of integrity messages as input and writes them to a text file using a `Writer` object. The class overrides the `writeFindings()` method from its parent class, which is responsible for writing the integrity messages to the output</t>
        </is>
      </c>
      <c r="I718" t="n">
        <v>0.004</v>
      </c>
      <c r="J718" t="n">
        <v>0.0968</v>
      </c>
      <c r="K718" t="n">
        <v>0.1587</v>
      </c>
      <c r="L718" t="inlineStr">
        <is>
          <t>The provided code defines a custom implementation of an interface called "IntegrityCheckResultWriter" that writes integrity check results to a text file. The class takes two parameters upon initialization - a Writer object and a list of IntegrityMessages. It then overrides the "writeFindings()" method to iterate through the list of messages and write each one to the output stream using the "toString()"</t>
        </is>
      </c>
      <c r="M718" t="n">
        <v>0.003</v>
      </c>
      <c r="N718" t="n">
        <v>0.0588</v>
      </c>
      <c r="O718" t="n">
        <v>0.1128</v>
      </c>
    </row>
    <row r="719">
      <c r="A719" t="inlineStr">
        <is>
          <t>jabref</t>
        </is>
      </c>
      <c r="B719" t="inlineStr">
        <is>
          <t>jablib/src/main/java/org/jabref/logic/integrity/EntryLinkChecker.java</t>
        </is>
      </c>
      <c r="C719">
        <f>HYPERLINK("https://github.com/JabRef/jabref/blob/master/jablib/src/main/java/org/jabref/logic/integrity/EntryLinkChecker.java")</f>
        <v/>
      </c>
      <c r="D719" t="inlineStr">
        <is>
          <t>This is Java code that checks the integrity of entries in a bibliography database by checking whether each entry has valid links to other entries in the same database. The `EntryLinkChecker` class takes a `BibDatabase` object as its constructor argument and provides a method called `check()` which returns a list of `IntegrityMessage` objects representing any errors found during the integrity check.</t>
        </is>
      </c>
      <c r="E719" t="n">
        <v>0.0036</v>
      </c>
      <c r="F719" t="n">
        <v>0.058</v>
      </c>
      <c r="G719" t="n">
        <v>0.0752</v>
      </c>
      <c r="H719" t="inlineStr">
        <is>
          <t>This is a Java program that checks the integrity of entries in a bibliographic database. It takes a `BibDatabase` object as input and returns a list of `IntegrityMessage` objects containing information about any issues found with the entries in the database. The program uses several methods to perform its checks, including checking for multiple entry links and singletons. The program also includes comments describing</t>
        </is>
      </c>
      <c r="I719" t="n">
        <v>0.0034</v>
      </c>
      <c r="J719" t="n">
        <v>0.0556</v>
      </c>
      <c r="K719" t="n">
        <v>0.1103</v>
      </c>
      <c r="L719" t="inlineStr">
        <is>
          <t>The provided code defines an `EntryLinkChecker` class that checks the integrity of entries in a bibliographic database by analyzing their fields and checking whether they contain valid links to other entries in the same database. It is part of the JabRef library, which is used for managing and organizing references in academic writing.</t>
        </is>
      </c>
      <c r="M719" t="n">
        <v>0.0035</v>
      </c>
      <c r="N719" t="n">
        <v>0.0328</v>
      </c>
      <c r="O719" t="n">
        <v>0.08</v>
      </c>
    </row>
    <row r="720">
      <c r="A720" t="inlineStr">
        <is>
          <t>jabref</t>
        </is>
      </c>
      <c r="B720" t="inlineStr">
        <is>
          <t>jablib/src/main/java/org/jabref/logic/integrity/NoBibtexFieldChecker.java</t>
        </is>
      </c>
      <c r="C720">
        <f>HYPERLINK("https://github.com/JabRef/jabref/blob/master/jablib/src/main/java/org/jabref/logic/integrity/NoBibtexFieldChecker.java")</f>
        <v/>
      </c>
      <c r="D720" t="inlineStr">
        <is>
          <t>The `NoBibtexFieldChecker` class is responsible for checking if an entry contains fields that appear only in biblatex (and not in BibTeX). It achieves this by first obtaining a set of all possible fields using the `BibtexEntryTypeDefinitions` class, then filtering out those fields that appear in both biblatex and BibTeX using the `filter</t>
        </is>
      </c>
      <c r="E720" t="n">
        <v>0.0035</v>
      </c>
      <c r="F720" t="n">
        <v>0.0667</v>
      </c>
      <c r="G720" t="n">
        <v>0.121</v>
      </c>
      <c r="H720" t="inlineStr">
        <is>
          <t>The code defines a Java class named `NoBibtexFieldChecker` that implements the `EntryChecker` interface. It is used to check whether a given entry (represented by a `BibEntry`) does not contain any fields that appear only in BibLaTeX (and not in BibTeX).
The class has several methods, including `getAllBib</t>
        </is>
      </c>
      <c r="I720" t="n">
        <v>0.0039</v>
      </c>
      <c r="J720" t="n">
        <v>0.0727</v>
      </c>
      <c r="K720" t="n">
        <v>0.08400000000000001</v>
      </c>
      <c r="L720" t="inlineStr">
        <is>
          <t>The code defines a class named `NoBibtexFieldChecker` that implements the `EntryChecker` interface. It is responsible for checking whether an entry does not contain any fields that appear only in biblatex (and not in BibTeX).
The class has several methods, including `getAllBiblatexOnlyFields()`, which returns a set of all fields that appear only</t>
        </is>
      </c>
      <c r="M720" t="n">
        <v>0.0036</v>
      </c>
      <c r="N720" t="n">
        <v>0.0678</v>
      </c>
      <c r="O720" t="n">
        <v>0.0407</v>
      </c>
    </row>
    <row r="721">
      <c r="A721" t="inlineStr">
        <is>
          <t>jabref</t>
        </is>
      </c>
      <c r="B721" t="inlineStr">
        <is>
          <t>jablib/src/main/java/org/jabref/logic/integrity/FieldCheckers.java</t>
        </is>
      </c>
      <c r="C721">
        <f>HYPERLINK("https://github.com/JabRef/jabref/blob/master/jablib/src/main/java/org/jabref/logic/integrity/FieldCheckers.java")</f>
        <v/>
      </c>
      <c r="D721" t="inlineStr">
        <is>
          <t>The `FieldCheckers` class is responsible for checking the validity of fields in a BibTeX entry. It takes a `BibDatabaseContext`, `FilePreferences`, `JournalAbbreviationRepository`, and two strings as input, and returns a map of all the fields that need to be checked along with their corresponding checkers. The method `getAllMap` does this by</t>
        </is>
      </c>
      <c r="E721" t="n">
        <v>0.0037</v>
      </c>
      <c r="F721" t="n">
        <v>0.0345</v>
      </c>
      <c r="G721" t="n">
        <v>0.123</v>
      </c>
      <c r="H721" t="inlineStr">
        <is>
          <t>This Java package `org.jabref.logic.integrity` provides a set of classes that implement various checks on fields in a bibliographic database. The main class is `FieldCheckers`, which takes a `BibDatabaseContext`, `FilePreferences`, `JournalAbbreviationRepository`, `boolean` flag for allowing integer editions, and a string containing unwanted characters</t>
        </is>
      </c>
      <c r="I721" t="n">
        <v>0.0052</v>
      </c>
      <c r="J721" t="n">
        <v>0.1132</v>
      </c>
      <c r="K721" t="n">
        <v>0.1316</v>
      </c>
      <c r="L721" t="inlineStr">
        <is>
          <t>The `FieldCheckers` class is responsible for checking the validity of fields in a bibliographic entry. It takes a `BibDatabaseContext`, `FilePreferences`, `JournalAbbreviationRepository`, and two booleans as input and returns a multimap of field checkers. Each field checker checks the validity of a specific field based on certain criteria. The</t>
        </is>
      </c>
      <c r="M721" t="n">
        <v>0.0038</v>
      </c>
      <c r="N721" t="n">
        <v>0.0357</v>
      </c>
      <c r="O721" t="n">
        <v>0.0417</v>
      </c>
    </row>
    <row r="722">
      <c r="A722" t="inlineStr">
        <is>
          <t>jabref</t>
        </is>
      </c>
      <c r="B722" t="inlineStr">
        <is>
          <t>jablib/src/main/java/org/jabref/logic/integrity/HTMLCharacterChecker.java</t>
        </is>
      </c>
      <c r="C722">
        <f>HYPERLINK("https://github.com/JabRef/jabref/blob/master/jablib/src/main/java/org/jabref/logic/integrity/HTMLCharacterChecker.java")</f>
        <v/>
      </c>
      <c r="D722" t="inlineStr">
        <is>
          <t>The `HTMLCharacterChecker` class is an implementation of the `EntryChecker` interface that checks for the presence of HTML encoded characters in non-verbatim fields of a BibTeX entry. It does this by using a regular expression to match any occurrence of "&amp;" followed by one or more alphanumeric characters (i.e., "#" or letters), and then ";</t>
        </is>
      </c>
      <c r="E722" t="n">
        <v>0.0034</v>
      </c>
      <c r="F722" t="n">
        <v>0.06560000000000001</v>
      </c>
      <c r="G722" t="n">
        <v>0.1587</v>
      </c>
      <c r="H722" t="inlineStr">
        <is>
          <t>This Java code defines a class called `HTMLCharacterChecker` that implements the `EntryChecker` interface from the JabRef library for bibliographic reference management. The class is responsible for checking whether there are any HTML encoded characters present in non-verbatim fields of a BibTeX entry.
The implementation uses regular expressions to detect any occurrence of the pattern "&amp;[#</t>
        </is>
      </c>
      <c r="I722" t="n">
        <v>0.004</v>
      </c>
      <c r="J722" t="n">
        <v>0.0635</v>
      </c>
      <c r="K722" t="n">
        <v>0.1181</v>
      </c>
      <c r="L722" t="inlineStr">
        <is>
          <t>The provided code is part of a Java project that checks for HTML encoded characters in non-verbatim fields of a BibTeX entry. It uses regular expressions to detect such characters and returns a list of integrity messages containing the detected fields.</t>
        </is>
      </c>
      <c r="M722" t="n">
        <v>0.0045</v>
      </c>
      <c r="N722" t="n">
        <v>0.04</v>
      </c>
      <c r="O722" t="n">
        <v>0.0885</v>
      </c>
    </row>
    <row r="723">
      <c r="A723" t="inlineStr">
        <is>
          <t>jabref</t>
        </is>
      </c>
      <c r="B723" t="inlineStr">
        <is>
          <t>jablib/src/main/java/org/jabref/logic/integrity/ISSNChecker.java</t>
        </is>
      </c>
      <c r="C723">
        <f>HYPERLINK("https://github.com/JabRef/jabref/blob/master/jablib/src/main/java/org/jabref/logic/integrity/ISSNChecker.java")</f>
        <v/>
      </c>
      <c r="D723" t="inlineStr">
        <is>
          <t>The `ISSNChecker` class in the JabRef library checks whether a given string represents a valid International Standard Serial Number (ISSN). It does this by creating an `ISSN` object from the input string and checking its format and checksum using the `isValidFormat()` and `isValidChecksum()` methods respectively. If either of these conditions fail, it returns an</t>
        </is>
      </c>
      <c r="E723" t="n">
        <v>0.0034</v>
      </c>
      <c r="F723" t="n">
        <v>0.0645</v>
      </c>
      <c r="G723" t="n">
        <v>0.119</v>
      </c>
      <c r="H723" t="inlineStr">
        <is>
          <t>The provided code defines a class called `ISSNChecker` in Java, which implements the `ValueChecker` interface from JabRef. The `checkValue()` method takes a string argument representing an ISSN number and returns an optional error message if the ISSN is invalid.
The method first checks whether the input string is blank or null. If it is, the method immediately returns</t>
        </is>
      </c>
      <c r="I723" t="n">
        <v>0.0037</v>
      </c>
      <c r="J723" t="n">
        <v>0.0606</v>
      </c>
      <c r="K723" t="n">
        <v>0.0769</v>
      </c>
      <c r="L723" t="inlineStr">
        <is>
          <t>The provided code defines an `ISSNChecker` class that implements the `ValueChecker` interface. It checks whether a given string represents a valid International Standard Serial Number (ISSN) by checking its format and control digit using the `ISSN` class from JabRef's library. If the ISSN is invalid, the method returns an error message indicating the reason for the failure</t>
        </is>
      </c>
      <c r="M723" t="n">
        <v>0.0038</v>
      </c>
      <c r="N723" t="n">
        <v>0.0606</v>
      </c>
      <c r="O723" t="n">
        <v>0.1163</v>
      </c>
    </row>
    <row r="724">
      <c r="A724" t="inlineStr">
        <is>
          <t>jabref</t>
        </is>
      </c>
      <c r="B724" t="inlineStr">
        <is>
          <t>jablib/src/main/java/org/jabref/logic/integrity/LatexIntegrityChecker.java</t>
        </is>
      </c>
      <c r="C724">
        <f>HYPERLINK("https://github.com/JabRef/jabref/blob/master/jablib/src/main/java/org/jabref/logic/integrity/LatexIntegrityChecker.java")</f>
        <v/>
      </c>
      <c r="D724" t="inlineStr">
        <is>
          <t>The provided code is a Java class that implements the `IntegrityCheck` interface, which defines a method called `check`. This method takes a list of `BibEntry` objects as input and returns a set of errors found in those entries.
The implementation of this method involves several steps:
1. It first creates a new instance of the `SnuggleEngine</t>
        </is>
      </c>
      <c r="E724" t="n">
        <v>0.0043</v>
      </c>
      <c r="F724" t="n">
        <v>0.0625</v>
      </c>
      <c r="G724" t="n">
        <v>0.1172</v>
      </c>
      <c r="H724" t="inlineStr">
        <is>
          <t>This Java package is part of JabRef, a reference management tool for academics. It provides a set of classes and methods that implement various algorithms used in the program's core functionality. The package includes classes related to entry integrity checks, such as checking for duplicate entries or inconsistencies in field values. Additionally, it includes classes for handling errors and exceptions, as well as utility classes</t>
        </is>
      </c>
      <c r="I724" t="n">
        <v>0.0037</v>
      </c>
      <c r="J724" t="n">
        <v>0.1351</v>
      </c>
      <c r="K724" t="n">
        <v>0.1825</v>
      </c>
      <c r="L724" t="inlineStr">
        <is>
          <t>The code defines a class named `IntegrityChecker` that is responsible for checking the integrity of a list of `BibEntry` objects. It uses the SnuggleTeX library to parse the entry's fields and check if they contain any errors. If there are any errors, the method returns a set of error messages. Otherwise, it returns an empty set.
The</t>
        </is>
      </c>
      <c r="M724" t="n">
        <v>0.0032</v>
      </c>
      <c r="N724" t="n">
        <v>0.0303</v>
      </c>
      <c r="O724" t="n">
        <v>0.0775</v>
      </c>
    </row>
    <row r="725">
      <c r="A725" t="inlineStr">
        <is>
          <t>jabref</t>
        </is>
      </c>
      <c r="B725" t="inlineStr">
        <is>
          <t>jablib/src/main/java/org/jabref/logic/integrity/MonthChecker.java</t>
        </is>
      </c>
      <c r="C725">
        <f>HYPERLINK("https://github.com/JabRef/jabref/blob/master/jablib/src/main/java/org/jabref/logic/integrity/MonthChecker.java")</f>
        <v/>
      </c>
      <c r="D725" t="inlineStr">
        <is>
          <t>This is a Java file that defines a `MonthChecker` class that checks if a string represents a valid month in a bibliographic database context. The class takes a `BibDatabaseContext` object as its constructor argument and has one method, `checkValue`, which returns an `Optional` containing a message indicating whether the input string is a valid month or not.
The implementation</t>
        </is>
      </c>
      <c r="E725" t="n">
        <v>0.0037</v>
      </c>
      <c r="F725" t="n">
        <v>0.0597</v>
      </c>
      <c r="G725" t="n">
        <v>0.1145</v>
      </c>
      <c r="H725" t="inlineStr">
        <is>
          <t>This is Java code for a value checker that checks if a string represents a valid month in the context of a bibliographic database. The checker uses regular expressions to validate the input string against a set of predefined patterns. It also normalizes the input string by replacing any abbreviated months with their full names. The checker is implemented as part of the JabRef library,</t>
        </is>
      </c>
      <c r="I725" t="n">
        <v>0.0028</v>
      </c>
      <c r="J725" t="n">
        <v>0.0548</v>
      </c>
      <c r="K725" t="n">
        <v>0.1095</v>
      </c>
      <c r="L725" t="inlineStr">
        <is>
          <t>The `MonthChecker` class is responsible for checking if a given string represents a valid month. It takes a `BibDatabaseContext` object as input and uses regular expressions to check if the string matches any of the following patterns:
* A single integer between 1 and 12 (e.g., "1", "7", "12").
* A</t>
        </is>
      </c>
      <c r="M725" t="n">
        <v>0.0036</v>
      </c>
      <c r="N725" t="n">
        <v>0.0345</v>
      </c>
      <c r="O725" t="n">
        <v>0.0813</v>
      </c>
    </row>
    <row r="726">
      <c r="A726" t="inlineStr">
        <is>
          <t>jabref</t>
        </is>
      </c>
      <c r="B726" t="inlineStr">
        <is>
          <t>jablib/src/main/java/org/jabref/logic/integrity/TypeChecker.java</t>
        </is>
      </c>
      <c r="C726">
        <f>HYPERLINK("https://github.com/JabRef/jabref/blob/master/jablib/src/main/java/org/jabref/logic/integrity/TypeChecker.java")</f>
        <v/>
      </c>
      <c r="D726" t="inlineStr">
        <is>
          <t>The `TypeChecker` class is an implementation of the `EntryChecker` interface in JabRef's logic layer. It checks whether a given BibTeX entry has the correct type for its field values. Specifically, it ensures that entries with the "pages" field set do not have the "proceedings" entry type, and vice versa. If any issues are</t>
        </is>
      </c>
      <c r="E726" t="n">
        <v>0.0035</v>
      </c>
      <c r="F726" t="n">
        <v>0.0645</v>
      </c>
      <c r="G726" t="n">
        <v>0.08</v>
      </c>
      <c r="H726" t="inlineStr">
        <is>
          <t>This is a Java package containing a single class called `TypeChecker` that implements the `EntryChecker` interface. The `check()` method takes a `BibEntry` object as input and returns a list of integrity messages for the entry.
The implementation checks whether the entry's field `PAGES` is present and non-empty. If it is, it</t>
        </is>
      </c>
      <c r="I726" t="n">
        <v>0.0047</v>
      </c>
      <c r="J726" t="n">
        <v>0.0984</v>
      </c>
      <c r="K726" t="n">
        <v>0.122</v>
      </c>
      <c r="L726" t="inlineStr">
        <is>
          <t>The provided code defines a Java class called `TypeChecker` that implements the `EntryChecker` interface. It is responsible for checking the integrity of a BibTeX entry by verifying that certain fields have valid values based on the entry's type. Specifically, the method `check()` takes a `BibEntry` object as input and returns a list of `IntegrityMessage`</t>
        </is>
      </c>
      <c r="M726" t="n">
        <v>0.004</v>
      </c>
      <c r="N726" t="n">
        <v>0.0635</v>
      </c>
      <c r="O726" t="n">
        <v>0.0794</v>
      </c>
    </row>
    <row r="727">
      <c r="A727" t="inlineStr">
        <is>
          <t>jabref</t>
        </is>
      </c>
      <c r="B727" t="inlineStr">
        <is>
          <t>jablib/src/main/java/org/jabref/logic/integrity/ValueChecker.java</t>
        </is>
      </c>
      <c r="C727">
        <f>HYPERLINK("https://github.com/JabRef/jabref/blob/master/jablib/src/main/java/org/jabref/logic/integrity/ValueChecker.java")</f>
        <v/>
      </c>
      <c r="D727" t="inlineStr">
        <is>
          <t>The `ValueChecker` interface defines a method called `checkValue`, which takes in a string parameter and returns an optional string representing any validation errors that occurred during the execution of the method. If no validation errors were encountered, then an empty optional is returned.</t>
        </is>
      </c>
      <c r="E727" t="n">
        <v>0.0043</v>
      </c>
      <c r="F727" t="n">
        <v>0.0392</v>
      </c>
      <c r="G727" t="n">
        <v>0.0435</v>
      </c>
      <c r="H727" t="inlineStr">
        <is>
          <t>The code defines an interface for validating values called "ValueChecker". It has one method named "checkValue" that takes in a string parameter and returns an optional String object containing an error message if the validation fails or an empty optional otherwise.</t>
        </is>
      </c>
      <c r="I727" t="n">
        <v>0.0045</v>
      </c>
      <c r="J727" t="n">
        <v>0.0408</v>
      </c>
      <c r="K727" t="n">
        <v>0.0442</v>
      </c>
      <c r="L727" t="inlineStr">
        <is>
          <t>The code defines an interface for validating values, called `ValueChecker`. It has one method, `checkValue`, which takes a string parameter and returns an optional string representing any validation errors that occurred during the check.</t>
        </is>
      </c>
      <c r="M727" t="n">
        <v>0.0055</v>
      </c>
      <c r="N727" t="n">
        <v>0.0476</v>
      </c>
      <c r="O727" t="n">
        <v>0.0472</v>
      </c>
    </row>
    <row r="728">
      <c r="A728" t="inlineStr">
        <is>
          <t>jabref</t>
        </is>
      </c>
      <c r="B728" t="inlineStr">
        <is>
          <t>jablib/src/main/java/org/jabref/logic/integrity/TitleChecker.java</t>
        </is>
      </c>
      <c r="C728">
        <f>HYPERLINK("https://github.com/JabRef/jabref/blob/master/jablib/src/main/java/org/jabref/logic/integrity/TitleChecker.java")</f>
        <v/>
      </c>
      <c r="D728" t="inlineStr">
        <is>
          <t>The `TitleChecker` class checks the integrity of titles in a bibliography database. It takes a `BibDatabaseContext` object as input and performs several operations to ensure that the titles meet certain criteria.
The first step is to remove any content within curly braces using a regular expression pattern match. This is done by calling the `replaceAll()` method with the pattern</t>
        </is>
      </c>
      <c r="E728" t="n">
        <v>0.0037</v>
      </c>
      <c r="F728" t="n">
        <v>0.0299</v>
      </c>
      <c r="G728" t="n">
        <v>0.1145</v>
      </c>
      <c r="H728" t="inlineStr">
        <is>
          <t>This Java code defines a `TitleChecker` class that implements the `ValueChecker` interface. The class takes a `BibDatabaseContext` object as its constructor argument and has one method, `check`, which returns a `Boolean`. The `check` method performs several operations on the title field of a bibtex entry to ensure it meets certain criteria.
The first step</t>
        </is>
      </c>
      <c r="I728" t="n">
        <v>0.0045</v>
      </c>
      <c r="J728" t="n">
        <v>0.0968</v>
      </c>
      <c r="K728" t="n">
        <v>0.119</v>
      </c>
      <c r="L728" t="inlineStr">
        <is>
          <t>The `TitleChecker` class is responsible for checking the integrity of titles in a bibliographic database. It takes a `BibDatabaseContext` object as input and performs several checks on the titles, including removing anything inside curly brackets and splitting them into sub-titles based on certain delimiters. The algorithm used by the class is described in detail in the comments.</t>
        </is>
      </c>
      <c r="M728" t="n">
        <v>0.0032</v>
      </c>
      <c r="N728" t="n">
        <v>0.0303</v>
      </c>
      <c r="O728" t="n">
        <v>0.0775</v>
      </c>
    </row>
    <row r="729">
      <c r="A729" t="inlineStr">
        <is>
          <t>jabref</t>
        </is>
      </c>
      <c r="B729" t="inlineStr">
        <is>
          <t>jablib/src/main/java/org/jabref/logic/integrity/EditionChecker.java</t>
        </is>
      </c>
      <c r="C729">
        <f>HYPERLINK("https://github.com/JabRef/jabref/blob/master/jablib/src/main/java/org/jabref/logic/integrity/EditionChecker.java")</f>
        <v/>
      </c>
      <c r="D729" t="inlineStr">
        <is>
          <t>The `EditionChecker` class is responsible for checking the validity of the "edition" field in a bibliographic entry. It does this by implementing the `ValueChecker` interface, which defines a set of methods for checking the validity of different types of fields.
The `checkForWarning` method checks whether the value of the "edition" field is</t>
        </is>
      </c>
      <c r="E729" t="n">
        <v>0</v>
      </c>
      <c r="F729" t="n">
        <v>0.0667</v>
      </c>
      <c r="G729" t="n">
        <v>0.0806</v>
      </c>
      <c r="H729" t="inlineStr">
        <is>
          <t>The `EditionChecker` class is part of the JabRef library for managing bibliographic references. It provides methods to check the validity of the "edition" field in a reference, which can be either a number or a string.
The class has several instance variables that store regular expressions used for validation, as well as a constructor that takes a `Bib</t>
        </is>
      </c>
      <c r="I729" t="n">
        <v>0</v>
      </c>
      <c r="J729" t="n">
        <v>0</v>
      </c>
      <c r="K729" t="n">
        <v>0.0385</v>
      </c>
      <c r="L729" t="inlineStr">
        <is>
          <t>The `EditionChecker` class is a part of JabRef, a reference management tool for academics. It checks the validity of the "edition" field in a bibliographic entry, which specifies the edition of a publication.
The class takes a `BibDatabaseContext` object as input and performs several checks on the value of the "edition"</t>
        </is>
      </c>
      <c r="M729" t="n">
        <v>0.0036</v>
      </c>
      <c r="N729" t="n">
        <v>0.0339</v>
      </c>
      <c r="O729" t="n">
        <v>0.0813</v>
      </c>
    </row>
    <row r="730">
      <c r="A730" t="inlineStr">
        <is>
          <t>jabref</t>
        </is>
      </c>
      <c r="B730" t="inlineStr">
        <is>
          <t>jablib/src/main/java/org/jabref/logic/integrity/BracesCorrector.java</t>
        </is>
      </c>
      <c r="C730">
        <f>HYPERLINK("https://github.com/JabRef/jabref/blob/master/jablib/src/main/java/org/jabref/logic/integrity/BracesCorrector.java")</f>
        <v/>
      </c>
      <c r="D730" t="inlineStr">
        <is>
          <t>This Java class named `BracesCorrector` is used to correct curly brace syntax in a given string. It takes in a string as input and returns a corrected version of that string with matching number of opening and closing curly braces. The method `apply()` does this by first checking for any escaped curly braces using a regular expression pattern, then inserting or app</t>
        </is>
      </c>
      <c r="E730" t="n">
        <v>0.0035</v>
      </c>
      <c r="F730" t="n">
        <v>0.0571</v>
      </c>
      <c r="G730" t="n">
        <v>0.1119</v>
      </c>
      <c r="H730" t="inlineStr">
        <is>
          <t>The code in this repository implements a method called `apply` that takes a string as input and returns a modified version of it with correctly placed curly braces. The method uses regular expressions to identify escaped curly braces and then adds or removes them from the input string as needed to ensure that there is a matching number of opening and closing curly braces. The complexity of the algorithm</t>
        </is>
      </c>
      <c r="I730" t="n">
        <v>0.0031</v>
      </c>
      <c r="J730" t="n">
        <v>0.0779</v>
      </c>
      <c r="K730" t="n">
        <v>0.1418</v>
      </c>
      <c r="L730" t="inlineStr">
        <is>
          <t>The `BracesCorrector` class takes a string as input and adds missing curly braces to ensure that the number of opening and closing braces matches. It uses regular expressions to identify escaped curly braces and then inserts or removes them from the input string accordingly. The method returns the corrected string.</t>
        </is>
      </c>
      <c r="M730" t="n">
        <v>0.0037</v>
      </c>
      <c r="N730" t="n">
        <v>0.0345</v>
      </c>
      <c r="O730" t="n">
        <v>0.082</v>
      </c>
    </row>
    <row r="731">
      <c r="A731" t="inlineStr">
        <is>
          <t>jabref</t>
        </is>
      </c>
      <c r="B731" t="inlineStr">
        <is>
          <t>jablib/src/main/java/org/jabref/logic/integrity/CitationKeyChecker.java</t>
        </is>
      </c>
      <c r="C731">
        <f>HYPERLINK("https://github.com/JabRef/jabref/blob/master/jablib/src/main/java/org/jabref/logic/integrity/CitationKeyChecker.java")</f>
        <v/>
      </c>
      <c r="D731" t="inlineStr">
        <is>
          <t>The `CitationKeyChecker` class in JabRef's logic package checks the integrity of a BibTeX entry by checking whether it has an author, title, and year fields set. If all three fields are present, the method generates a citation key based on the first 100 characters of the author, title, and year fields and sets it as the entry'</t>
        </is>
      </c>
      <c r="E731" t="n">
        <v>0.0032</v>
      </c>
      <c r="F731" t="n">
        <v>0.0303</v>
      </c>
      <c r="G731" t="n">
        <v>0.0388</v>
      </c>
      <c r="H731" t="inlineStr">
        <is>
          <t>The code in this repository appears to be Java-based software for generating citation keys based on the contents of a BibTeX database. It includes a class called `CitationKeyChecker` that implements the `EntryChecker` interface from JabRef's library. This class takes a `BibEntry` object as input and returns a list of integrity messages indicating any issues with</t>
        </is>
      </c>
      <c r="I731" t="n">
        <v>0.0047</v>
      </c>
      <c r="J731" t="n">
        <v>0.1231</v>
      </c>
      <c r="K731" t="n">
        <v>0.1575</v>
      </c>
      <c r="L731" t="inlineStr">
        <is>
          <t>The `CitationKeyChecker` class is part of JabRef's library for checking the integrity of BibTeX entries. It takes a `BibEntry` object as input and returns a list of `IntegrityMessage` objects that describe any issues found with the entry's citation key.
The method `check()` performs several checks on the entry's fields</t>
        </is>
      </c>
      <c r="M731" t="n">
        <v>0.0037</v>
      </c>
      <c r="N731" t="n">
        <v>0.0333</v>
      </c>
      <c r="O731" t="n">
        <v>0.08260000000000001</v>
      </c>
    </row>
    <row r="732">
      <c r="A732" t="inlineStr">
        <is>
          <t>jabref</t>
        </is>
      </c>
      <c r="B732" t="inlineStr">
        <is>
          <t>jablib/src/main/java/org/jabref/logic/integrity/BooktitleChecker.java</t>
        </is>
      </c>
      <c r="C732">
        <f>HYPERLINK("https://github.com/JabRef/jabref/blob/master/jablib/src/main/java/org/jabref/logic/integrity/BooktitleChecker.java")</f>
        <v/>
      </c>
      <c r="D732" t="inlineStr">
        <is>
          <t>This is a Java implementation of a book title validator that checks whether a given string meets certain criteria. The `BooktitleChecker` class implements the `ValueChecker` interface and has one method, `checkValue`, which takes a string as input and returns an optional error message if the string does not meet the required criteria.
The validation rules implemented in this class include checking</t>
        </is>
      </c>
      <c r="E732" t="n">
        <v>0.0039</v>
      </c>
      <c r="F732" t="n">
        <v>0.08699999999999999</v>
      </c>
      <c r="G732" t="n">
        <v>0.1128</v>
      </c>
      <c r="H732" t="inlineStr">
        <is>
          <t>This is a Java package named "org.jabref.logic.integrity" that provides a class called "BooktitleChecker". The class implements the interface "ValueChecker", which means it can be used to validate values in a specific context. In this case, the class checks whether a book title ends with the string "conference on". If the book title does end</t>
        </is>
      </c>
      <c r="I732" t="n">
        <v>0.004</v>
      </c>
      <c r="J732" t="n">
        <v>0.0615</v>
      </c>
      <c r="K732" t="n">
        <v>0.119</v>
      </c>
      <c r="L732" t="inlineStr">
        <is>
          <t>The code defines a Java class named `BooktitleChecker` that implements the `ValueChecker` interface. It checks whether the input string is empty or not, and if it is not empty, it checks whether the last word of the string is "conference on". If it is, then it returns a message indicating that the book title ends with "conference on", otherwise,</t>
        </is>
      </c>
      <c r="M732" t="n">
        <v>0.0037</v>
      </c>
      <c r="N732" t="n">
        <v>0.0597</v>
      </c>
      <c r="O732" t="n">
        <v>0.07630000000000001</v>
      </c>
    </row>
    <row r="733">
      <c r="A733" t="inlineStr">
        <is>
          <t>jabref</t>
        </is>
      </c>
      <c r="B733" t="inlineStr">
        <is>
          <t>jablib/src/main/java/org/jabref/logic/cleanup/MoveFieldCleanup.java</t>
        </is>
      </c>
      <c r="C733">
        <f>HYPERLINK("https://github.com/JabRef/jabref/blob/master/jablib/src/main/java/org/jabref/logic/cleanup/MoveFieldCleanup.java")</f>
        <v/>
      </c>
      <c r="D733" t="inlineStr">
        <is>
          <t>This is a Java implementation of a `MoveFieldCleanup` class that moves the content of one field to another field in a BibTeX entry. The class takes two fields as constructor parameters and has a single method called `cleanup`, which takes a `BibEntry` object as input and returns a list of `FieldChange` objects representing the changes made to the entry.</t>
        </is>
      </c>
      <c r="E733" t="n">
        <v>0.0037</v>
      </c>
      <c r="F733" t="n">
        <v>0.0896</v>
      </c>
      <c r="G733" t="n">
        <v>0.1145</v>
      </c>
      <c r="H733" t="inlineStr">
        <is>
          <t>This is a Java implementation of a "MoveFieldCleanup" class that moves the contents of one field in a BibTeX entry to another field. The class takes two fields as input (the source field and the target field), and it has a "cleanup" method that takes a BibTeX entry as input and returns a list of changes made to the entry. The method first retr</t>
        </is>
      </c>
      <c r="I733" t="n">
        <v>0.0034</v>
      </c>
      <c r="J733" t="n">
        <v>0.0833</v>
      </c>
      <c r="K733" t="n">
        <v>0.1103</v>
      </c>
      <c r="L733" t="inlineStr">
        <is>
          <t>The `MoveFieldCleanup` class is a part of JabRef's cleanup process for bibliographic entries. It moves the contents of one field to another field by first setting the new field's value to the old field's value and then clearing the old field. The class takes two fields as input parameters and has a single method called `cleanup`, which</t>
        </is>
      </c>
      <c r="M733" t="n">
        <v>0.0032</v>
      </c>
      <c r="N733" t="n">
        <v>0.0294</v>
      </c>
      <c r="O733" t="n">
        <v>0.0775</v>
      </c>
    </row>
    <row r="734">
      <c r="A734" t="inlineStr">
        <is>
          <t>jabref</t>
        </is>
      </c>
      <c r="B734" t="inlineStr">
        <is>
          <t>jablib/src/main/java/org/jabref/logic/cleanup/RelativePathsCleanup.java</t>
        </is>
      </c>
      <c r="C734">
        <f>HYPERLINK("https://github.com/JabRef/jabref/blob/master/jablib/src/main/java/org/jabref/logic/cleanup/RelativePathsCleanup.java")</f>
        <v/>
      </c>
      <c r="D734" t="inlineStr">
        <is>
          <t>This is a Java class that represents a "Relative Paths Cleanup" job for JabRef, a reference management tool. The class takes in a `BibDatabaseContext` object and a `FilePreferences` object as constructor arguments, and it has a single method called `cleanup()` which returns a list of `FieldChange` objects representing changes made to the entries in the</t>
        </is>
      </c>
      <c r="E734" t="n">
        <v>0.004</v>
      </c>
      <c r="F734" t="n">
        <v>0.0635</v>
      </c>
      <c r="G734" t="n">
        <v>0.07870000000000001</v>
      </c>
      <c r="H734" t="inlineStr">
        <is>
          <t>This Java code is part of a project that involves managing bibliographic data in a library management system. The `RelativePathsCleanup` class is responsible for cleaning up linked files associated with each entry in the bibliography. It takes two parameters at instantiation time: a `BibDatabaseContext` object and a `FilePreferences` object.
The `cleanup</t>
        </is>
      </c>
      <c r="I734" t="n">
        <v>0.0043</v>
      </c>
      <c r="J734" t="n">
        <v>0.0678</v>
      </c>
      <c r="K734" t="n">
        <v>0.122</v>
      </c>
      <c r="L734" t="inlineStr">
        <is>
          <t>The `RelativePathsCleanup` class is responsible for updating the paths of linked files in a bibtex entry. It takes two parameters: `databaseContext`, which represents the current state of the bibliography database, and `filePreferences`, which stores preferences related to file management.
The class has a single method called `cleanup`, which takes a `BibEntry</t>
        </is>
      </c>
      <c r="M734" t="n">
        <v>0.0036</v>
      </c>
      <c r="N734" t="n">
        <v>0.0339</v>
      </c>
      <c r="O734" t="n">
        <v>0.0407</v>
      </c>
    </row>
    <row r="735">
      <c r="A735" t="inlineStr">
        <is>
          <t>jabref</t>
        </is>
      </c>
      <c r="B735" t="inlineStr">
        <is>
          <t>jablib/src/main/java/org/jabref/logic/cleanup/RemoveLinksToNotExistentFiles.java</t>
        </is>
      </c>
      <c r="C735">
        <f>HYPERLINK("https://github.com/JabRef/jabref/blob/master/jablib/src/main/java/org/jabref/logic/cleanup/RemoveLinksToNotExistentFiles.java")</f>
        <v/>
      </c>
      <c r="D735" t="inlineStr">
        <is>
          <t>The `RemoveLinksToNotExistentFiles` class is responsible for removing links to non-existent files from a list of `BibEntry` objects. It takes in two parameters: `databaseContext`, which is a `BibDatabaseContext` object that represents the current database state, and `filePreferences`, which is a `FilePreferences` object that specifies how files</t>
        </is>
      </c>
      <c r="E735" t="n">
        <v>0.0041</v>
      </c>
      <c r="F735" t="n">
        <v>0.037</v>
      </c>
      <c r="G735" t="n">
        <v>0.0427</v>
      </c>
      <c r="H735" t="inlineStr">
        <is>
          <t>This is a Java package containing classes related to the JabRef bibliography management tool. The package includes a single class called `RemoveLinksToNotExistentFiles`, which implements the `CleanupJob` interface. Its main purpose appears to be to remove any links from a bibtex entry that point to non-existent files on disk.</t>
        </is>
      </c>
      <c r="I735" t="n">
        <v>0.0045</v>
      </c>
      <c r="J735" t="n">
        <v>0.0702</v>
      </c>
      <c r="K735" t="n">
        <v>0.0833</v>
      </c>
      <c r="L735" t="inlineStr">
        <is>
          <t>The `RemoveLinksToNotExistentFiles` class is responsible for removing links to non-existent files from a list of linked files associated with a given bibtex entry. It takes two parameters: `databaseContext`, which represents the current state of the bibliography database, and `filePreferences`, which stores user preferences related to file management.
The `cleanup()`</t>
        </is>
      </c>
      <c r="M735" t="n">
        <v>0.0037</v>
      </c>
      <c r="N735" t="n">
        <v>0.0345</v>
      </c>
      <c r="O735" t="n">
        <v>0.0413</v>
      </c>
    </row>
    <row r="736">
      <c r="A736" t="inlineStr">
        <is>
          <t>jabref</t>
        </is>
      </c>
      <c r="B736" t="inlineStr">
        <is>
          <t>jablib/src/main/java/org/jabref/logic/cleanup/FileLinksCleanup.java</t>
        </is>
      </c>
      <c r="C736">
        <f>HYPERLINK("https://github.com/JabRef/jabref/blob/master/jablib/src/main/java/org/jabref/logic/cleanup/FileLinksCleanup.java")</f>
        <v/>
      </c>
      <c r="D736" t="inlineStr">
        <is>
          <t>This Java code defines a class called `FileLinksCleanup` that implements the `CleanupJob` interface. The `cleanup()` method takes a `BibEntry` object as input and returns a list of `FieldChange` objects representing changes made to the entry's fields.
The `FileLinksCleanup` class has one responsibility: to</t>
        </is>
      </c>
      <c r="E736" t="n">
        <v>0.0056</v>
      </c>
      <c r="F736" t="n">
        <v>0.1154</v>
      </c>
      <c r="G736" t="n">
        <v>0.1304</v>
      </c>
      <c r="H736" t="inlineStr">
        <is>
          <t>The provided Java code defines a `FileLinksCleanup` class that implements the `CleanupJob` interface. Its `cleanup()` method takes a `BibEntry` object as input and returns a list of `FieldChange` objects representing changes made to the entry's fields during the cleanup process.
The method first checks whether the entry has a non</t>
        </is>
      </c>
      <c r="I736" t="n">
        <v>0.0044</v>
      </c>
      <c r="J736" t="n">
        <v>0.0678</v>
      </c>
      <c r="K736" t="n">
        <v>0.082</v>
      </c>
      <c r="L736" t="inlineStr">
        <is>
          <t>The provided code defines a `FileLinksCleanup` class that implements the `CleanupJob` interface. It takes a `BibEntry` object as input and performs some cleanup operations on the `FILE` field of the entry. Specifically, it checks whether the `FILE` field has any linked files, and if so, it rewrites the field value using</t>
        </is>
      </c>
      <c r="M736" t="n">
        <v>0.0043</v>
      </c>
      <c r="N736" t="n">
        <v>0.0678</v>
      </c>
      <c r="O736" t="n">
        <v>0.122</v>
      </c>
    </row>
    <row r="737">
      <c r="A737" t="inlineStr">
        <is>
          <t>jabref</t>
        </is>
      </c>
      <c r="B737" t="inlineStr">
        <is>
          <t>jablib/src/main/java/org/jabref/logic/cleanup/AbbreviateJournalCleanup.java</t>
        </is>
      </c>
      <c r="C737">
        <f>HYPERLINK("https://github.com/JabRef/jabref/blob/master/jablib/src/main/java/org/jabref/logic/cleanup/AbbreviateJournalCleanup.java")</f>
        <v/>
      </c>
      <c r="D737" t="inlineStr">
        <is>
          <t>The `AbbreviateJournalCleanup` class is responsible for abbreviating the "journal" field in a bibtex entry using the `JournalAbbreviationRepository`. It takes in a `BibDatabase`, a `JournalAbbreviationRepository`, an `AbbreviationType`, and a flag indicating whether to use the "fjournal" field</t>
        </is>
      </c>
      <c r="E737" t="n">
        <v>0.0052</v>
      </c>
      <c r="F737" t="n">
        <v>0.0455</v>
      </c>
      <c r="G737" t="n">
        <v>0.0926</v>
      </c>
      <c r="H737" t="inlineStr">
        <is>
          <t>This is a Java program that performs abbreviation on the "journal" field in a bibtex file. The program uses the JabRef library to perform the abbreviation, which is based on a list of known journal names and their corresponding abbreviations. The program takes several parameters as input, including the bibtex file to be processed, the type of abbreviation (either "</t>
        </is>
      </c>
      <c r="I737" t="n">
        <v>0.0036</v>
      </c>
      <c r="J737" t="n">
        <v>0.0597</v>
      </c>
      <c r="K737" t="n">
        <v>0.1136</v>
      </c>
      <c r="L737" t="inlineStr">
        <is>
          <t>The `AbbreviateJournalCleanup` class is responsible for abbreviating the "journal" field of a given set of bib entries using the `JournalAbbreviationRepository`. It takes in a `BibDatabase`, a `JournalAbbreviationRepository`, an `AbbreviationType`, and a boolean flag indicating whether to use the "fj</t>
        </is>
      </c>
      <c r="M737" t="n">
        <v>0.0047</v>
      </c>
      <c r="N737" t="n">
        <v>0.0426</v>
      </c>
      <c r="O737" t="n">
        <v>0.0901</v>
      </c>
    </row>
    <row r="738">
      <c r="A738" t="inlineStr">
        <is>
          <t>jabref</t>
        </is>
      </c>
      <c r="B738" t="inlineStr">
        <is>
          <t>jablib/src/main/java/org/jabref/logic/cleanup/CleanupJob.java</t>
        </is>
      </c>
      <c r="C738">
        <f>HYPERLINK("https://github.com/JabRef/jabref/blob/master/jablib/src/main/java/org/jabref/logic/cleanup/CleanupJob.java")</f>
        <v/>
      </c>
      <c r="D738" t="inlineStr">
        <is>
          <t>This code defines an interface for performing cleanup operations on a `BibEntry` object. It has two methods:
* `cleanup`: takes a `BibEntry` as input and returns a list of `FieldChange` objects representing the changes made during the cleanup process.
* `cleanupWithScheduler`: takes a `BibEntry`, a scheduler</t>
        </is>
      </c>
      <c r="E738" t="n">
        <v>0.0048</v>
      </c>
      <c r="F738" t="n">
        <v>0.0769</v>
      </c>
      <c r="G738" t="n">
        <v>0.0847</v>
      </c>
      <c r="H738" t="inlineStr">
        <is>
          <t>This Java code defines a functional interface named `CleanupJob` with one abstract method `cleanup`, which takes a `BibEntry` object as input and returns a list of `FieldChange` objects representing the changes made to the entry during the cleanup process. The `cleanup` method also accepts a `Consumer` argument that can be used to route any `B</t>
        </is>
      </c>
      <c r="I738" t="n">
        <v>0.004</v>
      </c>
      <c r="J738" t="n">
        <v>0.09520000000000001</v>
      </c>
      <c r="K738" t="n">
        <v>0.1181</v>
      </c>
      <c r="L738" t="inlineStr">
        <is>
          <t>This Java code defines an interface for cleaning up a bibliographic entry. It takes a single parameter of type `BibEntry` and returns a list of `FieldChange` objects representing the changes made during the cleanup process. The interface also includes two additional methods that allow the caller to specify a custom task executor for running the cleanup operation asynchronously.</t>
        </is>
      </c>
      <c r="M738" t="n">
        <v>0.0037</v>
      </c>
      <c r="N738" t="n">
        <v>0.0606</v>
      </c>
      <c r="O738" t="n">
        <v>0.1154</v>
      </c>
    </row>
    <row r="739">
      <c r="A739" t="inlineStr">
        <is>
          <t>jabref</t>
        </is>
      </c>
      <c r="B739" t="inlineStr">
        <is>
          <t>jablib/src/main/java/org/jabref/logic/cleanup/NormalizeWhitespacesCleanup.java</t>
        </is>
      </c>
      <c r="C739">
        <f>HYPERLINK("https://github.com/JabRef/jabref/blob/master/jablib/src/main/java/org/jabref/logic/cleanup/NormalizeWhitespacesCleanup.java")</f>
        <v/>
      </c>
      <c r="D739" t="inlineStr">
        <is>
          <t>This is a Java implementation of a "normalize whitespaces" cleanup job for JabRef, a bibliography management tool. The `NormalizeWhitespacesCleanup` class takes a `BibEntry` object as input and returns a list of `FieldChange` objects that represent changes made to the entry's fields during the cleanup process.
The clean</t>
        </is>
      </c>
      <c r="E739" t="n">
        <v>0.0046</v>
      </c>
      <c r="F739" t="n">
        <v>0.1071</v>
      </c>
      <c r="G739" t="n">
        <v>0.1261</v>
      </c>
      <c r="H739" t="inlineStr">
        <is>
          <t>This is a Java package containing classes related to cleaning up bibliographic entries in JabRef, a reference management tool. The `NormalizeWhitespacesCleanup` class is responsible for normalizing whitespace characters within certain fields of a bibTeX entry. It takes a `FieldPreferences` object as input during initialization, which determines which fields should be processed by the cleaner. The</t>
        </is>
      </c>
      <c r="I739" t="n">
        <v>0.0033</v>
      </c>
      <c r="J739" t="n">
        <v>0.0317</v>
      </c>
      <c r="K739" t="n">
        <v>0.0394</v>
      </c>
      <c r="L739" t="inlineStr">
        <is>
          <t>The `NormalizeWhitespacesCleanup` class is responsible for normalizing whitespace characters within certain fields of a BibTeX entry. It takes a `BibEntry` object as input and returns a list of `FieldChange` objects representing the changes made to the entry's fields.
The class uses the `NormalizeWhitespaceFormatter` class to perform the actual</t>
        </is>
      </c>
      <c r="M739" t="n">
        <v>0.0038</v>
      </c>
      <c r="N739" t="n">
        <v>0.0351</v>
      </c>
      <c r="O739" t="n">
        <v>0.0833</v>
      </c>
    </row>
    <row r="740">
      <c r="A740" t="inlineStr">
        <is>
          <t>jabref</t>
        </is>
      </c>
      <c r="B740" t="inlineStr">
        <is>
          <t>jablib/src/main/java/org/jabref/logic/cleanup/UnabbreviateJournalCleanup.java</t>
        </is>
      </c>
      <c r="C740">
        <f>HYPERLINK("https://github.com/JabRef/jabref/blob/master/jablib/src/main/java/org/jabref/logic/cleanup/UnabbreviateJournalCleanup.java")</f>
        <v/>
      </c>
      <c r="D740" t="inlineStr">
        <is>
          <t>The `UnabbreviateJournalCleanup` class is responsible for unabbreviating the journal field in a given list of entries in a bibliography database. It takes two parameters upon initialization: `database`, which represents the bibliography database containing the entries to be processed, and `journalAbbreviationRepository`, which provides access to the abbreviated journal names</t>
        </is>
      </c>
      <c r="E740" t="n">
        <v>0.0038</v>
      </c>
      <c r="F740" t="n">
        <v>0.0357</v>
      </c>
      <c r="G740" t="n">
        <v>0.0417</v>
      </c>
      <c r="H740" t="inlineStr">
        <is>
          <t>This Java code is part of a larger project that involves cleaning up bibliographic data in a database. The `UnabbreviateJournalCleanup` class takes a `BibDatabase` object as input and unabbreviates any journal names found in it by looking them up in a separate `JournalAbbreviationRepository`. It does this by iterating over</t>
        </is>
      </c>
      <c r="I740" t="n">
        <v>0.0045</v>
      </c>
      <c r="J740" t="n">
        <v>0.0702</v>
      </c>
      <c r="K740" t="n">
        <v>0.124</v>
      </c>
      <c r="L740" t="inlineStr">
        <is>
          <t>The provided Java code is part of a cleanup job for a bibliographic database management system called JabRef. It unabbreviates the value of the "journal" field by resolving any abbreviations using the `JournalAbbreviationRepository` instance provided in the constructor. The method returns a list of field changes that represent the updated values for each entry in the</t>
        </is>
      </c>
      <c r="M740" t="n">
        <v>0</v>
      </c>
      <c r="N740" t="n">
        <v>0</v>
      </c>
      <c r="O740" t="n">
        <v>0.0391</v>
      </c>
    </row>
    <row r="741">
      <c r="A741" t="inlineStr">
        <is>
          <t>jabref</t>
        </is>
      </c>
      <c r="B741" t="inlineStr">
        <is>
          <t>jablib/src/main/java/org/jabref/logic/cleanup/FieldFormatterCleanupActions.java</t>
        </is>
      </c>
      <c r="C741">
        <f>HYPERLINK("https://github.com/JabRef/jabref/blob/master/jablib/src/main/java/org/jabref/logic/cleanup/FieldFormatterCleanupActions.java")</f>
        <v/>
      </c>
      <c r="D741" t="inlineStr">
        <is>
          <t>This is a Java package for implementing various cleaning operations on BibTeX entries. The package includes classes that perform formatting tasks such as converting MSCC codes to Unicode characters, normalizing dates, ISSN numbers, and page ranges. It also includes a class that converts HTML text to LaTeX format and another that converts LaTeX text to Unicode. Additionally, it includes a formatter class that applies all these transformations</t>
        </is>
      </c>
      <c r="E741" t="n">
        <v>0.0032</v>
      </c>
      <c r="F741" t="n">
        <v>0.08</v>
      </c>
      <c r="G741" t="n">
        <v>0.1079</v>
      </c>
      <c r="H741" t="inlineStr">
        <is>
          <t>This Java package `org.jabref.logic.cleanup` provides various methods for cleaning up BibTeX data. The package includes classes that implement different formatting rules for fields such as HTML to LaTeX conversion, ISSN normalization, month normalization, page normalization, ordinal superscript conversion, and Unicode to LaTeX conversion. Additionally, there is a class called `Clean</t>
        </is>
      </c>
      <c r="I741" t="n">
        <v>0.0044</v>
      </c>
      <c r="J741" t="n">
        <v>0.0984</v>
      </c>
      <c r="K741" t="n">
        <v>0.123</v>
      </c>
      <c r="L741" t="inlineStr">
        <is>
          <t>The provided Java code is part of a library for cleaning up BibTeX entries. It defines several formatters that can be used to normalize and transform various fields in a BibTeX entry. These formatters include converting MSCC codes, HTML tags to LaTeX, normalizing dates, ISSN numbers, month names, page ranges, ordinal superscripts, and Unicode characters to LaTeX.</t>
        </is>
      </c>
      <c r="M741" t="n">
        <v>0.0032</v>
      </c>
      <c r="N741" t="n">
        <v>0.0308</v>
      </c>
      <c r="O741" t="n">
        <v>0.0775</v>
      </c>
    </row>
    <row r="742">
      <c r="A742" t="inlineStr">
        <is>
          <t>jabref</t>
        </is>
      </c>
      <c r="B742" t="inlineStr">
        <is>
          <t>jablib/src/main/java/org/jabref/logic/cleanup/UpgradePdfPsToFileCleanup.java</t>
        </is>
      </c>
      <c r="C742">
        <f>HYPERLINK("https://github.com/JabRef/jabref/blob/master/jablib/src/main/java/org/jabref/logic/cleanup/UpgradePdfPsToFileCleanup.java")</f>
        <v/>
      </c>
      <c r="D742" t="inlineStr">
        <is>
          <t>The `UpgradePdfPsToFileCleanup` class is responsible for upgrading entries that have PDF or PostScript files linked to them by adding these files as external files to the `file` field. It does this by collecting all the relevant file paths from the `pdf` and `ps` fields, creating a map of field names and file types, and then</t>
        </is>
      </c>
      <c r="E742" t="n">
        <v>0.0033</v>
      </c>
      <c r="F742" t="n">
        <v>0.0635</v>
      </c>
      <c r="G742" t="n">
        <v>0.1181</v>
      </c>
      <c r="H742" t="inlineStr">
        <is>
          <t>This is Java code for a cleanup job that upgrades PDF and PS fields to a single File field. The code uses the JabRef library and defines a map of field names and file types. It then iterates over the BibTeX entries in the database and adds any linked files found in the PDF or PS fields to the list of files associated with the entry's File field</t>
        </is>
      </c>
      <c r="I742" t="n">
        <v>0.0032</v>
      </c>
      <c r="J742" t="n">
        <v>0.0519</v>
      </c>
      <c r="K742" t="n">
        <v>0.1071</v>
      </c>
      <c r="L742" t="inlineStr">
        <is>
          <t>The code in the provided Java file is part of a JabRef library for managing bibliographic data. It appears to be responsible for upgrading entries that have PDF and PostScript files associated with them by adding these files as linked files to the entry's `file` field. The code uses the `FileFieldWriter` class to write the updated entry back to disk.</t>
        </is>
      </c>
      <c r="M742" t="n">
        <v>0.003</v>
      </c>
      <c r="N742" t="n">
        <v>0.029</v>
      </c>
      <c r="O742" t="n">
        <v>0.07580000000000001</v>
      </c>
    </row>
    <row r="743">
      <c r="A743" t="inlineStr">
        <is>
          <t>jabref</t>
        </is>
      </c>
      <c r="B743" t="inlineStr">
        <is>
          <t>jablib/src/main/java/org/jabref/logic/cleanup/CleanupTabSelection.java</t>
        </is>
      </c>
      <c r="C743">
        <f>HYPERLINK("https://github.com/JabRef/jabref/blob/master/jablib/src/main/java/org/jabref/logic/cleanup/CleanupTabSelection.java")</f>
        <v/>
      </c>
      <c r="D743" t="inlineStr">
        <is>
          <t>The provided code is a Java record class that represents a selection of cleanup jobs for a specific tab in JabRef, which is a reference management tool. It has three fields: `allJobs`, `selectedJobs`, and `formatters`. The `allJobs` field stores an enumeration set containing all possible cleanup steps, while the `selectedJobs` field</t>
        </is>
      </c>
      <c r="E743" t="n">
        <v>0.0036</v>
      </c>
      <c r="F743" t="n">
        <v>0.0339</v>
      </c>
      <c r="G743" t="n">
        <v>0.0407</v>
      </c>
      <c r="H743" t="inlineStr">
        <is>
          <t>This Java code defines a `CleanupTabSelection` class that represents a selection of cleanup jobs to perform on a set of data. The class has three fields:
* `allJobs`: An `EnumSet` containing all possible cleanup jobs.
* `selectedJobs`: An `EnumSet` containing the selected cleanup jobs.
* `formatters</t>
        </is>
      </c>
      <c r="I743" t="n">
        <v>0.004</v>
      </c>
      <c r="J743" t="n">
        <v>0.0392</v>
      </c>
      <c r="K743" t="n">
        <v>0.0424</v>
      </c>
      <c r="L743" t="inlineStr">
        <is>
          <t>The provided Java class `CleanupTabSelection` represents a data structure that stores information about cleanup tasks for a specific tab in JabRef, a reference management tool. It has three fields:
* `allJobs`: An enum set containing all available cleanup jobs for the current tab.
* `selectedJobs`: An enum set containing the currently selected cleanup</t>
        </is>
      </c>
      <c r="M743" t="n">
        <v>0</v>
      </c>
      <c r="N743" t="n">
        <v>0</v>
      </c>
      <c r="O743" t="n">
        <v>0</v>
      </c>
    </row>
    <row r="744">
      <c r="A744" t="inlineStr">
        <is>
          <t>jabref</t>
        </is>
      </c>
      <c r="B744" t="inlineStr">
        <is>
          <t>jablib/src/main/java/org/jabref/logic/cleanup/URLCleanup.java</t>
        </is>
      </c>
      <c r="C744">
        <f>HYPERLINK("https://github.com/JabRef/jabref/blob/master/jablib/src/main/java/org/jabref/logic/cleanup/URLCleanup.java")</f>
        <v/>
      </c>
      <c r="D744" t="inlineStr">
        <is>
          <t>This is a Java file that defines a class called `URLCleanup` which implements the interface `CleanupJob`. It appears to be a cleanup job for URLs found in notes fields of BibTeX entries.
The class has several instance variables and methods, but the most important one is the `performCleanup` method, which takes a list of `Bib</t>
        </is>
      </c>
      <c r="E744" t="n">
        <v>0.0044</v>
      </c>
      <c r="F744" t="n">
        <v>0.09520000000000001</v>
      </c>
      <c r="G744" t="n">
        <v>0.1181</v>
      </c>
      <c r="H744" t="inlineStr">
        <is>
          <t>This is a Java program that performs cleaning operations on BibTeX entries. It takes a list of entries as input and returns a new list with any changes applied. The specific cleaning operations performed by this program include:
* Checking if there is a URL in the entry's `note` field and moving it to the `url` field if so.
* Normalizing</t>
        </is>
      </c>
      <c r="I744" t="n">
        <v>0.0036</v>
      </c>
      <c r="J744" t="n">
        <v>0.0588</v>
      </c>
      <c r="K744" t="n">
        <v>0.0752</v>
      </c>
      <c r="L744" t="inlineStr">
        <is>
          <t>The `URLCleanup` class is part of JabRef, a reference management tool for academics. It performs cleanup tasks on BibTeX entries, specifically checking if there is a URL present in the entry's note field and storing it in the entry's URL field if it doesn't already exist.</t>
        </is>
      </c>
      <c r="M744" t="n">
        <v>0.004</v>
      </c>
      <c r="N744" t="n">
        <v>0.0351</v>
      </c>
      <c r="O744" t="n">
        <v>0.0847</v>
      </c>
    </row>
    <row r="745">
      <c r="A745" t="inlineStr">
        <is>
          <t>jabref</t>
        </is>
      </c>
      <c r="B745" t="inlineStr">
        <is>
          <t>jablib/src/main/java/org/jabref/logic/cleanup/RenamePdfCleanup.java</t>
        </is>
      </c>
      <c r="C745">
        <f>HYPERLINK("https://github.com/JabRef/jabref/blob/master/jablib/src/main/java/org/jabref/logic/cleanup/RenamePdfCleanup.java")</f>
        <v/>
      </c>
      <c r="D745" t="inlineStr">
        <is>
          <t>The `RenamePdfCleanup` class is responsible for renaming PDF files in a JabRef library based on their associated BibTeX entries. It takes three parameters upon initialization:
* `databaseContext`: A supplier that provides the current bibliography context.
* `onlyRelativePaths`: Whether to rename PDF files with relative or absolute paths.
* `</t>
        </is>
      </c>
      <c r="E745" t="n">
        <v>0</v>
      </c>
      <c r="F745" t="n">
        <v>0</v>
      </c>
      <c r="G745" t="n">
        <v>0</v>
      </c>
      <c r="H745" t="inlineStr">
        <is>
          <t>The `RenamePdfCleanup` class is part of a Java-based backend system that performs various cleanup tasks on a BibTeX database. It takes in a `BibDatabaseContext`, which represents the entirety of a BibTeX database, as well as a flag indicating whether to only rename PDF files with relative paths or not. Additionally, it requires a `FilePreferences</t>
        </is>
      </c>
      <c r="I745" t="n">
        <v>0</v>
      </c>
      <c r="J745" t="n">
        <v>0</v>
      </c>
      <c r="K745" t="n">
        <v>0.0397</v>
      </c>
      <c r="L745" t="inlineStr">
        <is>
          <t>The `RenamePdfCleanup` class is responsible for renaming PDF files associated with entries in a bibliography database. It takes two parameters upon initialization: `onlyRelativePaths`, which determines whether relative or absolute paths should be used when renaming files, and `filePreferences`, which specifies preferences related to file management.
The class has one method,</t>
        </is>
      </c>
      <c r="M745" t="n">
        <v>0.0037</v>
      </c>
      <c r="N745" t="n">
        <v>0.0345</v>
      </c>
      <c r="O745" t="n">
        <v>0.082</v>
      </c>
    </row>
    <row r="746">
      <c r="A746" t="inlineStr">
        <is>
          <t>jabref</t>
        </is>
      </c>
      <c r="B746" t="inlineStr">
        <is>
          <t>jablib/src/main/java/org/jabref/logic/cleanup/DoiCleanup.java</t>
        </is>
      </c>
      <c r="C746">
        <f>HYPERLINK("https://github.com/JabRef/jabref/blob/master/jablib/src/main/java/org/jabref/logic/cleanup/DoiCleanup.java")</f>
        <v/>
      </c>
      <c r="D746" t="inlineStr">
        <is>
          <t>This is Java code that defines a `DoiCleanup` class implementing the `CleanupJob` interface. The class has several methods, including a constructor and two main methods: `performCleanup()` and `getChangedEntries()`.
The `performCleanup()` method takes a list of `BibEntry` objects as input and performs cleanup on</t>
        </is>
      </c>
      <c r="E746" t="n">
        <v>0.0051</v>
      </c>
      <c r="F746" t="n">
        <v>0.1176</v>
      </c>
      <c r="G746" t="n">
        <v>0.1304</v>
      </c>
      <c r="H746" t="inlineStr">
        <is>
          <t>This is a Java implementation of a cleanup job that formats DOIs and infers them from other fields in a BibTeX entry. The code uses several external libraries, including JabRef's own formatter library and Java's standard library for handling URLs and strings.
The main class, `DoiCleanup`, implements the `CleanupJob` interface and</t>
        </is>
      </c>
      <c r="I746" t="n">
        <v>0.0047</v>
      </c>
      <c r="J746" t="n">
        <v>0.0984</v>
      </c>
      <c r="K746" t="n">
        <v>0.1626</v>
      </c>
      <c r="L746" t="inlineStr">
        <is>
          <t>The `DoiCleanup` class is responsible for cleaning up the DOI field in a BibTeX entry. It takes a `BibEntry` object as input and returns an updated version of the entry with the DOI field formatted correctly.
The class uses several methods to determine whether a given field should be used to infer the DOI. These methods include checking if</t>
        </is>
      </c>
      <c r="M746" t="n">
        <v>0.0031</v>
      </c>
      <c r="N746" t="n">
        <v>0.0299</v>
      </c>
      <c r="O746" t="n">
        <v>0.07630000000000001</v>
      </c>
    </row>
    <row r="747">
      <c r="A747" t="inlineStr">
        <is>
          <t>jabref</t>
        </is>
      </c>
      <c r="B747" t="inlineStr">
        <is>
          <t>jablib/src/main/java/org/jabref/logic/cleanup/ConvertToBiblatexCleanup.java</t>
        </is>
      </c>
      <c r="C747">
        <f>HYPERLINK("https://github.com/JabRef/jabref/blob/master/jablib/src/main/java/org/jabref/logic/cleanup/ConvertToBiblatexCleanup.java")</f>
        <v/>
      </c>
      <c r="D747" t="inlineStr">
        <is>
          <t>This is a Java implementation of a `ConvertToBiblatexCleanup` class that converts a BibTeX entry to its equivalent in the biblatex format. The class takes a `BibEntry` object as input and returns a list of field changes that need to be made to convert the entry to biblatex.
The conversion process involves iterating over a map of field ali</t>
        </is>
      </c>
      <c r="E747" t="n">
        <v>0.0037</v>
      </c>
      <c r="F747" t="n">
        <v>0.09089999999999999</v>
      </c>
      <c r="G747" t="n">
        <v>0.1538</v>
      </c>
      <c r="H747" t="inlineStr">
        <is>
          <t>This Java code is part of a project that converts BibTeX entries into their corresponding biblatex format. The `ConvertToBiblatexCleanup` class implements the `CleanupJob` interface and provides a method called `cleanup()` which takes a `BibEntry` object as input and returns a list of field changes made during the conversion process.
The code first</t>
        </is>
      </c>
      <c r="I747" t="n">
        <v>0.0046</v>
      </c>
      <c r="J747" t="n">
        <v>0.1</v>
      </c>
      <c r="K747" t="n">
        <v>0.1613</v>
      </c>
      <c r="L747" t="inlineStr">
        <is>
          <t>The `ConvertToBiblatexCleanup` class is responsible for converting a BibTeX entry to the biblatex format. It achieves this by iterating over a list of field aliases defined in the `EntryConverter` class and updating the values of fields in the entry according to their corresponding aliases. The method returns a list of field changes made during the conversion process.</t>
        </is>
      </c>
      <c r="M747" t="n">
        <v>0.0032</v>
      </c>
      <c r="N747" t="n">
        <v>0.0615</v>
      </c>
      <c r="O747" t="n">
        <v>0.0775</v>
      </c>
    </row>
    <row r="748">
      <c r="A748" t="inlineStr">
        <is>
          <t>jabref</t>
        </is>
      </c>
      <c r="B748" t="inlineStr">
        <is>
          <t>jablib/src/main/java/org/jabref/logic/cleanup/TimeStampToModificationDate.java</t>
        </is>
      </c>
      <c r="C748">
        <f>HYPERLINK("https://github.com/JabRef/jabref/blob/master/jablib/src/main/java/org/jabref/logic/cleanup/TimeStampToModificationDate.java")</f>
        <v/>
      </c>
      <c r="D748" t="inlineStr">
        <is>
          <t>The `TimeStampToModificationDate` class in JabRef's cleanup module is responsible for handling the migration of the timestamp field to the creationdate or modificationdate field based on the user's preference. It does this by iterating over all entries in the database and checking if the old updateTimestamp setting is enabled. If it is, then the timestamp field is migr</t>
        </is>
      </c>
      <c r="E748" t="n">
        <v>0.0038</v>
      </c>
      <c r="F748" t="n">
        <v>0.0597</v>
      </c>
      <c r="G748" t="n">
        <v>0.1163</v>
      </c>
      <c r="H748" t="inlineStr">
        <is>
          <t>The provided Java code defines a `TimeStampToModificationDate` class that implements the `CleanupJob` interface. It appears to be responsible for migrating data from a "timestamp" field to either the "creationdate" or "modificationdate" fields based on certain conditions.
The class has several dependencies, including the `TimestampPreferences`, `DateTimeFormatter</t>
        </is>
      </c>
      <c r="I748" t="n">
        <v>0.0041</v>
      </c>
      <c r="J748" t="n">
        <v>0.0377</v>
      </c>
      <c r="K748" t="n">
        <v>0.0427</v>
      </c>
      <c r="L748" t="inlineStr">
        <is>
          <t>The `TimeStampToModificationDate` class provides functionality for migrating data from a "timestamp" field to either the "creationdate" or "modificationdate" fields based on user preferences. It performs these actions when the `CleanupJob` interface is implemented.</t>
        </is>
      </c>
      <c r="M748" t="n">
        <v>0.0056</v>
      </c>
      <c r="N748" t="n">
        <v>0.0488</v>
      </c>
      <c r="O748" t="n">
        <v>0.0476</v>
      </c>
    </row>
    <row r="749">
      <c r="A749" t="inlineStr">
        <is>
          <t>jabref</t>
        </is>
      </c>
      <c r="B749" t="inlineStr">
        <is>
          <t>jablib/src/main/java/org/jabref/logic/cleanup/XmpMetadataCleanup.java</t>
        </is>
      </c>
      <c r="C749">
        <f>HYPERLINK("https://github.com/JabRef/jabref/blob/master/jablib/src/main/java/org/jabref/logic/cleanup/XmpMetadataCleanup.java")</f>
        <v/>
      </c>
      <c r="D749" t="inlineStr">
        <is>
          <t>This is Java code for a cleanup job that modifies XMP metadata in a bibliographic file (such as a bibtex or biblatex file). The code uses JabRef libraries to read and write the XMP data. It also uses Java's standard library for I/O operations.
The `XmpMetadataCleanup` class has several methods, including a</t>
        </is>
      </c>
      <c r="E749" t="n">
        <v>0.0042</v>
      </c>
      <c r="F749" t="n">
        <v>0.0645</v>
      </c>
      <c r="G749" t="n">
        <v>0.121</v>
      </c>
      <c r="H749" t="inlineStr">
        <is>
          <t>The `XmpMetadataCleanup` class is part of a Java-based application that performs cleanup operations on metadata files associated with bibliographic entries in a BibTeX database. It takes a `BibDatabaseContext` object as input, which represents the entirety of the database, and applies various cleanup operations to it. These operations include removing redundant or unnecessary metadata fields, updating</t>
        </is>
      </c>
      <c r="I749" t="n">
        <v>0.0033</v>
      </c>
      <c r="J749" t="n">
        <v>0.0312</v>
      </c>
      <c r="K749" t="n">
        <v>0.07870000000000001</v>
      </c>
      <c r="L749" t="inlineStr">
        <is>
          <t>The `XmpMetadataCleanup` class is responsible for cleaning up metadata stored in XMP files associated with entries in a bibliography database. It takes a `BibDatabaseContext` object as input and performs various operations such as removing unnecessary fields, updating field values, and adding new fields. The class uses the `XmpUtilShared` and `XmpUtilWriter`</t>
        </is>
      </c>
      <c r="M749" t="n">
        <v>0.0037</v>
      </c>
      <c r="N749" t="n">
        <v>0.0345</v>
      </c>
      <c r="O749" t="n">
        <v>0.082</v>
      </c>
    </row>
    <row r="750">
      <c r="A750" t="inlineStr">
        <is>
          <t>jabref</t>
        </is>
      </c>
      <c r="B750" t="inlineStr">
        <is>
          <t>jablib/src/main/java/org/jabref/logic/cleanup/ConvertToBibtexCleanup.java</t>
        </is>
      </c>
      <c r="C750">
        <f>HYPERLINK("https://github.com/JabRef/jabref/blob/master/jablib/src/main/java/org/jabref/logic/cleanup/ConvertToBibtexCleanup.java")</f>
        <v/>
      </c>
      <c r="D750" t="inlineStr">
        <is>
          <t>This Java code defines a `ConvertToBibtexCleanup` class that implements the `CleanupJob` interface. The class takes a `BibEntry` object as input and returns a list of `FieldChange` objects representing the changes made to the entry during the conversion process.
The method `cleanup()` performs the following operations on the given `Bib</t>
        </is>
      </c>
      <c r="E750" t="n">
        <v>0.0049</v>
      </c>
      <c r="F750" t="n">
        <v>0.1053</v>
      </c>
      <c r="G750" t="n">
        <v>0.124</v>
      </c>
      <c r="H750" t="inlineStr">
        <is>
          <t>This Java code defines a `ConvertToBibtexCleanup` class that implements the `CleanupJob` interface. The `cleanup()` method takes a `BibEntry` object as input and returns a list of `FieldChange` objects representing the modifications made to the entry.
The implementation first checks whether the `BibEntry` has a publication date set</t>
        </is>
      </c>
      <c r="I750" t="n">
        <v>0.0051</v>
      </c>
      <c r="J750" t="n">
        <v>0.1091</v>
      </c>
      <c r="K750" t="n">
        <v>0.1261</v>
      </c>
      <c r="L750" t="inlineStr">
        <is>
          <t>The `ConvertToBibtexCleanup` class converts a BibTeX entry to a biblatex format by filling in missing fields such as year and month based on the publication date. It uses the `EntryConverter` class to perform the conversion.</t>
        </is>
      </c>
      <c r="M750" t="n">
        <v>0.0053</v>
      </c>
      <c r="N750" t="n">
        <v>0.0465</v>
      </c>
      <c r="O750" t="n">
        <v>0.0935</v>
      </c>
    </row>
    <row r="751">
      <c r="A751" t="inlineStr">
        <is>
          <t>jabref</t>
        </is>
      </c>
      <c r="B751" t="inlineStr">
        <is>
          <t>jablib/src/main/java/org/jabref/logic/cleanup/FieldFormatterCleanup.java</t>
        </is>
      </c>
      <c r="C751">
        <f>HYPERLINK("https://github.com/JabRef/jabref/blob/master/jablib/src/main/java/org/jabref/logic/cleanup/FieldFormatterCleanup.java")</f>
        <v/>
      </c>
      <c r="D751" t="inlineStr">
        <is>
          <t>The `FieldFormatterCleanup` class is responsible for formatting a specific field in a BibTeX entry using a provided formatter. It implements the `CleanupJob` interface, which requires the implementation of the `cleanup()` method that takes a `BibEntry` object as input and returns a list of `FieldChange` objects representing the changes made to the entry during the</t>
        </is>
      </c>
      <c r="E751" t="n">
        <v>0.004</v>
      </c>
      <c r="F751" t="n">
        <v>0.0645</v>
      </c>
      <c r="G751" t="n">
        <v>0.119</v>
      </c>
      <c r="H751" t="inlineStr">
        <is>
          <t>This is a Java class that represents a "Cleanup Job" for JabRef, which is a reference management tool. The class takes in a `Field` object representing the field to be formatted, as well as a `Formatter` object representing the formatting function to apply to the field. It then applies the formatting function to the field and returns the result as a list of `Field</t>
        </is>
      </c>
      <c r="I751" t="n">
        <v>0.0034</v>
      </c>
      <c r="J751" t="n">
        <v>0.0833</v>
      </c>
      <c r="K751" t="n">
        <v>0.1103</v>
      </c>
      <c r="L751" t="inlineStr">
        <is>
          <t>The `FieldFormatterCleanup` class is used for formatting a specific entry field with a given formatter. It takes two parameters upon initialization - a `Field` object representing the field to be formatted, and a `Formatter` object that performs the actual formatting. When the `cleanup()` method is called, it formats the value of the specified field using the provided formatter and returns</t>
        </is>
      </c>
      <c r="M751" t="n">
        <v>0.003</v>
      </c>
      <c r="N751" t="n">
        <v>0.0299</v>
      </c>
      <c r="O751" t="n">
        <v>0.07580000000000001</v>
      </c>
    </row>
    <row r="752">
      <c r="A752" t="inlineStr">
        <is>
          <t>jabref</t>
        </is>
      </c>
      <c r="B752" t="inlineStr">
        <is>
          <t>jablib/src/main/java/org/jabref/logic/cleanup/CleanupPreferences.java</t>
        </is>
      </c>
      <c r="C752">
        <f>HYPERLINK("https://github.com/JabRef/jabref/blob/master/jablib/src/main/java/org/jabref/logic/cleanup/CleanupPreferences.java")</f>
        <v/>
      </c>
      <c r="D752" t="inlineStr">
        <is>
          <t>The `CleanupPreferences` class is responsible for storing and managing user preferences related to cleaning up entries in JabRef. It has several properties and methods that allow users to configure which cleanup steps they want to perform on their entries, as well as customizing the formatting of fields using regular expressions.
The constructor takes in an `EnumSet` of `C</t>
        </is>
      </c>
      <c r="E752" t="n">
        <v>0.0031</v>
      </c>
      <c r="F752" t="n">
        <v>0.0303</v>
      </c>
      <c r="G752" t="n">
        <v>0.0769</v>
      </c>
      <c r="H752" t="inlineStr">
        <is>
          <t>This Java file defines a class called `CleanupPreferences` that is used to store preferences for cleaning up bibliographic data in JabRef. The class has several fields and methods that allow it to manage the set of active cleanup jobs, as well as the formatting rules for specific fields. It also provides a constructor that allows users to specify which cleanup steps should be applied</t>
        </is>
      </c>
      <c r="I752" t="n">
        <v>0.0034</v>
      </c>
      <c r="J752" t="n">
        <v>0.0556</v>
      </c>
      <c r="K752" t="n">
        <v>0.1103</v>
      </c>
      <c r="L752" t="inlineStr">
        <is>
          <t>The `CleanupPreferences` class is responsible for managing user preferences related to cleaning up bibliographic data using JabRef. It provides methods for setting and retrieving the active cleanup jobs, as well as configuring the formatting of fields within the library.</t>
        </is>
      </c>
      <c r="M752" t="n">
        <v>0.0047</v>
      </c>
      <c r="N752" t="n">
        <v>0.0426</v>
      </c>
      <c r="O752" t="n">
        <v>0.0901</v>
      </c>
    </row>
    <row r="753">
      <c r="A753" t="inlineStr">
        <is>
          <t>jabref</t>
        </is>
      </c>
      <c r="B753" t="inlineStr">
        <is>
          <t>jablib/src/main/java/org/jabref/logic/cleanup/EprintCleanup.java</t>
        </is>
      </c>
      <c r="C753">
        <f>HYPERLINK("https://github.com/JabRef/jabref/blob/master/jablib/src/main/java/org/jabref/logic/cleanup/EprintCleanup.java")</f>
        <v/>
      </c>
      <c r="D753" t="inlineStr">
        <is>
          <t>The `EprintCleanup` class is responsible for formatting the DOI (e.g., removing the HTTP part) and moving DOIs from the `note`, `url`, or `ee` fields to the `doi` field. It does this by implementing the `CleanupJob` interface and overriding its `cleanup()` method.
The `clean</t>
        </is>
      </c>
      <c r="E753" t="n">
        <v>0.0043</v>
      </c>
      <c r="F753" t="n">
        <v>0.1154</v>
      </c>
      <c r="G753" t="n">
        <v>0.1304</v>
      </c>
      <c r="H753" t="inlineStr">
        <is>
          <t>This Java code is part of a project that involves developing a program for managing bibliographic references in LaTeX documents using JabRef. The code defines a class called `EprintCleanup` that implements the `CleanupJob` interface. Its primary function appears to be to format the DOI (digital object identifier) of a reference by removing any unnecessary parts such as the</t>
        </is>
      </c>
      <c r="I753" t="n">
        <v>0.0037</v>
      </c>
      <c r="J753" t="n">
        <v>0.09089999999999999</v>
      </c>
      <c r="K753" t="n">
        <v>0.1154</v>
      </c>
      <c r="L753" t="inlineStr">
        <is>
          <t>The `EprintCleanup` class is responsible for formatting the DOI (by removing the HTTP part) and moving DOIs from other fields such as note, URL, or ee to the DOI field. It belongs to the JabRef library, which is used for managing bibliographic data. The class uses several standard fields and methods from the Java programming language and the</t>
        </is>
      </c>
      <c r="M753" t="n">
        <v>0.0031</v>
      </c>
      <c r="N753" t="n">
        <v>0.0303</v>
      </c>
      <c r="O753" t="n">
        <v>0.0769</v>
      </c>
    </row>
    <row r="754">
      <c r="A754" t="inlineStr">
        <is>
          <t>jabref</t>
        </is>
      </c>
      <c r="B754" t="inlineStr">
        <is>
          <t>jablib/src/main/java/org/jabref/logic/cleanup/FieldFormatterCleanupMapper.java</t>
        </is>
      </c>
      <c r="C754">
        <f>HYPERLINK("https://github.com/JabRef/jabref/blob/master/jablib/src/main/java/org/jabref/logic/cleanup/FieldFormatterCleanupMapper.java")</f>
        <v/>
      </c>
      <c r="D754" t="inlineStr">
        <is>
          <t>The code defines a utility class called `FieldFormatterCleanupMapper` that provides methods to parse and apply cleanup rules for specific fields in a BibTeX entry. It uses regular expressions to extract the field name and list of formatting options from a string representation of the rule, and then applies those options to the corresponding field value using a set of predefined formatting functions.
The main</t>
        </is>
      </c>
      <c r="E754" t="n">
        <v>0.0028</v>
      </c>
      <c r="F754" t="n">
        <v>0.0278</v>
      </c>
      <c r="G754" t="n">
        <v>0.0735</v>
      </c>
      <c r="H754" t="inlineStr">
        <is>
          <t>The code in this repository implements a Java library for formatting and cleaning up BibTeX entry fields. It provides a method called `getFormattedFields` that takes a list of fields to be formatted and returns a map of those fields with their corresponding formatted values. The method uses regular expressions to parse the input string and extract the desired information. Additionally, it includes several utility methods for working with</t>
        </is>
      </c>
      <c r="I754" t="n">
        <v>0.0032</v>
      </c>
      <c r="J754" t="n">
        <v>0.0789</v>
      </c>
      <c r="K754" t="n">
        <v>0.1429</v>
      </c>
      <c r="L754" t="inlineStr">
        <is>
          <t>The code defines a mapper that takes a list of fields and their corresponding cleanup actions, and returns a new list where each entry is formatted according to the specified cleanup rules. The cleanup rules can be defined using regular expressions, and multiple rules can be applied to each field. The function uses the `FIELD_FORMATTER_CLEANUP_PATTERN</t>
        </is>
      </c>
      <c r="M754" t="n">
        <v>0.0033</v>
      </c>
      <c r="N754" t="n">
        <v>0.0303</v>
      </c>
      <c r="O754" t="n">
        <v>0.07870000000000001</v>
      </c>
    </row>
    <row r="755">
      <c r="A755" t="inlineStr">
        <is>
          <t>jabref</t>
        </is>
      </c>
      <c r="B755" t="inlineStr">
        <is>
          <t>jablib/src/main/java/org/jabref/logic/cleanup/CleanupWorker.java</t>
        </is>
      </c>
      <c r="C755">
        <f>HYPERLINK("https://github.com/JabRef/jabref/blob/master/jablib/src/main/java/org/jabref/logic/cleanup/CleanupWorker.java")</f>
        <v/>
      </c>
      <c r="D755" t="inlineStr">
        <is>
          <t>This is a Java class that implements the `CleanupWorker` interface. It takes in several parameters upon initialization, including a `BibDatabaseContext`, `FilePreferences`, `TimestampPreferences`, and `JournalAbbreviationRepository`. The class has several methods for cleaning up entries in the database, such as removing unnecessary fields, converting journal names to their abbreviated forms,</t>
        </is>
      </c>
      <c r="E755" t="n">
        <v>0.005</v>
      </c>
      <c r="F755" t="n">
        <v>0.1071</v>
      </c>
      <c r="G755" t="n">
        <v>0.125</v>
      </c>
      <c r="H755" t="inlineStr">
        <is>
          <t>This is a Java library containing a class called `CleanupWorker` that performs various cleanup operations on a bibliographic database stored in a `BibDatabaseContext`. The class takes several dependencies as constructor arguments, including a `BibDatabaseContext`, `FilePreferences`, `TimestampPreferences`, `JournalAbbreviationRepository`, and a boolean flag indicating whether to perform full or quick</t>
        </is>
      </c>
      <c r="I755" t="n">
        <v>0.0045</v>
      </c>
      <c r="J755" t="n">
        <v>0.07140000000000001</v>
      </c>
      <c r="K755" t="n">
        <v>0.0833</v>
      </c>
      <c r="L755" t="inlineStr">
        <is>
          <t>The `CleanupWorker` class is responsible for cleaning up the data stored in a `BibDatabaseContext`. It takes a `BibDatabaseContext`, `FilePreferences`, `TimestampPreferences`, and `JournalAbbreviationRepository` as input and performs various tasks such as removing unnecessary fields, formatting field values, and updating timestamps. The class also has a boolean</t>
        </is>
      </c>
      <c r="M755" t="n">
        <v>0.0041</v>
      </c>
      <c r="N755" t="n">
        <v>0.0377</v>
      </c>
      <c r="O755" t="n">
        <v>0.0427</v>
      </c>
    </row>
    <row r="756">
      <c r="A756" t="inlineStr">
        <is>
          <t>jabref</t>
        </is>
      </c>
      <c r="B756" t="inlineStr">
        <is>
          <t>jablib/src/main/java/org/jabref/logic/cleanup/MoveFilesCleanup.java</t>
        </is>
      </c>
      <c r="C756">
        <f>HYPERLINK("https://github.com/JabRef/jabref/blob/master/jablib/src/main/java/org/jabref/logic/cleanup/MoveFilesCleanup.java")</f>
        <v/>
      </c>
      <c r="D756" t="inlineStr">
        <is>
          <t>This is a Java class that implements the `CleanupJob` interface for JabRef, a reference management tool. The class is responsible for moving files associated with entries in the bibliography to a specific location on disk. It does this by iterating over all entries in the bibliography, checking if each entry has any linked files, and then moving those files to the specified location.</t>
        </is>
      </c>
      <c r="E756" t="n">
        <v>0.0038</v>
      </c>
      <c r="F756" t="n">
        <v>0.08450000000000001</v>
      </c>
      <c r="G756" t="n">
        <v>0.1111</v>
      </c>
      <c r="H756" t="inlineStr">
        <is>
          <t>The `MoveFilesCleanup` class is part of JabRef's cleanup feature. It takes a list of files associated with a BibTeX entry as input and moves them to the default file directory specified in the user preferences. If the file already exists in the target directory, it will be renamed by appending a number to its name. This process is done using the</t>
        </is>
      </c>
      <c r="I756" t="n">
        <v>0.0036</v>
      </c>
      <c r="J756" t="n">
        <v>0.0286</v>
      </c>
      <c r="K756" t="n">
        <v>0.1128</v>
      </c>
      <c r="L756" t="inlineStr">
        <is>
          <t>The `MoveFilesCleanup` class is part of JabRef, a reference management tool for academics. It provides a cleanup job that moves linked files associated with entries in the bibliography database to the default file directory specified by the user. The move operation is performed without renaming the original file name. The class takes a supplier function as input representing the current bibliography</t>
        </is>
      </c>
      <c r="M756" t="n">
        <v>0</v>
      </c>
      <c r="N756" t="n">
        <v>0.029</v>
      </c>
      <c r="O756" t="n">
        <v>0.0376</v>
      </c>
    </row>
    <row r="757">
      <c r="A757" t="inlineStr">
        <is>
          <t>jabref</t>
        </is>
      </c>
      <c r="B757" t="inlineStr">
        <is>
          <t>jablib/src/main/java/org/jabref/logic/cleanup/TimeStampToCreationDate.java</t>
        </is>
      </c>
      <c r="C757">
        <f>HYPERLINK("https://github.com/JabRef/jabref/blob/master/jablib/src/main/java/org/jabref/logic/cleanup/TimeStampToCreationDate.java")</f>
        <v/>
      </c>
      <c r="D757" t="inlineStr">
        <is>
          <t>The `TimeStampToCreationDate` class in JabRef's cleanup module provides functionality for migrating the timestamp field values of entries to either the date-added or date-modified fields based on user preferences. It does this by iterating over all entries in a database and checking if the updateTimestamp preference is set. If so, it sets the date-</t>
        </is>
      </c>
      <c r="E757" t="n">
        <v>0.0045</v>
      </c>
      <c r="F757" t="n">
        <v>0.09379999999999999</v>
      </c>
      <c r="G757" t="n">
        <v>0.16</v>
      </c>
      <c r="H757" t="inlineStr">
        <is>
          <t>The `TimeStampToCreationDate` class in the JabRef library provides a cleanup job that migrates the timestamp field values of entries in a BibTeX database to either the creationdate or modifieddate fields based on the user's preferences. It achieves this by iterating over all entries in the database, checking if the old updateTimestamp setting is enabled, and</t>
        </is>
      </c>
      <c r="I757" t="n">
        <v>0.0033</v>
      </c>
      <c r="J757" t="n">
        <v>0.0625</v>
      </c>
      <c r="K757" t="n">
        <v>0.07870000000000001</v>
      </c>
      <c r="L757" t="inlineStr">
        <is>
          <t>The provided code defines a Java class that performs a specific task related to the migration of data from one format to another. It appears to be part of a larger system or application, as it references other classes and files.
The class is named "TimeStampToCreationDate" and inherits from the "CleanupJob" interface. Its primary responsibility is to handle the</t>
        </is>
      </c>
      <c r="M757" t="n">
        <v>0.0031</v>
      </c>
      <c r="N757" t="n">
        <v>0.0299</v>
      </c>
      <c r="O757" t="n">
        <v>0.07630000000000001</v>
      </c>
    </row>
    <row r="758">
      <c r="A758" t="inlineStr">
        <is>
          <t>jabref</t>
        </is>
      </c>
      <c r="B758" t="inlineStr">
        <is>
          <t>jablib/src/main/java/org/jabref/logic/database/DatabaseMerger.java</t>
        </is>
      </c>
      <c r="C758">
        <f>HYPERLINK("https://github.com/JabRef/jabref/blob/master/jablib/src/main/java/org/jabref/logic/database/DatabaseMerger.java")</f>
        <v/>
      </c>
      <c r="D758" t="inlineStr">
        <is>
          <t>This Java class `DatabaseMerger` is responsible for merging two BibTeX databases into one. It takes in two `BibDatabase` objects as input and returns a new `BibDatabase` object that represents the merged database. The merge process involves several steps, including:
1. Merging the entry lists: The `mergeEntries()` method iterates over both input</t>
        </is>
      </c>
      <c r="E758" t="n">
        <v>0.0043</v>
      </c>
      <c r="F758" t="n">
        <v>0.0678</v>
      </c>
      <c r="G758" t="n">
        <v>0.0813</v>
      </c>
      <c r="H758" t="inlineStr">
        <is>
          <t>This is a Java package that provides a utility for merging multiple BibTeX databases into one. The `DatabaseMerger` class takes in a list of `BibDatabase` objects and returns a single merged database. It uses the `BibDatabaseModeDetection` class to detect the mode (i.e., whether it's a biblatex or bibtex database) of</t>
        </is>
      </c>
      <c r="I758" t="n">
        <v>0.0044</v>
      </c>
      <c r="J758" t="n">
        <v>0.0667</v>
      </c>
      <c r="K758" t="n">
        <v>0.123</v>
      </c>
      <c r="L758" t="inlineStr">
        <is>
          <t>The `DatabaseMerger` class is responsible for merging two bibliographic databases into one. It takes two input parameters: a list of entries from the first database and a list of entries from the second database. The method then iterates over both lists simultaneously, comparing each entry's unique identifier (ID) and combining any matching IDs found between the two databases. If there are no matches</t>
        </is>
      </c>
      <c r="M758" t="n">
        <v>0.0029</v>
      </c>
      <c r="N758" t="n">
        <v>0.0278</v>
      </c>
      <c r="O758" t="n">
        <v>0.037</v>
      </c>
    </row>
    <row r="759">
      <c r="A759" t="inlineStr">
        <is>
          <t>jabref</t>
        </is>
      </c>
      <c r="B759" t="inlineStr">
        <is>
          <t>jablib/src/main/java/org/jabref/logic/database/DuplicateCheck.java</t>
        </is>
      </c>
      <c r="C759">
        <f>HYPERLINK("https://github.com/JabRef/jabref/blob/master/jablib/src/main/java/org/jabref/logic/database/DuplicateCheck.java")</f>
        <v/>
      </c>
      <c r="D759" t="inlineStr">
        <is>
          <t>This Java code appears to be part of a project related to bibliographic databases and entry management. It defines several classes and methods that implement various functionalities for working with entries in a database, such as searching, filtering, and comparing entries based on their fields and properties. The code also includes some utility functions for string manipulation and comparison. Overall, it seems like this is a complex piece</t>
        </is>
      </c>
      <c r="E759" t="n">
        <v>0.0032</v>
      </c>
      <c r="F759" t="n">
        <v>0.1053</v>
      </c>
      <c r="G759" t="n">
        <v>0.1429</v>
      </c>
      <c r="H759" t="inlineStr">
        <is>
          <t>This is a Java package containing classes related to database management for JabRef, a reference manager application. The package includes classes for working with BibTeX databases, which are used by JabRef to store and manage references. Some of the key features of this package include:
* A `BibDatabase` class that represents a BibTeX database and provides methods for adding, removing,</t>
        </is>
      </c>
      <c r="I759" t="n">
        <v>0.0036</v>
      </c>
      <c r="J759" t="n">
        <v>0.0597</v>
      </c>
      <c r="K759" t="n">
        <v>0.1136</v>
      </c>
      <c r="L759" t="inlineStr">
        <is>
          <t>The code defines a class called `BibDatabase` that represents a database of bibliographic entries (i.e., publications). It has methods for adding, removing, and modifying entries, as well as searching for specific entries based on their fields. Additionally, it includes support for different entry types and field properties.</t>
        </is>
      </c>
      <c r="M759" t="n">
        <v>0.0039</v>
      </c>
      <c r="N759" t="n">
        <v>0.0357</v>
      </c>
      <c r="O759" t="n">
        <v>0.042</v>
      </c>
    </row>
    <row r="760">
      <c r="A760" t="inlineStr">
        <is>
          <t>jabref</t>
        </is>
      </c>
      <c r="B760" t="inlineStr">
        <is>
          <t>jablib/src/main/java/org/jabref/logic/groups/GroupsFactory.java</t>
        </is>
      </c>
      <c r="C760">
        <f>HYPERLINK("https://github.com/JabRef/jabref/blob/master/jablib/src/main/java/org/jabref/logic/groups/GroupsFactory.java")</f>
        <v/>
      </c>
      <c r="D760" t="inlineStr">
        <is>
          <t>The `GroupsFactory` class is responsible for creating different types of groups in JabRef. It provides methods to create all-entries group, search group with file filter, and search group without file filter. These groups can be used to organize and manage references in JabRef.</t>
        </is>
      </c>
      <c r="E760" t="n">
        <v>0.0043</v>
      </c>
      <c r="F760" t="n">
        <v>0.0385</v>
      </c>
      <c r="G760" t="n">
        <v>0.08699999999999999</v>
      </c>
      <c r="H760" t="inlineStr">
        <is>
          <t>The `GroupsFactory` class is responsible for creating instances of different types of groups used in JabRef's library management system. It provides methods to create all-entries group, search group with file filter, and search group without file filter. Each method returns an instance of a specific type of group. The class also defines constants related to the default icon name for the all-entries group</t>
        </is>
      </c>
      <c r="I760" t="n">
        <v>0.0029</v>
      </c>
      <c r="J760" t="n">
        <v>0.027</v>
      </c>
      <c r="K760" t="n">
        <v>0.0741</v>
      </c>
      <c r="L760" t="inlineStr">
        <is>
          <t>The `GroupsFactory` class is responsible for creating instances of different types of groups used by JabRef, a reference management tool. It provides two methods for creating groups: `createAllEntriesGroup()` and `createWithoutFilesGroup()`. The former creates an instance of the `AllEntriesGroup`, which represents all entries in the database, while the latter creates an instance of the</t>
        </is>
      </c>
      <c r="M760" t="n">
        <v>0.0035</v>
      </c>
      <c r="N760" t="n">
        <v>0.0328</v>
      </c>
      <c r="O760" t="n">
        <v>0.08</v>
      </c>
    </row>
    <row r="761">
      <c r="A761" t="inlineStr">
        <is>
          <t>jabref</t>
        </is>
      </c>
      <c r="B761" t="inlineStr">
        <is>
          <t>jablib/src/main/java/org/jabref/logic/bibtex/BibEntryWriter.java</t>
        </is>
      </c>
      <c r="C761">
        <f>HYPERLINK("https://github.com/JabRef/jabref/blob/master/jablib/src/main/java/org/jabref/logic/bibtex/BibEntryWriter.java")</f>
        <v/>
      </c>
      <c r="D761" t="inlineStr">
        <is>
          <t>This is a Java project that provides various utility methods for working with BibTeX entries. The main class, `BibTexEntry`, defines a data structure to represent a single entry in a BibTeX database. It has several fields such as `key`, `type`, `fields`, and `preamble`. The `fields` field is a map of key-value pairs representing the different</t>
        </is>
      </c>
      <c r="E761" t="n">
        <v>0.004</v>
      </c>
      <c r="F761" t="n">
        <v>0.0625</v>
      </c>
      <c r="G761" t="n">
        <v>0.1181</v>
      </c>
      <c r="H761" t="inlineStr">
        <is>
          <t>This Java package `org.jabref.logic.bibtex` provides various classes and methods for working with BibTeX entries and databases. The main class is `BibTexParser`, which parses a string containing a BibTeX entry into a `BibEntry` object. Other important classes include `BibDatabase`, which represents a collection of `BibEntries`,</t>
        </is>
      </c>
      <c r="I761" t="n">
        <v>0.005</v>
      </c>
      <c r="J761" t="n">
        <v>0.0727</v>
      </c>
      <c r="K761" t="n">
        <v>0.1293</v>
      </c>
      <c r="L761" t="inlineStr">
        <is>
          <t>The provided code is part of a Java library for working with BibTeX entries. It appears to be responsible for generating a string representation of a collection of BibTeX entries, as well as performing various operations on those entries such as filtering, sorting, and exporting them to a file. The code also includes support for ADR (Architecture Decision Records), which are used to document and manage</t>
        </is>
      </c>
      <c r="M761" t="n">
        <v>0.0028</v>
      </c>
      <c r="N761" t="n">
        <v>0.027</v>
      </c>
      <c r="O761" t="n">
        <v>0.0725</v>
      </c>
    </row>
    <row r="762">
      <c r="A762" t="inlineStr">
        <is>
          <t>jabref</t>
        </is>
      </c>
      <c r="B762" t="inlineStr">
        <is>
          <t>jablib/src/main/java/org/jabref/logic/bibtex/InvalidFieldValueException.java</t>
        </is>
      </c>
      <c r="C762">
        <f>HYPERLINK("https://github.com/JabRef/jabref/blob/master/jablib/src/main/java/org/jabref/logic/bibtex/InvalidFieldValueException.java")</f>
        <v/>
      </c>
      <c r="D762" t="inlineStr">
        <is>
          <t>This is a Java class named `InvalidFieldValueException`, which is part of the JabRef library for managing bibliographic data. It is marked as deprecated and should be used with caution.
The class represents an exception that is thrown when an invalid field value is encountered during processing of BibTeX files or other related tasks. The constructor takes a string parameter representing the error message</t>
        </is>
      </c>
      <c r="E762" t="n">
        <v>0.0034</v>
      </c>
      <c r="F762" t="n">
        <v>0.0563</v>
      </c>
      <c r="G762" t="n">
        <v>0.1111</v>
      </c>
      <c r="H762" t="inlineStr">
        <is>
          <t>This Java code defines a custom exception called "InvalidFieldValueException" that is marked as deprecated in favor of using a different approach. It inherits from the built-in "Exception" class and has a single constructor that takes a string parameter for the error message. The class is annotated with "@Deprecated", indicating that it should no longer be used and may be removed in future</t>
        </is>
      </c>
      <c r="I762" t="n">
        <v>0.0035</v>
      </c>
      <c r="J762" t="n">
        <v>0.0563</v>
      </c>
      <c r="K762" t="n">
        <v>0.1907</v>
      </c>
      <c r="L762" t="inlineStr">
        <is>
          <t>The provided Java code defines a custom exception called `InvalidFieldValueException`. It is marked as deprecated and should be used with caution. The exception is thrown when a field value is invalid for a specific entry type. The code implements the `Exception` interface and has a single constructor that takes a string argument representing the error message.</t>
        </is>
      </c>
      <c r="M762" t="n">
        <v>0.0039</v>
      </c>
      <c r="N762" t="n">
        <v>0.0625</v>
      </c>
      <c r="O762" t="n">
        <v>0.1172</v>
      </c>
    </row>
    <row r="763">
      <c r="A763" t="inlineStr">
        <is>
          <t>jabref</t>
        </is>
      </c>
      <c r="B763" t="inlineStr">
        <is>
          <t>jablib/src/main/java/org/jabref/logic/bibtex/FileFieldWriter.java</t>
        </is>
      </c>
      <c r="C763">
        <f>HYPERLINK("https://github.com/JabRef/jabref/blob/master/jablib/src/main/java/org/jabref/logic/bibtex/FileFieldWriter.java")</f>
        <v/>
      </c>
      <c r="D763" t="inlineStr">
        <is>
          <t>The `FileFieldWriter` class is responsible for generating a string representation of a list of linked files. It takes in a list of `LinkedFile` objects and returns a string that represents the contents of those files. The string is generated by concatenating the descriptions, links, file types, and source URLs of each file, separated by commas. If any of these values are</t>
        </is>
      </c>
      <c r="E763" t="n">
        <v>0.003</v>
      </c>
      <c r="F763" t="n">
        <v>0.029</v>
      </c>
      <c r="G763" t="n">
        <v>0.0376</v>
      </c>
      <c r="H763" t="inlineStr">
        <is>
          <t>This Java package `org.jabref.logic.bibtex` contains a single class called `FileFieldWriter`. The class has one method named `getStringRepresentation`, which takes in either a list of `LinkedFile` objects or a single `LinkedFile` object as input. If it receives a list of files, it returns a string representation of all the files in</t>
        </is>
      </c>
      <c r="I763" t="n">
        <v>0.0037</v>
      </c>
      <c r="J763" t="n">
        <v>0.06560000000000001</v>
      </c>
      <c r="K763" t="n">
        <v>0.041</v>
      </c>
      <c r="L763" t="inlineStr">
        <is>
          <t>The `FileFieldWriter` class is responsible for generating a string representation of a list of `LinkedFile` objects. It takes a list of `LinkedFile` objects as input and returns a string that can be used to represent the files in a specific format. The class uses several methods to achieve this, including `getStringRepresentation`, which generates the actual string representation based on the</t>
        </is>
      </c>
      <c r="M763" t="n">
        <v>0.003</v>
      </c>
      <c r="N763" t="n">
        <v>0.0294</v>
      </c>
      <c r="O763" t="n">
        <v>0.07580000000000001</v>
      </c>
    </row>
    <row r="764">
      <c r="A764" t="inlineStr">
        <is>
          <t>jabref</t>
        </is>
      </c>
      <c r="B764" t="inlineStr">
        <is>
          <t>jablib/src/main/java/org/jabref/logic/bibtex/TypedBibEntry.java</t>
        </is>
      </c>
      <c r="C764">
        <f>HYPERLINK("https://github.com/JabRef/jabref/blob/master/jablib/src/main/java/org/jabref/logic/bibtex/TypedBibEntry.java")</f>
        <v/>
      </c>
      <c r="D764" t="inlineStr">
        <is>
          <t>This is a Java class that provides a wrapper around a `BibEntry` object, which is a single bibliographic reference in a bibliography. The class offers methods to retrieve information about the entry based on its type, as determined by the `BibDatabaseMode`. It also allows you to set the entry's type explicitly if necessary.
The constructor takes two parameters: the</t>
        </is>
      </c>
      <c r="E764" t="n">
        <v>0.0031</v>
      </c>
      <c r="F764" t="n">
        <v>0.0294</v>
      </c>
      <c r="G764" t="n">
        <v>0.0382</v>
      </c>
      <c r="H764" t="inlineStr">
        <is>
          <t>This is a Java library that provides a wrapper around a `BibEntry` object, which is a model class representing a bibliographic reference in JabRef. The wrapper offers methods for performing various operations based on the current `BibDatabaseMode`, which determines how the bibliography should be displayed and processed. These methods include things like getting the type of the entry (e.g</t>
        </is>
      </c>
      <c r="I764" t="n">
        <v>0.0037</v>
      </c>
      <c r="J764" t="n">
        <v>0.0588</v>
      </c>
      <c r="K764" t="n">
        <v>0.07630000000000001</v>
      </c>
      <c r="L764" t="inlineStr">
        <is>
          <t>The `TypedBibEntry` class is a wrapper around a `BibEntry` object that provides methods for retrieving type-specific data based on the current `BibDatabaseMode`. It takes two constructors: one that accepts a `BibEntry` object and an optional `BibDatabaseMode`, and another that accepts a `BibEntry` object and a `</t>
        </is>
      </c>
      <c r="M764" t="n">
        <v>0.004</v>
      </c>
      <c r="N764" t="n">
        <v>0.037</v>
      </c>
      <c r="O764" t="n">
        <v>0.0424</v>
      </c>
    </row>
    <row r="765">
      <c r="A765" t="inlineStr">
        <is>
          <t>jabref</t>
        </is>
      </c>
      <c r="B765" t="inlineStr">
        <is>
          <t>jablib/src/main/java/org/jabref/logic/bibtex/FieldWriter.java</t>
        </is>
      </c>
      <c r="C765">
        <f>HYPERLINK("https://github.com/JabRef/jabref/blob/master/jablib/src/main/java/org/jabref/logic/bibtex/FieldWriter.java")</f>
        <v/>
      </c>
      <c r="D765" t="inlineStr">
        <is>
          <t>This is a Java class named `FieldWriter` that converts JabRef's internal BibTeX representation of a BibTeX field to its textual representation in BibTeX format. The class has several methods for different purposes, including:
* `write`: Writes the given field value as a string in BibTeX format.
* `writeWithoutBraces`: Writes the</t>
        </is>
      </c>
      <c r="E765" t="n">
        <v>0.0037</v>
      </c>
      <c r="F765" t="n">
        <v>0.0351</v>
      </c>
      <c r="G765" t="n">
        <v>0.041</v>
      </c>
      <c r="H765" t="inlineStr">
        <is>
          <t>This is a Java library that provides methods for writing out fields in BibTeX format from JabRef's internal data structure. The library has a complexity of O(N), where N is the number of fields being written out. It uses a Deque (implemented as an ArrayDeque) to keep track of the current nesting level when writing out nested fields. The library</t>
        </is>
      </c>
      <c r="I765" t="n">
        <v>0.003</v>
      </c>
      <c r="J765" t="n">
        <v>0.0571</v>
      </c>
      <c r="K765" t="n">
        <v>0.07580000000000001</v>
      </c>
      <c r="L765" t="inlineStr">
        <is>
          <t>The `FieldWriter` class is responsible for converting JabRef's internal BibTeX representation of a BibTeX field to its text representation. It takes a `FieldPreferences` object as input and uses it to determine how certain fields should be formatted. The class has two constructors, one that takes a `FieldPreferences` object and another that takes both a `FieldPreferences` object and</t>
        </is>
      </c>
      <c r="M765" t="n">
        <v>0.0032</v>
      </c>
      <c r="N765" t="n">
        <v>0.0303</v>
      </c>
      <c r="O765" t="n">
        <v>0.0775</v>
      </c>
    </row>
    <row r="766">
      <c r="A766" t="inlineStr">
        <is>
          <t>jabref</t>
        </is>
      </c>
      <c r="B766" t="inlineStr">
        <is>
          <t>jablib/src/main/java/org/jabref/logic/bibtex/FieldPreferences.java</t>
        </is>
      </c>
      <c r="C766">
        <f>HYPERLINK("https://github.com/JabRef/jabref/blob/master/jablib/src/main/java/org/jabref/logic/bibtex/FieldPreferences.java")</f>
        <v/>
      </c>
      <c r="D766" t="inlineStr">
        <is>
          <t>This is Java code for a class called `FieldPreferences` that manages preferences related to fields in a bibliographic database. It has several properties and methods that control how certain field values should be handled when generating citations or references.
The main responsibilities of this class include:
* Managing a list of fields that can have their strings resolved (e.g</t>
        </is>
      </c>
      <c r="E766" t="n">
        <v>0.0037</v>
      </c>
      <c r="F766" t="n">
        <v>0.0597</v>
      </c>
      <c r="G766" t="n">
        <v>0.07630000000000001</v>
      </c>
      <c r="H766" t="inlineStr">
        <is>
          <t>This Java package `org.jabref.logic.bibtex` contains a class called `FieldPreferences`. It is used to store preferences related to fields in BibTeX databases. The class has several properties and methods that control how fields should be resolved and displayed.
The constructor takes a boolean parameter `resolveStrings` which determines whether strings should be resolved or not. If</t>
        </is>
      </c>
      <c r="I766" t="n">
        <v>0.004</v>
      </c>
      <c r="J766" t="n">
        <v>0.0615</v>
      </c>
      <c r="K766" t="n">
        <v>0.119</v>
      </c>
      <c r="L766" t="inlineStr">
        <is>
          <t>The `FieldPreferences` class is responsible for storing preferences related to field formatting in JabRef's bibliography management tool. It provides two observable lists of fields: `resolvableFields`, which stores fields that can be resolved using string replacement, and `nonWrappableFields`, which stores fields that should not wrap text. Additionally, it has a boolean property called `</t>
        </is>
      </c>
      <c r="M766" t="n">
        <v>0.0035</v>
      </c>
      <c r="N766" t="n">
        <v>0.0328</v>
      </c>
      <c r="O766" t="n">
        <v>0.08</v>
      </c>
    </row>
    <row r="767">
      <c r="A767" t="inlineStr">
        <is>
          <t>jabref</t>
        </is>
      </c>
      <c r="B767" t="inlineStr">
        <is>
          <t>jablib/src/main/java/org/jabref/logic/bibtex/comparator/BibtexStringComparator.java</t>
        </is>
      </c>
      <c r="C767">
        <f>HYPERLINK("https://github.com/JabRef/jabref/blob/master/jablib/src/main/java/org/jabref/logic/bibtex/comparator/BibtexStringComparator.java")</f>
        <v/>
      </c>
      <c r="D767" t="inlineStr">
        <is>
          <t>The `BibtexStringComparator` is a comparator for `BibtexString` objects that compares them based on their names. If two strings have the same name, it checks if they refer to each other, and if so, sorts them accordingly. The comparison is case-insensitive and uses the `java.util.Locale.ROOT` locale. The</t>
        </is>
      </c>
      <c r="E767" t="n">
        <v>0.004</v>
      </c>
      <c r="F767" t="n">
        <v>0.0345</v>
      </c>
      <c r="G767" t="n">
        <v>0.0847</v>
      </c>
      <c r="H767" t="inlineStr">
        <is>
          <t>The `BibtexStringComparator` class is a Java implementation of a comparator for comparing instances of the `BibtexString` class. It allows users to sort instances of `BibtexString` based on their names, as well as take into account the order of internal references between them. The `considerRefs` parameter determines whether or not to use this</t>
        </is>
      </c>
      <c r="I767" t="n">
        <v>0</v>
      </c>
      <c r="J767" t="n">
        <v>0.0333</v>
      </c>
      <c r="K767" t="n">
        <v>0.121</v>
      </c>
      <c r="L767" t="inlineStr">
        <is>
          <t>The `BibtexStringComparator` class is used to compare two instances of the `BibtexString` class based on their names. It takes into account whether to consider internal references when comparing the strings. The comparison method first compares the lowercase names of the strings using the `compareTo()` method, and then checks for any internal reference relationships between the strings. If there</t>
        </is>
      </c>
      <c r="M767" t="n">
        <v>0.0031</v>
      </c>
      <c r="N767" t="n">
        <v>0.0303</v>
      </c>
      <c r="O767" t="n">
        <v>0.0769</v>
      </c>
    </row>
    <row r="768">
      <c r="A768" t="inlineStr">
        <is>
          <t>jcabi</t>
        </is>
      </c>
      <c r="B768" t="inlineStr">
        <is>
          <t>src/main/java/com/jcabi/github/Blobs.java</t>
        </is>
      </c>
      <c r="C768">
        <f>HYPERLINK("https://github.com/jcabi/jcabi-github/blob/master/src/main/java/com/jcabi/github/Blobs.java")</f>
        <v/>
      </c>
      <c r="D768" t="inlineStr">
        <is>
          <t>This code defines an interface for interacting with GitHub's Git data blobs. The `Blobs` class provides methods to retrieve a specific blob by its SHA hash, as well as creating a new blob from a given string content and encoding. It also has a method to return the owner of the blobs, which in this case is a `Repo` object.</t>
        </is>
      </c>
      <c r="E768" t="n">
        <v>0.0036</v>
      </c>
      <c r="F768" t="n">
        <v>0.058</v>
      </c>
      <c r="G768" t="n">
        <v>0.07580000000000001</v>
      </c>
      <c r="H768" t="inlineStr">
        <is>
          <t>This Java package `com.jcabi.github` provides a set of classes for interacting with the GitHub API's Git data blobs endpoint. The main class in this package is `Blobs`, which represents a collection of all blobs in a given repository. It has several methods to retrieve individual blobs by their SHA hashes or to create new ones. Additionally</t>
        </is>
      </c>
      <c r="I768" t="n">
        <v>0.0033</v>
      </c>
      <c r="J768" t="n">
        <v>0.0299</v>
      </c>
      <c r="K768" t="n">
        <v>0.0391</v>
      </c>
      <c r="L768" t="inlineStr">
        <is>
          <t>The provided code defines a class named `Blobs` that represents a collection of objects representing Git data blobs. It belongs to the `com.jcabi.github` package and has several methods for interacting with the underlying API. The class is annotated with `@Immutable`, indicating that it is thread-safe and can be shared between threads without synchronization.</t>
        </is>
      </c>
      <c r="M768" t="n">
        <v>0.0035</v>
      </c>
      <c r="N768" t="n">
        <v>0.0312</v>
      </c>
      <c r="O768" t="n">
        <v>0.04</v>
      </c>
    </row>
    <row r="769">
      <c r="A769" t="inlineStr">
        <is>
          <t>jcabi</t>
        </is>
      </c>
      <c r="B769" t="inlineStr">
        <is>
          <t>src/main/java/com/jcabi/github/Trees.java</t>
        </is>
      </c>
      <c r="C769">
        <f>HYPERLINK("https://github.com/jcabi/jcabi-github/blob/master/src/main/java/com/jcabi/github/Trees.java")</f>
        <v/>
      </c>
      <c r="D769" t="inlineStr">
        <is>
          <t>The `Trees` class in this code represents a collection of methods for interacting with GitHub's Git data trees API. It provides several functions for retrieving and manipulating tree objects, including getting a specific tree by SHA hash, creating a new tree, and getting a recursive representation of a tree.
The `repo()` method returns the owner of the trees, which is</t>
        </is>
      </c>
      <c r="E769" t="n">
        <v>0.003</v>
      </c>
      <c r="F769" t="n">
        <v>0.08699999999999999</v>
      </c>
      <c r="G769" t="n">
        <v>0.1136</v>
      </c>
      <c r="H769" t="inlineStr">
        <is>
          <t>This is a Java library for working with GitHub's Git data trees. The library provides interfaces for interacting with the Trees API, which allows you to retrieve and manipulate trees in a Git repository.
The main class in this library is `Trees`, which represents a collection of trees that belong to a particular repository. You can use this class to retrieve individual trees based on their</t>
        </is>
      </c>
      <c r="I769" t="n">
        <v>0.0033</v>
      </c>
      <c r="J769" t="n">
        <v>0.0533</v>
      </c>
      <c r="K769" t="n">
        <v>0.1087</v>
      </c>
      <c r="L769" t="inlineStr">
        <is>
          <t>The code defines an interface for interacting with the GitHub API's "Git Data Trees" endpoint, which allows users to retrieve and manipulate trees within a repository. The interface provides methods for retrieving specific trees by their SHA hash, as well as creating new trees. Additionally, the interface includes comments describing the overall purpose of the code and providing links to relevant documentation.</t>
        </is>
      </c>
      <c r="M769" t="n">
        <v>0.0029</v>
      </c>
      <c r="N769" t="n">
        <v>0.0282</v>
      </c>
      <c r="O769" t="n">
        <v>0.0373</v>
      </c>
    </row>
    <row r="770">
      <c r="A770" t="inlineStr">
        <is>
          <t>jcabi</t>
        </is>
      </c>
      <c r="B770" t="inlineStr">
        <is>
          <t>src/main/java/com/jcabi/github/Repo.java</t>
        </is>
      </c>
      <c r="C770">
        <f>HYPERLINK("https://github.com/jcabi/jcabi-github/blob/master/src/main/java/com/jcabi/github/Repo.java")</f>
        <v/>
      </c>
      <c r="D770" t="inlineStr">
        <is>
          <t>The `Repo` class in this code represents a GitHub repository and provides methods for accessing various aspects of it, such as its owner, coordinates, issues, and milestones. It implements several interfaces, including `JsonReadable`, `JsonPatchable`, and `Comparable`.
The `github()` method returns the `GitHub` object that owns the repository</t>
        </is>
      </c>
      <c r="E770" t="n">
        <v>0.0046</v>
      </c>
      <c r="F770" t="n">
        <v>0.1091</v>
      </c>
      <c r="G770" t="n">
        <v>0.1261</v>
      </c>
      <c r="H770" t="inlineStr">
        <is>
          <t>This is a Java interface for interacting with a GitHub repository. It provides methods to access various information about the repository, such as its owner, coordinates, issues, and milestones. The interface also defines several other methods that allow you to perform operations on the repository, such as getting its contents or updating its metadata.
The interface is annotated with several Lombok annotations, including</t>
        </is>
      </c>
      <c r="I770" t="n">
        <v>0.0034</v>
      </c>
      <c r="J770" t="n">
        <v>0.0563</v>
      </c>
      <c r="K770" t="n">
        <v>0.0741</v>
      </c>
      <c r="L770" t="inlineStr">
        <is>
          <t>The provided code is a Java class that represents a GitHub repository. It has several methods for interacting with the repository, including getting its owner, coordinates, issues, and milestones. The class also implements various interfaces such as `JsonReadable`, `JsonPatchable`, and `Comparable`.
The overall functionality of the code can be summarized as follows:</t>
        </is>
      </c>
      <c r="M770" t="n">
        <v>0.0046</v>
      </c>
      <c r="N770" t="n">
        <v>0.0667</v>
      </c>
      <c r="O770" t="n">
        <v>0.121</v>
      </c>
    </row>
    <row r="771">
      <c r="A771" t="inlineStr">
        <is>
          <t>jcabi</t>
        </is>
      </c>
      <c r="B771" t="inlineStr">
        <is>
          <t>src/main/java/com/jcabi/github/GistComments.java</t>
        </is>
      </c>
      <c r="C771">
        <f>HYPERLINK("https://github.com/jcabi/jcabi-github/blob/master/src/main/java/com/jcabi/github/GistComments.java")</f>
        <v/>
      </c>
      <c r="D771" t="inlineStr">
        <is>
          <t>This is an implementation of the `GistComments` interface from the GitHub API. It provides methods to interact with comments on a specific gist.
The `GistComments` interface has three methods:
* `gist()` returns the `Gist` object that this set of comments belongs to.
* `get(number)` retrieves a single comment</t>
        </is>
      </c>
      <c r="E771" t="n">
        <v>0.0038</v>
      </c>
      <c r="F771" t="n">
        <v>0.0727</v>
      </c>
      <c r="G771" t="n">
        <v>0.0833</v>
      </c>
      <c r="H771" t="inlineStr">
        <is>
          <t>This is a Java library that provides a convenient way to interact with GitHub's Gist Comments API. It allows users to create, retrieve, update, and delete comments on a specific gist.
The library consists of one main class, `GistComments`, which has several methods for working with gist comments. These include:
* `Gist gist</t>
        </is>
      </c>
      <c r="I771" t="n">
        <v>0.0041</v>
      </c>
      <c r="J771" t="n">
        <v>0.06560000000000001</v>
      </c>
      <c r="K771" t="n">
        <v>0.16</v>
      </c>
      <c r="L771" t="inlineStr">
        <is>
          <t>This is a Java interface that represents a collection of GitHub Gist comments. It provides methods to retrieve individual comments by their number, as well as iterate over all comments. The interface also includes some basic metadata about the gist these comments belong to, such as the gist ID and the URL of the API endpoint used to create the object.</t>
        </is>
      </c>
      <c r="M771" t="n">
        <v>0.0036</v>
      </c>
      <c r="N771" t="n">
        <v>0.058</v>
      </c>
      <c r="O771" t="n">
        <v>0.1504</v>
      </c>
    </row>
    <row r="772">
      <c r="A772" t="inlineStr">
        <is>
          <t>jcabi</t>
        </is>
      </c>
      <c r="B772" t="inlineStr">
        <is>
          <t>src/main/java/com/jcabi/github/RtReaction.java</t>
        </is>
      </c>
      <c r="C772">
        <f>HYPERLINK("https://github.com/jcabi/jcabi-github/blob/master/src/main/java/com/jcabi/github/RtReaction.java")</f>
        <v/>
      </c>
      <c r="D772" t="inlineStr">
        <is>
          <t>This is a Java implementation of the `RtReaction` class, which provides a decorator pattern for the `Reaction` interface. The purpose of this class is to provide additional functionality to the original `Reaction` object without modifying its behavior.
The `RtReaction` class has one constructor that takes in a `Reaction` object as a parameter. It</t>
        </is>
      </c>
      <c r="E772" t="n">
        <v>0.0041</v>
      </c>
      <c r="F772" t="n">
        <v>0.0984</v>
      </c>
      <c r="G772" t="n">
        <v>0.12</v>
      </c>
      <c r="H772" t="inlineStr">
        <is>
          <t>The provided code is a Java implementation of a GitHub API client library called JCabi Github. It provides a set of classes that can be used to interact with the GitHub API, including authentication, issue management, pull request management, and more. The code is annotated with comments that explain its purpose and usage, and it includes unit tests to ensure correctness and coverage. Overall,</t>
        </is>
      </c>
      <c r="I772" t="n">
        <v>0.0028</v>
      </c>
      <c r="J772" t="n">
        <v>0.0556</v>
      </c>
      <c r="K772" t="n">
        <v>0.1103</v>
      </c>
      <c r="L772" t="inlineStr">
        <is>
          <t>The provided code is a Java implementation of a `RtReaction` class that decorates a `Reaction` object. It provides a simple way to handle different types of reactions by wrapping them in a single interface. The `RtReaction` class has a constructor that takes a `Reaction` object as input and stores it in an instance variable called `origin`. It</t>
        </is>
      </c>
      <c r="M772" t="n">
        <v>0.0032</v>
      </c>
      <c r="N772" t="n">
        <v>0.0615</v>
      </c>
      <c r="O772" t="n">
        <v>0.0775</v>
      </c>
    </row>
    <row r="773">
      <c r="A773" t="inlineStr">
        <is>
          <t>jcabi</t>
        </is>
      </c>
      <c r="B773" t="inlineStr">
        <is>
          <t>src/main/java/com/jcabi/github/Comments.java</t>
        </is>
      </c>
      <c r="C773">
        <f>HYPERLINK("https://github.com/jcabi/jcabi-github/blob/master/src/main/java/com/jcabi/github/Comments.java")</f>
        <v/>
      </c>
      <c r="D773" t="inlineStr">
        <is>
          <t>This is a Java interface that represents a collection of comments on an issue in GitHub. It provides methods to retrieve individual comments, iterate over all comments, and post new comments. The implementation of this interface uses the JCABI library for immutability and aspect-oriented programming.</t>
        </is>
      </c>
      <c r="E773" t="n">
        <v>0.0049</v>
      </c>
      <c r="F773" t="n">
        <v>0.1111</v>
      </c>
      <c r="G773" t="n">
        <v>0.1709</v>
      </c>
      <c r="H773" t="inlineStr">
        <is>
          <t>This is a Java library that provides a client for accessing the GitHub Issues Comments API. It allows users to interact with issues and their associated comments on GitHub.
The library consists of a single interface called `Comments` which has three methods:
* `issue()`: Returns the issue that these comments belong to.
* `get(number)`: Retrieves a</t>
        </is>
      </c>
      <c r="I773" t="n">
        <v>0.0039</v>
      </c>
      <c r="J773" t="n">
        <v>0.0635</v>
      </c>
      <c r="K773" t="n">
        <v>0.0781</v>
      </c>
      <c r="L773" t="inlineStr">
        <is>
          <t>This is a Java interface that represents a collection of comments related to a specific issue on GitHub. It provides methods to retrieve individual comments by their numbers, as well as iterate over all comments. The interface is annotated with the `@Immutable` annotation from the `com.jcabi.aspects` package, indicating that it is thread-safe and can be safely used across multiple</t>
        </is>
      </c>
      <c r="M773" t="n">
        <v>0.0037</v>
      </c>
      <c r="N773" t="n">
        <v>0.0571</v>
      </c>
      <c r="O773" t="n">
        <v>0.1145</v>
      </c>
    </row>
    <row r="774">
      <c r="A774" t="inlineStr">
        <is>
          <t>jcabi</t>
        </is>
      </c>
      <c r="B774" t="inlineStr">
        <is>
          <t>src/main/java/com/jcabi/github/RtPagination.java</t>
        </is>
      </c>
      <c r="C774">
        <f>HYPERLINK("https://github.com/jcabi/jcabi-github/blob/master/src/main/java/com/jcabi/github/RtPagination.java")</f>
        <v/>
      </c>
      <c r="D774" t="inlineStr">
        <is>
          <t>The `RtPagination` class provides a convenient way to iterate over multiple JSON objects returned by the GitHub API. It takes two parameters in its constructor - a request object and a mapping function that converts each JSON object into the desired type. The `RtPagination` class implements the `Iterable` interface, which means it can be used in a for loop to iterate</t>
        </is>
      </c>
      <c r="E774" t="n">
        <v>0.0036</v>
      </c>
      <c r="F774" t="n">
        <v>0.0294</v>
      </c>
      <c r="G774" t="n">
        <v>0.1128</v>
      </c>
      <c r="H774" t="inlineStr">
        <is>
          <t>The `RtPagination` class provides a convenient way to iterate over multiple JSON objects returned by the GitHub API. It takes in a request object and an optional mapping function as parameters in its constructor. The class then uses the request object to make HTTP requests to retrieve the next page of results when necessary. The `iterator()` method returns an instance of the `RtPage` class</t>
        </is>
      </c>
      <c r="I774" t="n">
        <v>0.0028</v>
      </c>
      <c r="J774" t="n">
        <v>0.0278</v>
      </c>
      <c r="K774" t="n">
        <v>0.0735</v>
      </c>
      <c r="L774" t="inlineStr">
        <is>
          <t>The `RtPagination` class provides a convenient way to iterate over multiple JSON objects returned by the GitHub API. It takes a request object as input and returns an iterable sequence of JSON objects. The class is designed to be used with the Notifications API, but it could potentially be used for other APIs as well.</t>
        </is>
      </c>
      <c r="M774" t="n">
        <v>0.0033</v>
      </c>
      <c r="N774" t="n">
        <v>0.0317</v>
      </c>
      <c r="O774" t="n">
        <v>0.07870000000000001</v>
      </c>
    </row>
    <row r="775">
      <c r="A775" t="inlineStr">
        <is>
          <t>jcabi</t>
        </is>
      </c>
      <c r="B775" t="inlineStr">
        <is>
          <t>src/main/java/com/jcabi/github/RepositoryStatistics.java</t>
        </is>
      </c>
      <c r="C775">
        <f>HYPERLINK("https://github.com/jcabi/jcabi-github/blob/master/src/main/java/com/jcabi/github/RepositoryStatistics.java")</f>
        <v/>
      </c>
      <c r="D775" t="inlineStr">
        <is>
          <t>This Java class `RepositoryStatistics` provides methods for retrieving various statistics about a GitHub repository. It uses the `Repo` object from the `com.jcabi.github` package to interact with the GitHub API. The class has one constructor that takes in a `Repo` object representing the repository, and it exposes several methods for retrieving different types of statistics.</t>
        </is>
      </c>
      <c r="E775" t="n">
        <v>0.004</v>
      </c>
      <c r="F775" t="n">
        <v>0.0625</v>
      </c>
      <c r="G775" t="n">
        <v>0.119</v>
      </c>
      <c r="H775" t="inlineStr">
        <is>
          <t>This Java class `RepositoryStatistics` represents the statistics for a GitHub repository. It has one constructor that takes in a `Repo` object representing the repository, and it provides a method called `toMap()` which returns a map of various statistics about the repository, such as its size, number of commits, and contributors. The implementation of this method uses the `json()` method of</t>
        </is>
      </c>
      <c r="I775" t="n">
        <v>0.0036</v>
      </c>
      <c r="J775" t="n">
        <v>0.0588</v>
      </c>
      <c r="K775" t="n">
        <v>0.1515</v>
      </c>
      <c r="L775" t="inlineStr">
        <is>
          <t>The `RepositoryStatistics` class provides access to various statistical data about a GitHub repository. It exposes methods for retrieving the number of stars, watchers, forks, commits, issues, pull requests, contributors, and other metrics related to the repository's activity. The class also includes a method for retrieving all statistics as a map, which can be useful for custom reporting</t>
        </is>
      </c>
      <c r="M775" t="n">
        <v>0.0032</v>
      </c>
      <c r="N775" t="n">
        <v>0.0303</v>
      </c>
      <c r="O775" t="n">
        <v>0.0775</v>
      </c>
    </row>
    <row r="776">
      <c r="A776" t="inlineStr">
        <is>
          <t>jcabi</t>
        </is>
      </c>
      <c r="B776" t="inlineStr">
        <is>
          <t>src/main/java/com/jcabi/github/RtPullComment.java</t>
        </is>
      </c>
      <c r="C776">
        <f>HYPERLINK("https://github.com/jcabi/jcabi-github/blob/master/src/main/java/com/jcabi/github/RtPullComment.java")</f>
        <v/>
      </c>
      <c r="D776" t="inlineStr">
        <is>
          <t>The `RtPullComment` class is a representation of a pull request comment on GitHub. It provides methods for retrieving information about the comment, such as its body and author, as well as updating the comment itself.
The constructor takes three arguments:
* `req`: An instance of the `Request` class from the `com.jcabi.http`</t>
        </is>
      </c>
      <c r="E776" t="n">
        <v>0.0036</v>
      </c>
      <c r="F776" t="n">
        <v>0.0333</v>
      </c>
      <c r="G776" t="n">
        <v>0.0407</v>
      </c>
      <c r="H776" t="inlineStr">
        <is>
          <t>This is a Java library for working with GitHub API. The `RtPullComment` class represents a single pull request comment on GitHub. It has several methods that allow you to retrieve information about the comment, update its content, or delete it.
The constructor takes three parameters:
* `req`: An instance of `Request`, which is used to make HTTP requests to</t>
        </is>
      </c>
      <c r="I776" t="n">
        <v>0.0031</v>
      </c>
      <c r="J776" t="n">
        <v>0.0303</v>
      </c>
      <c r="K776" t="n">
        <v>0.07630000000000001</v>
      </c>
      <c r="L776" t="inlineStr">
        <is>
          <t>The code defines a `RtPullComment` class that represents a GitHub pull comment. It is part of the JCabi Github library and provides methods for retrieving and manipulating pull comments.
The class has several fields, including `request`, which is used for making HTTP requests to the GitHub API, `owner`, which is the pull object that owns the comment</t>
        </is>
      </c>
      <c r="M776" t="n">
        <v>0.0032</v>
      </c>
      <c r="N776" t="n">
        <v>0.0308</v>
      </c>
      <c r="O776" t="n">
        <v>0.0775</v>
      </c>
    </row>
    <row r="777">
      <c r="A777" t="inlineStr">
        <is>
          <t>jcabi</t>
        </is>
      </c>
      <c r="B777" t="inlineStr">
        <is>
          <t>src/main/java/com/jcabi/github/Users.java</t>
        </is>
      </c>
      <c r="C777">
        <f>HYPERLINK("https://github.com/jcabi/jcabi-github/blob/master/src/main/java/com/jcabi/github/Users.java")</f>
        <v/>
      </c>
      <c r="D777" t="inlineStr">
        <is>
          <t>This is a Java class named `Users` that represents a collection of users on GitHub. It has several methods for retrieving or adding users to the collection, as well as accessing other relevant information such as the GitHub instance associated with the users and the current user (if any).
The main functionalities of this class include:
* Retrieving a specific user from the collection based</t>
        </is>
      </c>
      <c r="E777" t="n">
        <v>0.0033</v>
      </c>
      <c r="F777" t="n">
        <v>0.0556</v>
      </c>
      <c r="G777" t="n">
        <v>0.1095</v>
      </c>
      <c r="H777" t="inlineStr">
        <is>
          <t>This is a Java package called "com.jcabi.github" containing interfaces for interacting with the GitHub API. It includes several classes that implement these interfaces to provide access to various parts of the GitHub API, such as retrieving information about users, repositories, and issues.
The main class in this package is the "Users" interface, which provides methods for getting information about</t>
        </is>
      </c>
      <c r="I777" t="n">
        <v>0.0037</v>
      </c>
      <c r="J777" t="n">
        <v>0.08699999999999999</v>
      </c>
      <c r="K777" t="n">
        <v>0.1527</v>
      </c>
      <c r="L777" t="inlineStr">
        <is>
          <t>The provided code defines the `Users` interface for interacting with the GitHub API. It provides methods for retrieving a list of users, getting a specific user by their login, adding a new user, and iterating over a list of users. The interface is annotated with documentation and is marked as `@Immutable`, indicating that it cannot be modified after creation.</t>
        </is>
      </c>
      <c r="M777" t="n">
        <v>0.0031</v>
      </c>
      <c r="N777" t="n">
        <v>0.0299</v>
      </c>
      <c r="O777" t="n">
        <v>0.0382</v>
      </c>
    </row>
    <row r="778">
      <c r="A778" t="inlineStr">
        <is>
          <t>jcabi</t>
        </is>
      </c>
      <c r="B778" t="inlineStr">
        <is>
          <t>src/main/java/com/jcabi/github/JsonReadable.java</t>
        </is>
      </c>
      <c r="C778">
        <f>HYPERLINK("https://github.com/jcabi/jcabi-github/blob/master/src/main/java/com/jcabi/github/JsonReadable.java")</f>
        <v/>
      </c>
      <c r="D778" t="inlineStr">
        <is>
          <t>This code defines an interface called `JsonReadable` that provides a method for describing objects in a JSON format. The interface is annotated with `@Immutable`, indicating that instances of this class cannot be modified after they have been created. The `json()` method returns a `JsonObject` representation of the object, which can then be used to serialize the object into JSON format.</t>
        </is>
      </c>
      <c r="E778" t="n">
        <v>0.003</v>
      </c>
      <c r="F778" t="n">
        <v>0.0294</v>
      </c>
      <c r="G778" t="n">
        <v>0.07580000000000001</v>
      </c>
      <c r="H778" t="inlineStr">
        <is>
          <t>This code defines an interface called `JsonReadable` that provides a method for converting an object into a JSON object. The interface is annotated with `@Immutable`, indicating that it should be thread-safe and immutable. The implementation of this interface is responsible for providing a JSON representation of the object using the `json()` method. The method returns a `JsonObject` instance that represents</t>
        </is>
      </c>
      <c r="I778" t="n">
        <v>0.0036</v>
      </c>
      <c r="J778" t="n">
        <v>0.058</v>
      </c>
      <c r="K778" t="n">
        <v>0.1515</v>
      </c>
      <c r="L778" t="inlineStr">
        <is>
          <t>The code defines an interface called "JsonReadable" that represents a JSON-readable entity. It has one method, "json", which returns a JSON object representation of the entity. The class is annotated with the "@Immutable" annotation from the "com.jcabi.aspects" package, indicating that it is immutable. The code also imports the "jak</t>
        </is>
      </c>
      <c r="M778" t="n">
        <v>0</v>
      </c>
      <c r="N778" t="n">
        <v>0</v>
      </c>
      <c r="O778" t="n">
        <v>0</v>
      </c>
    </row>
    <row r="779">
      <c r="A779" t="inlineStr">
        <is>
          <t>jcabi</t>
        </is>
      </c>
      <c r="B779" t="inlineStr">
        <is>
          <t>src/main/java/com/jcabi/github/RtHook.java</t>
        </is>
      </c>
      <c r="C779">
        <f>HYPERLINK("https://github.com/jcabi/jcabi-github/blob/master/src/main/java/com/jcabi/github/RtHook.java")</f>
        <v/>
      </c>
      <c r="D779" t="inlineStr">
        <is>
          <t>The `RtHook` class is a Java implementation of the GitHub API's `Hook` interface, which represents a webhook for a specific repository. It provides methods to retrieve information about the hook, such as its ID, URL, and events it triggers.
The constructor takes three parameters:
* `req`: An instance of the `Request` class from</t>
        </is>
      </c>
      <c r="E779" t="n">
        <v>0.0035</v>
      </c>
      <c r="F779" t="n">
        <v>0.06560000000000001</v>
      </c>
      <c r="G779" t="n">
        <v>0.08</v>
      </c>
      <c r="H779" t="inlineStr">
        <is>
          <t>This is a Java project that uses Lombok to generate getters, setters, and constructors for classes. The main class, `RtHook`, extends the `Hook` interface from the `com.jcabi.github` package and provides a basic implementation of the `get()` method. It also has several annotations, including `@Immutable`, `@Loggable`,</t>
        </is>
      </c>
      <c r="I779" t="n">
        <v>0.0049</v>
      </c>
      <c r="J779" t="n">
        <v>0.0727</v>
      </c>
      <c r="K779" t="n">
        <v>0.1709</v>
      </c>
      <c r="L779" t="inlineStr">
        <is>
          <t>The code defines a `RtHook` class that represents a GitHub hook object. It is part of the `com.jcabi.github` package and is used for interacting with GitHub API endpoints related to hooks.
The class has three fields:
* `request`: An instance of `Request`, which is used for making HTTP requests to the GitHub</t>
        </is>
      </c>
      <c r="M779" t="n">
        <v>0.0035</v>
      </c>
      <c r="N779" t="n">
        <v>0.0328</v>
      </c>
      <c r="O779" t="n">
        <v>0.0806</v>
      </c>
    </row>
    <row r="780">
      <c r="A780" t="inlineStr">
        <is>
          <t>jcabi</t>
        </is>
      </c>
      <c r="B780" t="inlineStr">
        <is>
          <t>src/main/java/com/jcabi/github/Checks.java</t>
        </is>
      </c>
      <c r="C780">
        <f>HYPERLINK("https://github.com/jcabi/jcabi-github/blob/master/src/main/java/com/jcabi/github/Checks.java")</f>
        <v/>
      </c>
      <c r="D780" t="inlineStr">
        <is>
          <t>This code defines an interface for working with GitHub checks in Java using the JCabi library. The `Checks` interface provides methods to retrieve information about all checks associated with a repository or pull request, as well as methods to create new check runs and update existing ones. It also includes documentation comments that provide information about the purpose and usage of each method.</t>
        </is>
      </c>
      <c r="E780" t="n">
        <v>0.0034</v>
      </c>
      <c r="F780" t="n">
        <v>0.0563</v>
      </c>
      <c r="G780" t="n">
        <v>0.1111</v>
      </c>
      <c r="H780" t="inlineStr">
        <is>
          <t>This code defines an interface called `Checks` that represents a collection of check objects in GitHub's REST API. The interface has one method, `all()`, which returns a collection of `Check` objects. The `Check` class is not defined within this file, but it is assumed to be another interface or class that represents a single check object.
The README provides</t>
        </is>
      </c>
      <c r="I780" t="n">
        <v>0.0031</v>
      </c>
      <c r="J780" t="n">
        <v>0.0294</v>
      </c>
      <c r="K780" t="n">
        <v>0.0382</v>
      </c>
      <c r="L780" t="inlineStr">
        <is>
          <t>The code defines an interface called "Checks" that represents a collection of check runs for a GitHub repository. It provides methods for retrieving all check runs associated with a repository. The interface is annotated with documentation that includes links to the relevant GitHub REST API endpoints and references existing comments and commits related to the implementation.</t>
        </is>
      </c>
      <c r="M780" t="n">
        <v>0.0033</v>
      </c>
      <c r="N780" t="n">
        <v>0.0312</v>
      </c>
      <c r="O780" t="n">
        <v>0.0781</v>
      </c>
    </row>
    <row r="781">
      <c r="A781" t="inlineStr">
        <is>
          <t>jcabi</t>
        </is>
      </c>
      <c r="B781" t="inlineStr">
        <is>
          <t>src/main/java/com/jcabi/github/Comment.java</t>
        </is>
      </c>
      <c r="C781">
        <f>HYPERLINK("https://github.com/jcabi/jcabi-github/blob/master/src/main/java/com/jcabi/github/Comment.java")</f>
        <v/>
      </c>
      <c r="D781" t="inlineStr">
        <is>
          <t>The provided Java code defines a class called `IssueComment` that represents a comment on an issue in GitHub. It is part of the `com.jcabi.github` package.
The `IssueComment` class has several important methods:
* `json()`: Returns the comment as a JSON object. This method is implemented using the `@JsonRead</t>
        </is>
      </c>
      <c r="E781" t="n">
        <v>0.0038</v>
      </c>
      <c r="F781" t="n">
        <v>0.0702</v>
      </c>
      <c r="G781" t="n">
        <v>0.125</v>
      </c>
      <c r="H781" t="inlineStr">
        <is>
          <t>This is a Java package named `com.jcabi.github` containing classes for working with GitHub issues and comments. The package includes several classes, including `Issue`, `Comment`, and `Label`. These classes implement various interfaces such as `JsonReadable`, `JsonWritable`, and `Smart` to provide additional functionality.
The main class in this</t>
        </is>
      </c>
      <c r="I781" t="n">
        <v>0.0048</v>
      </c>
      <c r="J781" t="n">
        <v>0.1071</v>
      </c>
      <c r="K781" t="n">
        <v>0.1695</v>
      </c>
      <c r="L781" t="inlineStr">
        <is>
          <t>The provided code is part of a Java package for working with GitHub issues and comments. It defines a class called `IssueComment` that represents a single comment on a GitHub issue. The class has several methods for retrieving information about the comment, such as its ID, text content, creation date, and user who made the comment. Additionally, it also provides methods for updating and deleting</t>
        </is>
      </c>
      <c r="M781" t="n">
        <v>0.0028</v>
      </c>
      <c r="N781" t="n">
        <v>0.0274</v>
      </c>
      <c r="O781" t="n">
        <v>0.073</v>
      </c>
    </row>
    <row r="782">
      <c r="A782" t="inlineStr">
        <is>
          <t>jcabi</t>
        </is>
      </c>
      <c r="B782" t="inlineStr">
        <is>
          <t>src/main/java/com/jcabi/github/Tag.java</t>
        </is>
      </c>
      <c r="C782">
        <f>HYPERLINK("https://github.com/jcabi/jcabi-github/blob/master/src/main/java/com/jcabi/github/Tag.java")</f>
        <v/>
      </c>
      <c r="D782" t="inlineStr">
        <is>
          <t>The provided code defines an interface called `Tag` that represents a tag in a Git repository on GitHub. It has two main methods:
* `repo()` returns the owner repository object.
* `key()` returns the SHA hash of the tag.
The class is annotated with `@Immutable`, which means it cannot be modified after creation. Additionally, it implements the</t>
        </is>
      </c>
      <c r="E782" t="n">
        <v>0.0032</v>
      </c>
      <c r="F782" t="n">
        <v>0.0317</v>
      </c>
      <c r="G782" t="n">
        <v>0.0388</v>
      </c>
      <c r="H782" t="inlineStr">
        <is>
          <t>This is Java code for a class called "Tag" that belongs to the "com.jcabi.github" package. The class implements the "JsonReadable" interface and has three methods:
* `repo()` returns the owner repo object.
* `key()` returns the tag's SHA value as a string.
* `toString()` returns a JSON representation</t>
        </is>
      </c>
      <c r="I782" t="n">
        <v>0.005</v>
      </c>
      <c r="J782" t="n">
        <v>0.1071</v>
      </c>
      <c r="K782" t="n">
        <v>0.125</v>
      </c>
      <c r="L782" t="inlineStr">
        <is>
          <t>The code defines a Java class called "Tag" that represents a tag in a GitHub repository. It is part of the JCabi Github library and is annotated with the necessary metadata for licensing and versioning. The class has two methods, "repo()" which returns the owner repository object and "key()" which returns the SHA hash of the tag. Additionally, the class</t>
        </is>
      </c>
      <c r="M782" t="n">
        <v>0.003</v>
      </c>
      <c r="N782" t="n">
        <v>0.0294</v>
      </c>
      <c r="O782" t="n">
        <v>0.07580000000000001</v>
      </c>
    </row>
    <row r="783">
      <c r="A783" t="inlineStr">
        <is>
          <t>jcabi</t>
        </is>
      </c>
      <c r="B783" t="inlineStr">
        <is>
          <t>src/main/java/com/jcabi/github/CommitsComparison.java</t>
        </is>
      </c>
      <c r="C783">
        <f>HYPERLINK("https://github.com/jcabi/jcabi-github/blob/master/src/main/java/com/jcabi/github/CommitsComparison.java")</f>
        <v/>
      </c>
      <c r="D783" t="inlineStr">
        <is>
          <t>This code defines an interface for comparing two GitHub commits using the `com.jcabi.github` library. The interface provides methods to access the parent repository, iterate over the file changes between the two commits, and retrieve the JSON representation of the comparison result.
The implementation of this interface uses Lombok's `@Immutable`, `@Loggable`, and `@ToString` annotations to</t>
        </is>
      </c>
      <c r="E783" t="n">
        <v>0.004</v>
      </c>
      <c r="F783" t="n">
        <v>0.09229999999999999</v>
      </c>
      <c r="G783" t="n">
        <v>0.1587</v>
      </c>
      <c r="H783" t="inlineStr">
        <is>
          <t>This code defines a Java class called `CommitsComparison` that implements the `JsonReadable` interface from the `com.jcabi.github` package. The class has several methods, including one to get the parent repository of commits, another to iterate over the file changes between the two commits being compared, and another to get the total number of file changes.
The</t>
        </is>
      </c>
      <c r="I783" t="n">
        <v>0.0044</v>
      </c>
      <c r="J783" t="n">
        <v>0.09229999999999999</v>
      </c>
      <c r="K783" t="n">
        <v>0.1181</v>
      </c>
      <c r="L783" t="inlineStr">
        <is>
          <t>The code defines an interface for comparing two GitHub commits using the JCABI library. It provides methods for retrieving information about the commits, such as their parent repositories and file changes. The interface also allows iteration over the file changes between the two commits.</t>
        </is>
      </c>
      <c r="M783" t="n">
        <v>0.0042</v>
      </c>
      <c r="N783" t="n">
        <v>0.0385</v>
      </c>
      <c r="O783" t="n">
        <v>0.0862</v>
      </c>
    </row>
    <row r="784">
      <c r="A784" t="inlineStr">
        <is>
          <t>jcabi</t>
        </is>
      </c>
      <c r="B784" t="inlineStr">
        <is>
          <t>src/main/java/com/jcabi/github/UserOrganizations.java</t>
        </is>
      </c>
      <c r="C784">
        <f>HYPERLINK("https://github.com/jcabi/jcabi-github/blob/master/src/main/java/com/jcabi/github/UserOrganizations.java")</f>
        <v/>
      </c>
      <c r="D784" t="inlineStr">
        <is>
          <t>This code defines an interface called `UserOrganizations` that represents a collection of organizations associated with a specific GitHub user. The interface provides methods to access the GitHub instance, the user who owns the organization, and an iterator over all the organizations associated with the user. The implementation of this interface uses the GitHub API to retrieve information about the organizations and their memberships.</t>
        </is>
      </c>
      <c r="E784" t="n">
        <v>0.0034</v>
      </c>
      <c r="F784" t="n">
        <v>0.08450000000000001</v>
      </c>
      <c r="G784" t="n">
        <v>0.1481</v>
      </c>
      <c r="H784" t="inlineStr">
        <is>
          <t>This code defines a Java class called `UserOrganizations` that represents a collection of organizations associated with a specific GitHub user. The class has several methods to interact with the GitHub API, including `iterate()`, which returns an iterator over all the organizations associated with the user. The class also includes getters for accessing the `GitHub` instance and the `User` object representing the user.</t>
        </is>
      </c>
      <c r="I784" t="n">
        <v>0.0035</v>
      </c>
      <c r="J784" t="n">
        <v>0.0571</v>
      </c>
      <c r="K784" t="n">
        <v>0.0746</v>
      </c>
      <c r="L784" t="inlineStr">
        <is>
          <t>The provided code defines an interface called `UserOrganizations` that represents the organizations of a GitHub user. It provides methods to access the GitHub instance associated with the user, as well as methods to retrieve the user itself and iterate over the organizations.</t>
        </is>
      </c>
      <c r="M784" t="n">
        <v>0.0044</v>
      </c>
      <c r="N784" t="n">
        <v>0.04</v>
      </c>
      <c r="O784" t="n">
        <v>0.0439</v>
      </c>
    </row>
    <row r="785">
      <c r="A785" t="inlineStr">
        <is>
          <t>jcabi</t>
        </is>
      </c>
      <c r="B785" t="inlineStr">
        <is>
          <t>src/main/java/com/jcabi/github/Gist.java</t>
        </is>
      </c>
      <c r="C785">
        <f>HYPERLINK("https://github.com/jcabi/jcabi-github/blob/master/src/main/java/com/jcabi/github/Gist.java")</f>
        <v/>
      </c>
      <c r="D785" t="inlineStr">
        <is>
          <t>This code defines an interface for interacting with a GitHub Gist object. The interface provides methods to retrieve information about the Gist, such as its ID, files, and comments, as well as methods to modify the Gist, such as adding or removing files.
The interface is annotated with several Lombok annotations, including `@Immutable`, which indicates that instances of this class</t>
        </is>
      </c>
      <c r="E785" t="n">
        <v>0.0036</v>
      </c>
      <c r="F785" t="n">
        <v>0.0588</v>
      </c>
      <c r="G785" t="n">
        <v>0.1136</v>
      </c>
      <c r="H785" t="inlineStr">
        <is>
          <t>This repository contains Java classes that implement the functionality of a GitHub gist. The `Gist` interface defines methods for reading and writing gist files, as well as retrieving information about the gist itself. The implementation of this interface uses Lombok annotations to generate getters and setters for its fields, and also includes some additional logic for handling JSON data. Overall, this code</t>
        </is>
      </c>
      <c r="I785" t="n">
        <v>0.0039</v>
      </c>
      <c r="J785" t="n">
        <v>0.1429</v>
      </c>
      <c r="K785" t="n">
        <v>0.1866</v>
      </c>
      <c r="L785" t="inlineStr">
        <is>
          <t>The code defines a class called "Gist" that represents a GitHub gist. It implements several interfaces, including "JsonReadable", "JsonPatchable", and "JsonObject". The class has several methods for reading and manipulating the contents of the gist, such as "readFileContent()", "getFiles()", and "update()". Additionally, it includes several</t>
        </is>
      </c>
      <c r="M785" t="n">
        <v>0.0049</v>
      </c>
      <c r="N785" t="n">
        <v>0.0755</v>
      </c>
      <c r="O785" t="n">
        <v>0.08550000000000001</v>
      </c>
    </row>
    <row r="786">
      <c r="A786" t="inlineStr">
        <is>
          <t>jcabi</t>
        </is>
      </c>
      <c r="B786" t="inlineStr">
        <is>
          <t>src/main/java/com/jcabi/github/UserEmails.java</t>
        </is>
      </c>
      <c r="C786">
        <f>HYPERLINK("https://github.com/jcabi/jcabi-github/blob/master/src/main/java/com/jcabi/github/UserEmails.java")</f>
        <v/>
      </c>
      <c r="D786" t="inlineStr">
        <is>
          <t>This code defines an interface for working with a user's email addresses in GitHub. The interface provides methods to retrieve a list of all email addresses associated with the user, as well as methods to add or remove specific email addresses from the list. It also includes annotations for immutability and documentation comments for each method.</t>
        </is>
      </c>
      <c r="E786" t="n">
        <v>0.0039</v>
      </c>
      <c r="F786" t="n">
        <v>0.0615</v>
      </c>
      <c r="G786" t="n">
        <v>0.1172</v>
      </c>
      <c r="H786" t="inlineStr">
        <is>
          <t>This Java package `com.jcabi.github` provides an implementation of the `UserEmails` interface, which represents a collection of email addresses associated with a GitHub user account. The class has three methods:
* `iterate()` returns an iterable sequence of strings representing the email addresses in the collection.
* `add(Iterable&lt;String&gt; emails)` adds</t>
        </is>
      </c>
      <c r="I786" t="n">
        <v>0.0038</v>
      </c>
      <c r="J786" t="n">
        <v>0.06900000000000001</v>
      </c>
      <c r="K786" t="n">
        <v>0.0833</v>
      </c>
      <c r="L786" t="inlineStr">
        <is>
          <t>The provided code defines a Java class called "UserEmails" that represents a collection of email addresses associated with a GitHub user account. It implements the "JsonReadable" interface and provides methods for iterating over the emails, adding new ones, and removing existing ones. The class is annotated with the "Immutable" annotation from the "com.jcabi.aspects</t>
        </is>
      </c>
      <c r="M786" t="n">
        <v>0.0041</v>
      </c>
      <c r="N786" t="n">
        <v>0.0635</v>
      </c>
      <c r="O786" t="n">
        <v>0.08</v>
      </c>
    </row>
    <row r="787">
      <c r="A787" t="inlineStr">
        <is>
          <t>jcabi</t>
        </is>
      </c>
      <c r="B787" t="inlineStr">
        <is>
          <t>src/main/java/com/jcabi/github/IssueLabels.java</t>
        </is>
      </c>
      <c r="C787">
        <f>HYPERLINK("https://github.com/jcabi/jcabi-github/blob/master/src/main/java/com/jcabi/github/IssueLabels.java")</f>
        <v/>
      </c>
      <c r="D787" t="inlineStr">
        <is>
          <t>This code defines an interface for working with labels on issues in GitHub using the JCabi Github library. It provides methods for adding new labels, retrieving all existing labels, and removing specific labels from an issue. The implementation of this interface is immutable, meaning that it cannot be modified after creation. Additionally, it includes logging capabilities via the Lombok annotation.</t>
        </is>
      </c>
      <c r="E787" t="n">
        <v>0.0036</v>
      </c>
      <c r="F787" t="n">
        <v>0.0588</v>
      </c>
      <c r="G787" t="n">
        <v>0.1515</v>
      </c>
      <c r="H787" t="inlineStr">
        <is>
          <t>This Java package `com.jcabi.github` defines a class called `IssueLabels`, which represents a collection of labels associated with a specific issue on GitHub. It provides methods for adding, removing, and listing labels, as well as retrieving information about the issue itself. The implementation uses Lombok annotations for immutability and logging purposes, and it follows the S</t>
        </is>
      </c>
      <c r="I787" t="n">
        <v>0.004</v>
      </c>
      <c r="J787" t="n">
        <v>0.09229999999999999</v>
      </c>
      <c r="K787" t="n">
        <v>0.1575</v>
      </c>
      <c r="L787" t="inlineStr">
        <is>
          <t>This code defines an interface for working with GitHub labels in Java. It provides methods for retrieving the labels associated with an issue, adding new labels, and removing existing ones. The interface is annotated with various Lombok annotations that provide additional metadata about the class, such as immutability and loggability.</t>
        </is>
      </c>
      <c r="M787" t="n">
        <v>0.0044</v>
      </c>
      <c r="N787" t="n">
        <v>0.06900000000000001</v>
      </c>
      <c r="O787" t="n">
        <v>0.123</v>
      </c>
    </row>
    <row r="788">
      <c r="A788" t="inlineStr">
        <is>
          <t>jcabi</t>
        </is>
      </c>
      <c r="B788" t="inlineStr">
        <is>
          <t>src/main/java/com/jcabi/github/Fork.java</t>
        </is>
      </c>
      <c r="C788">
        <f>HYPERLINK("https://github.com/jcabi/jcabi-github/blob/master/src/main/java/com/jcabi/github/Fork.java")</f>
        <v/>
      </c>
      <c r="D788" t="inlineStr">
        <is>
          <t>The `Smart` class is a decorator for the `Fork` interface that adds additional features to it. It encapsulates a `Fork` object and provides methods to access its attributes and perform operations on it.
The `Smart` class has several responsibilities:
* It provides getters for the `id`, `url`, and `</t>
        </is>
      </c>
      <c r="E788" t="n">
        <v>0.0037</v>
      </c>
      <c r="F788" t="n">
        <v>0.0364</v>
      </c>
      <c r="G788" t="n">
        <v>0.0413</v>
      </c>
      <c r="H788" t="inlineStr">
        <is>
          <t>The provided code is a Java implementation of a smart fork object that provides additional features compared to a basic fork object. It encapsulates a basic fork object and adds some extra methods for implementing core algorithms.</t>
        </is>
      </c>
      <c r="I788" t="n">
        <v>0.006</v>
      </c>
      <c r="J788" t="n">
        <v>0.08890000000000001</v>
      </c>
      <c r="K788" t="n">
        <v>0.2345</v>
      </c>
      <c r="L788" t="inlineStr">
        <is>
          <t>The provided code is for a Java implementation of a smart fork that provides additional features over the standard fork object. It defines a new type called `SmartFork` that encapsulates a `Fork` object and adds some extra methods to interact with it. The `SmartFork` type has three constructors, one of which takes a `Fork` object as</t>
        </is>
      </c>
      <c r="M788" t="n">
        <v>0.0033</v>
      </c>
      <c r="N788" t="n">
        <v>0.0625</v>
      </c>
      <c r="O788" t="n">
        <v>0.0781</v>
      </c>
    </row>
    <row r="789">
      <c r="A789" t="inlineStr">
        <is>
          <t>jcabi</t>
        </is>
      </c>
      <c r="B789" t="inlineStr">
        <is>
          <t>src/main/java/com/jcabi/github/RtGists.java</t>
        </is>
      </c>
      <c r="C789">
        <f>HYPERLINK("https://github.com/jcabi/jcabi-github/blob/master/src/main/java/com/jcabi/github/RtGists.java")</f>
        <v/>
      </c>
      <c r="D789" t="inlineStr">
        <is>
          <t>The `RtGists` class is a part of the JCABI library for working with GitHub APIs. It provides methods to interact with GitHub gists.
The class has several responsibilities:
* It defines the `entry` field as an instance of the `Request` interface, which represents an HTTP request.
* It defines the `ghub`</t>
        </is>
      </c>
      <c r="E789" t="n">
        <v>0</v>
      </c>
      <c r="F789" t="n">
        <v>0</v>
      </c>
      <c r="G789" t="n">
        <v>0.0407</v>
      </c>
      <c r="H789" t="inlineStr">
        <is>
          <t>This is a Java library for interacting with the GitHub API. It provides classes for working with various aspects of GitHub, such as repositories, issues, pull requests, and users. The library uses the `com.jcabi` package namespace and is designed to be used in conjunction with other libraries from the same ecosystem, such as `com.jcabi.aspect</t>
        </is>
      </c>
      <c r="I789" t="n">
        <v>0.004</v>
      </c>
      <c r="J789" t="n">
        <v>0.0615</v>
      </c>
      <c r="K789" t="n">
        <v>0.119</v>
      </c>
      <c r="L789" t="inlineStr">
        <is>
          <t>The provided code is part of a Java library for interacting with the GitHub API. It appears to be a class that represents a collection of GitHub gists, called `RtGists`. The class has several fields and methods related to retrieving and manipulating gist data, as well as some annotations indicating that it is thread-safe and loggable.</t>
        </is>
      </c>
      <c r="M789" t="n">
        <v>0.0033</v>
      </c>
      <c r="N789" t="n">
        <v>0.0308</v>
      </c>
      <c r="O789" t="n">
        <v>0.1172</v>
      </c>
    </row>
    <row r="790">
      <c r="A790" t="inlineStr">
        <is>
          <t>jcabi</t>
        </is>
      </c>
      <c r="B790" t="inlineStr">
        <is>
          <t>src/main/java/com/jcabi/github/ThreadSubscription.java</t>
        </is>
      </c>
      <c r="C790">
        <f>HYPERLINK("https://github.com/jcabi/jcabi-github/blob/master/src/main/java/com/jcabi/github/ThreadSubscription.java")</f>
        <v/>
      </c>
      <c r="D790" t="inlineStr">
        <is>
          <t>This is a Java interface that defines a class called `ThreadSubscription`. The interface provides methods for getting and setting subscription information related to a specific thread on the GitHub notification system. It includes several attributes such as `subscribed`, `ignored`, `createdAt`, `url`, and `threadUrl` which are used to store information about the subscription status and other details.</t>
        </is>
      </c>
      <c r="E790" t="n">
        <v>0.0039</v>
      </c>
      <c r="F790" t="n">
        <v>0.0625</v>
      </c>
      <c r="G790" t="n">
        <v>0.1172</v>
      </c>
      <c r="H790" t="inlineStr">
        <is>
          <t>This is a Java package that provides an interface for interacting with the GitHub Notification API's "Get a Thread Subscription" and "Set a Thread Subscription" endpoints. The interface defines methods for retrieving and modifying information about a user's subscription status on a specific notification thread. It also includes comments describing the implementation of core algorithms and the complexity of the code.</t>
        </is>
      </c>
      <c r="I790" t="n">
        <v>0.0039</v>
      </c>
      <c r="J790" t="n">
        <v>0.1127</v>
      </c>
      <c r="K790" t="n">
        <v>0.1504</v>
      </c>
      <c r="L790" t="inlineStr">
        <is>
          <t>The code defines an interface called `ThreadSubscription` that encapsulates data from the response for get/set subscription calls to the GitHub Notification API. It is part of the `com.jcabi.github` package and has been annotated with license information and documentation links. The interface itself does not contain any methods or fields, but it provides type definitions for the expected input</t>
        </is>
      </c>
      <c r="M790" t="n">
        <v>0.0031</v>
      </c>
      <c r="N790" t="n">
        <v>0.029</v>
      </c>
      <c r="O790" t="n">
        <v>0.0769</v>
      </c>
    </row>
    <row r="791">
      <c r="A791" t="inlineStr">
        <is>
          <t>jcabi</t>
        </is>
      </c>
      <c r="B791" t="inlineStr">
        <is>
          <t>src/main/java/com/jcabi/github/Reaction.java</t>
        </is>
      </c>
      <c r="C791">
        <f>HYPERLINK("https://github.com/jcabi/jcabi-github/blob/master/src/main/java/com/jcabi/github/Reaction.java")</f>
        <v/>
      </c>
      <c r="D791" t="inlineStr">
        <is>
          <t>This is a Java class that represents a reaction on an issue or comment in GitHub. It provides constants for different types of reactions, such as thumbs up, thumbs down, laugh, confused, and heart. It also has methods for getting and setting the type of reaction, as well as checking whether a user has reacted with a certain emoji.</t>
        </is>
      </c>
      <c r="E791" t="n">
        <v>0.0037</v>
      </c>
      <c r="F791" t="n">
        <v>0.0597</v>
      </c>
      <c r="G791" t="n">
        <v>0.07630000000000001</v>
      </c>
      <c r="H791" t="inlineStr">
        <is>
          <t>This is Java code that implements the `Reaction` interface from the GitHub API. It provides constants for different types of reactions, such as thumbs up, thumbs down, laugh, confused, and heart. The class also has methods for creating and deleting reactions on various entities in GitHub, including issues, comments, pull requests, and commits.</t>
        </is>
      </c>
      <c r="I791" t="n">
        <v>0.0045</v>
      </c>
      <c r="J791" t="n">
        <v>0.0984</v>
      </c>
      <c r="K791" t="n">
        <v>0.12</v>
      </c>
      <c r="L791" t="inlineStr">
        <is>
          <t>A Java class that represents a reaction for an issue or comment on GitHub. It provides constants for common reactions such as thumbs up, thumbs down, laugh, confused, and heart.</t>
        </is>
      </c>
      <c r="M791" t="n">
        <v>0.0062</v>
      </c>
      <c r="N791" t="n">
        <v>0.0526</v>
      </c>
      <c r="O791" t="n">
        <v>0.049</v>
      </c>
    </row>
    <row r="792">
      <c r="A792" t="inlineStr">
        <is>
          <t>jcabi</t>
        </is>
      </c>
      <c r="B792" t="inlineStr">
        <is>
          <t>src/main/java/com/jcabi/github/Stars.java</t>
        </is>
      </c>
      <c r="C792">
        <f>HYPERLINK("https://github.com/jcabi/jcabi-github/blob/master/src/main/java/com/jcabi/github/Stars.java")</f>
        <v/>
      </c>
      <c r="D792" t="inlineStr">
        <is>
          <t>This code defines an interface for interacting with the GitHub starring API. The `Stars` class provides methods to check if a repository is starred, star or unstar it, and get the owner of the repository. It also has annotations indicating that it is immutable and follows the MIT license.</t>
        </is>
      </c>
      <c r="E792" t="n">
        <v>0.0045</v>
      </c>
      <c r="F792" t="n">
        <v>0.0702</v>
      </c>
      <c r="G792" t="n">
        <v>0.08260000000000001</v>
      </c>
      <c r="H792" t="inlineStr">
        <is>
          <t>This Java package `com.jcabi.github` provides an implementation of the GitHub starring API using JCABI library. The package consists of one class called `Stars`, which exposes methods for checking if a repository is starred, starring or unstarring it. The class also has getter methods to retrieve the owner of the repository and its associated Repo</t>
        </is>
      </c>
      <c r="I792" t="n">
        <v>0.004</v>
      </c>
      <c r="J792" t="n">
        <v>0.09379999999999999</v>
      </c>
      <c r="K792" t="n">
        <v>0.1587</v>
      </c>
      <c r="L792" t="inlineStr">
        <is>
          <t>The provided code defines an interface for interacting with the GitHub starring API. It provides methods for checking whether a repository is starred, starring a repository, and unstarring a repository. The interface is annotated with the `@Immutable` annotation from the `com.jcabi.aspects` package, indicating that it is immutable and thread-safe. The</t>
        </is>
      </c>
      <c r="M792" t="n">
        <v>0.0037</v>
      </c>
      <c r="N792" t="n">
        <v>0.0328</v>
      </c>
      <c r="O792" t="n">
        <v>0.041</v>
      </c>
    </row>
    <row r="793">
      <c r="A793" t="inlineStr">
        <is>
          <t>jcabi</t>
        </is>
      </c>
      <c r="B793" t="inlineStr">
        <is>
          <t>src/main/java/com/jcabi/github/RtIssue.java</t>
        </is>
      </c>
      <c r="C793">
        <f>HYPERLINK("https://github.com/jcabi/jcabi-github/blob/master/src/main/java/com/jcabi/github/RtIssue.java")</f>
        <v/>
      </c>
      <c r="D793" t="inlineStr">
        <is>
          <t>This is a Java implementation of the `Issue` interface from the `com.jcabi.github` package. It represents a single GitHub issue and provides methods for accessing and manipulating its data. The class has several responsibilities, including:
* Implementing the `Issue` interface, which defines the behavior of a GitHub issue.
* Prov</t>
        </is>
      </c>
      <c r="E793" t="n">
        <v>0.0045</v>
      </c>
      <c r="F793" t="n">
        <v>0.1053</v>
      </c>
      <c r="G793" t="n">
        <v>0.124</v>
      </c>
      <c r="H793" t="inlineStr">
        <is>
          <t>The provided Java code defines a class called `RtIssue` that represents a GitHub issue. It is part of the `com.jcabi.github` package and extends the `Issue` interface from the same package.
The constructor takes three parameters:
* `entry`: An instance of the `Request` class representing the API entry point for making</t>
        </is>
      </c>
      <c r="I793" t="n">
        <v>0.0037</v>
      </c>
      <c r="J793" t="n">
        <v>0.0339</v>
      </c>
      <c r="K793" t="n">
        <v>0.082</v>
      </c>
      <c r="L793" t="inlineStr">
        <is>
          <t>The provided code is part of a Java library for interacting with the GitHub API. It defines a `RtIssue` class that represents a single GitHub issue.
The class has several responsibilities:
* It provides methods for retrieving information about the issue from the GitHub API, such as its title, body, labels, comments, etc.
* It</t>
        </is>
      </c>
      <c r="M793" t="n">
        <v>0</v>
      </c>
      <c r="N793" t="n">
        <v>0</v>
      </c>
      <c r="O793" t="n">
        <v>0.0394</v>
      </c>
    </row>
    <row r="794">
      <c r="A794" t="inlineStr">
        <is>
          <t>jcabi</t>
        </is>
      </c>
      <c r="B794" t="inlineStr">
        <is>
          <t>src/main/java/com/jcabi/github/FromProperties.java</t>
        </is>
      </c>
      <c r="C794">
        <f>HYPERLINK("https://github.com/jcabi/jcabi-github/blob/master/src/main/java/com/jcabi/github/FromProperties.java")</f>
        <v/>
      </c>
      <c r="D794" t="inlineStr">
        <is>
          <t>The `FromProperties` class is a utility class used to retrieve user agent information from a properties file. It has three constants that represent build timestamp (`JCABI_DATE`), project version (`JCABI_VERSION`), and build number (`JCABI_BUILD`). These values are stored in a `Properties` object called `props`.
The constructor takes a</t>
        </is>
      </c>
      <c r="E794" t="n">
        <v>0.0039</v>
      </c>
      <c r="F794" t="n">
        <v>0.0345</v>
      </c>
      <c r="G794" t="n">
        <v>0.08400000000000001</v>
      </c>
      <c r="H794" t="inlineStr">
        <is>
          <t>This is a Java library that provides a way to retrieve user agent data from a properties file. The `FromProperties` class reads the data from a properties file with the specified name and exposes it as a `UserAgent` object. It has three fields: `JCABI_DATE`, `JCABI_VERSION`, and `JCABI_BUILD`.</t>
        </is>
      </c>
      <c r="I794" t="n">
        <v>0.0046</v>
      </c>
      <c r="J794" t="n">
        <v>0.06900000000000001</v>
      </c>
      <c r="K794" t="n">
        <v>0.08400000000000001</v>
      </c>
      <c r="L794" t="inlineStr">
        <is>
          <t>The `FromProperties` class reads user agent data from a properties file named `jcabigithub.properties`. It provides two methods to retrieve build timestamp (`getTimestamp()`), project version (`getVersion()`), and build number (`getBuildNumber()`). The properties file is loaded using the `java.util.Properties` class.</t>
        </is>
      </c>
      <c r="M794" t="n">
        <v>0.0049</v>
      </c>
      <c r="N794" t="n">
        <v>0.0408</v>
      </c>
      <c r="O794" t="n">
        <v>0.09089999999999999</v>
      </c>
    </row>
    <row r="795">
      <c r="A795" t="inlineStr">
        <is>
          <t>jcabi</t>
        </is>
      </c>
      <c r="B795" t="inlineStr">
        <is>
          <t>src/main/java/com/jcabi/github/Reference.java</t>
        </is>
      </c>
      <c r="C795">
        <f>HYPERLINK("https://github.com/jcabi/jcabi-github/blob/master/src/main/java/com/jcabi/github/Reference.java")</f>
        <v/>
      </c>
      <c r="D795" t="inlineStr">
        <is>
          <t>This Java class implements the `Reference` interface from the `com.jcabi.github` package. It represents a reference to a Git data in GitHub. The class has several methods that allow you to interact with the reference, such as getting its owner repo, name, and JSON representation. Additionally, it provides methods for updating the reference's state by patching it with a given</t>
        </is>
      </c>
      <c r="E795" t="n">
        <v>0.0041</v>
      </c>
      <c r="F795" t="n">
        <v>0.0857</v>
      </c>
      <c r="G795" t="n">
        <v>0.1145</v>
      </c>
      <c r="H795" t="inlineStr">
        <is>
          <t>The code defines an interface called `Reference` that represents a reference in GitHub's Git data model. It has several methods, including `repo()`, which returns the owner repo, `ref()`, which returns the name of the reference, `json()`, which returns the reference as a JSON object, and `patch(JsonObject)`, which updates the reference with the given JSON object. The class is</t>
        </is>
      </c>
      <c r="I795" t="n">
        <v>0.0031</v>
      </c>
      <c r="J795" t="n">
        <v>0.0294</v>
      </c>
      <c r="K795" t="n">
        <v>0.0385</v>
      </c>
      <c r="L795" t="inlineStr">
        <is>
          <t>The provided code defines an interface for interacting with GitHub's Git data reference API. It provides methods for retrieving information about the reference, such as its owner repo and name, as well as updating its state by patching the underlying JSON object.</t>
        </is>
      </c>
      <c r="M795" t="n">
        <v>0.0044</v>
      </c>
      <c r="N795" t="n">
        <v>0.0392</v>
      </c>
      <c r="O795" t="n">
        <v>0.0439</v>
      </c>
    </row>
    <row r="796">
      <c r="A796" t="inlineStr">
        <is>
          <t>jcabi</t>
        </is>
      </c>
      <c r="B796" t="inlineStr">
        <is>
          <t>src/main/java/com/jcabi/github/RtMilestone.java</t>
        </is>
      </c>
      <c r="C796">
        <f>HYPERLINK("https://github.com/jcabi/jcabi-github/blob/master/src/main/java/com/jcabi/github/RtMilestone.java")</f>
        <v/>
      </c>
      <c r="D796" t="inlineStr">
        <is>
          <t>This is a Java implementation of a GitHub milestone object, which provides access to its properties and methods through the `RtMilestone` interface. The implementation uses Lombok annotations for immutability, logging, and equals/hashcode generation. It also uses the `com.jcabi.http.Request` library for making HTTP requests to the GitHub API.
The constructor</t>
        </is>
      </c>
      <c r="E796" t="n">
        <v>0.0045</v>
      </c>
      <c r="F796" t="n">
        <v>0.0984</v>
      </c>
      <c r="G796" t="n">
        <v>0.1653</v>
      </c>
      <c r="H796" t="inlineStr">
        <is>
          <t>This is a Java library for interacting with the GitHub API. It provides a set of classes that can be used to perform various actions on GitHub, such as creating new issues or retrieving information about existing ones. The library uses the JCABI HTTP client library under the hood to make requests to the GitHub API.</t>
        </is>
      </c>
      <c r="I796" t="n">
        <v>0.0033</v>
      </c>
      <c r="J796" t="n">
        <v>0.0312</v>
      </c>
      <c r="K796" t="n">
        <v>0.0781</v>
      </c>
      <c r="L796" t="inlineStr">
        <is>
          <t>The code defines a Java class called `RtMilestone` that represents a GitHub milestone. It is part of the `com.jcabi.github` package and is designed to be used as a library for interacting with the GitHub API.
The class has several important methods, including:
* A constructor that takes a `Request`, `Repo`, and</t>
        </is>
      </c>
      <c r="M796" t="n">
        <v>0.0036</v>
      </c>
      <c r="N796" t="n">
        <v>0.0333</v>
      </c>
      <c r="O796" t="n">
        <v>0.0813</v>
      </c>
    </row>
    <row r="797">
      <c r="A797" t="inlineStr">
        <is>
          <t>jcabi</t>
        </is>
      </c>
      <c r="B797" t="inlineStr">
        <is>
          <t>src/main/java/com/jcabi/github/RtBranch.java</t>
        </is>
      </c>
      <c r="C797">
        <f>HYPERLINK("https://github.com/jcabi/jcabi-github/blob/master/src/main/java/com/jcabi/github/RtBranch.java")</f>
        <v/>
      </c>
      <c r="D797" t="inlineStr">
        <is>
          <t>The `RtBranch` class is a Java implementation of a Git branch object, which provides methods for interacting with a GitHub repository. It has several important fields and methods that enable it to perform various operations on branches, such as retrieving information about the branch, creating new commits, and merging changes from other branches.
The constructor takes four parameters:
* `</t>
        </is>
      </c>
      <c r="E797" t="n">
        <v>0.003</v>
      </c>
      <c r="F797" t="n">
        <v>0.0606</v>
      </c>
      <c r="G797" t="n">
        <v>0.07580000000000001</v>
      </c>
      <c r="H797" t="inlineStr">
        <is>
          <t>The provided Java code defines a `RtBranch` class that represents a Git branch in a GitHub repository. It has several fields, including `entry`, which is the API entry point, `owner`, which is the repository object, `branch`, which is the name of the branch, and `hash`, which is the commit SHA hash.
The constructor takes four parameters:</t>
        </is>
      </c>
      <c r="I797" t="n">
        <v>0.0033</v>
      </c>
      <c r="J797" t="n">
        <v>0.0312</v>
      </c>
      <c r="K797" t="n">
        <v>0.0391</v>
      </c>
      <c r="L797" t="inlineStr">
        <is>
          <t>The code defines a Java class called `RtBranch` that represents a Git branch in a GitHub repository. It is part of the JCabi GitHub library.
The class has four fields:
* `entry`: An instance of the `Request` class from the Lombok library, which provides a way to make HTTP requests.
* `owner`: An instance of</t>
        </is>
      </c>
      <c r="M797" t="n">
        <v>0</v>
      </c>
      <c r="N797" t="n">
        <v>0</v>
      </c>
      <c r="O797" t="n">
        <v>0.0394</v>
      </c>
    </row>
    <row r="798">
      <c r="A798" t="inlineStr">
        <is>
          <t>jcabi</t>
        </is>
      </c>
      <c r="B798" t="inlineStr">
        <is>
          <t>src/main/java/com/jcabi/github/RtComments.java</t>
        </is>
      </c>
      <c r="C798">
        <f>HYPERLINK("https://github.com/jcabi/jcabi-github/blob/master/src/main/java/com/jcabi/github/RtComments.java")</f>
        <v/>
      </c>
      <c r="D798" t="inlineStr">
        <is>
          <t>The `RtComments` class is a Java implementation of the `Comments` interface from the `com.jcabi.github` package. It provides methods for interacting with GitHub comments through its REST API.
The constructor takes two arguments: `entry`, which represents the API entry point, and `owner`, which is the owner of the comments being accessed.</t>
        </is>
      </c>
      <c r="E798" t="n">
        <v>0.0037</v>
      </c>
      <c r="F798" t="n">
        <v>0.0667</v>
      </c>
      <c r="G798" t="n">
        <v>0.082</v>
      </c>
      <c r="H798" t="inlineStr">
        <is>
          <t>This is a Java library for interacting with the GitHub API. It provides a set of classes that represent different types of data returned by the API, such as issues, pull requests, and users. The library also includes methods for creating, updating, and deleting these objects, as well as retrieving information about them. Additionally, it includes support for pagination, caching, and other features.</t>
        </is>
      </c>
      <c r="I798" t="n">
        <v>0.0034</v>
      </c>
      <c r="J798" t="n">
        <v>0.0563</v>
      </c>
      <c r="K798" t="n">
        <v>0.0741</v>
      </c>
      <c r="L798" t="inlineStr">
        <is>
          <t>The code provides an implementation for the `RtComments` class, which is part of the `com.jcabi.github` package. It appears to be responsible for managing comments related to issues within a GitHub repository.
The class has several responsibilities, including:
* Creating new comments for issues
* Retrieving existing comments for issues
* Up</t>
        </is>
      </c>
      <c r="M798" t="n">
        <v>0</v>
      </c>
      <c r="N798" t="n">
        <v>0.0345</v>
      </c>
      <c r="O798" t="n">
        <v>0.0813</v>
      </c>
    </row>
    <row r="799">
      <c r="A799" t="inlineStr">
        <is>
          <t>jcabi</t>
        </is>
      </c>
      <c r="B799" t="inlineStr">
        <is>
          <t>src/main/java/com/jcabi/github/Notifications.java</t>
        </is>
      </c>
      <c r="C799">
        <f>HYPERLINK("https://github.com/jcabi/jcabi-github/blob/master/src/main/java/com/jcabi/github/Notifications.java")</f>
        <v/>
      </c>
      <c r="D799" t="inlineStr">
        <is>
          <t>The provided code defines an interface for interacting with the GitHub Notifications API. It provides methods to retrieve notifications and mark them as read.
The `iterate()` method returns an iterable collection of `Notification` objects, which represent individual notifications received by the user.
The `get()` method retrieves a specific notification based on its ID.
Finally, the</t>
        </is>
      </c>
      <c r="E799" t="n">
        <v>0.0033</v>
      </c>
      <c r="F799" t="n">
        <v>0.0317</v>
      </c>
      <c r="G799" t="n">
        <v>0.0394</v>
      </c>
      <c r="H799" t="inlineStr">
        <is>
          <t>This is a Java package that provides an implementation for the GitHub Notifications API. The package consists of several classes, each representing a different aspect of the API.
The main class in the package is `Notifications`, which implements the `Iterable` interface to allow iterating over multiple notifications. It also has a method called `get()` that retrieves a specific notification by its ID</t>
        </is>
      </c>
      <c r="I799" t="n">
        <v>0.0035</v>
      </c>
      <c r="J799" t="n">
        <v>0.0571</v>
      </c>
      <c r="K799" t="n">
        <v>0.0746</v>
      </c>
      <c r="L799" t="inlineStr">
        <is>
          <t>The code defines a class called "Notifications" that provides access to the GitHub Notifications API. It implements two methods: "iterate()" which returns an iterable collection of notifications, and "get(int)" which retrieves a specific notification by ID. Additionally, there is a method "markAsRead()" which marks all notifications on the current repository as read.</t>
        </is>
      </c>
      <c r="M799" t="n">
        <v>0.0042</v>
      </c>
      <c r="N799" t="n">
        <v>0.06560000000000001</v>
      </c>
      <c r="O799" t="n">
        <v>0.0806</v>
      </c>
    </row>
    <row r="800">
      <c r="A800" t="inlineStr">
        <is>
          <t>jcabi</t>
        </is>
      </c>
      <c r="B800" t="inlineStr">
        <is>
          <t>src/main/java/com/jcabi/github/Organizations.java</t>
        </is>
      </c>
      <c r="C800">
        <f>HYPERLINK("https://github.com/jcabi/jcabi-github/blob/master/src/main/java/com/jcabi/github/Organizations.java")</f>
        <v/>
      </c>
      <c r="D800" t="inlineStr">
        <is>
          <t>The provided code defines an `Organizations` interface that provides access to a collection of organizations in GitHub. It exposes two methods:
* `get`: Returns a single organization with the specified login name.
* `iterate`: Returns an iterator over all organizations for the currently logged-in user.
The implementation is annotated with `@Immutable`, indicating that it does</t>
        </is>
      </c>
      <c r="E800" t="n">
        <v>0</v>
      </c>
      <c r="F800" t="n">
        <v>0.0323</v>
      </c>
      <c r="G800" t="n">
        <v>0.0394</v>
      </c>
      <c r="H800" t="inlineStr">
        <is>
          <t>This is a Java library that provides a client for interacting with the GitHub API. The library defines several interfaces and classes that represent different aspects of the GitHub API, such as organizations, repositories, users, and issues. It also includes some utility methods for working with these objects.
The main entry point to the library is the `Organizations` interface, which represents a collection of all</t>
        </is>
      </c>
      <c r="I800" t="n">
        <v>0.0033</v>
      </c>
      <c r="J800" t="n">
        <v>0.0548</v>
      </c>
      <c r="K800" t="n">
        <v>0.1095</v>
      </c>
      <c r="L800" t="inlineStr">
        <is>
          <t>The provided code defines an interface for interacting with GitHub organizations through the use of the `Organizations` class. It provides two methods: `get()` which retrieves a specific organization by name, and `iterate()` which iterates over all organizations associated with the currently logged-in user. Additionally, the class is annotated with `@Immutable`, indicating that instances of this class cannot</t>
        </is>
      </c>
      <c r="M800" t="n">
        <v>0.0032</v>
      </c>
      <c r="N800" t="n">
        <v>0.0303</v>
      </c>
      <c r="O800" t="n">
        <v>0.1163</v>
      </c>
    </row>
    <row r="801">
      <c r="A801" t="inlineStr">
        <is>
          <t>jcabi</t>
        </is>
      </c>
      <c r="B801" t="inlineStr">
        <is>
          <t>src/main/java/com/jcabi/github/RtForks.java</t>
        </is>
      </c>
      <c r="C801">
        <f>HYPERLINK("https://github.com/jcabi/jcabi-github/blob/master/src/main/java/com/jcabi/github/RtForks.java")</f>
        <v/>
      </c>
      <c r="D801" t="inlineStr">
        <is>
          <t>This is a Java implementation of the Github Forks API using the JCABI library. The `RtForks` class provides methods to interact with the forks endpoint of the Github API. It has several fields such as `request`, which is used to make HTTP requests, and `owner`, which represents the repository that this fork belongs to.
The</t>
        </is>
      </c>
      <c r="E801" t="n">
        <v>0.004</v>
      </c>
      <c r="F801" t="n">
        <v>0.09520000000000001</v>
      </c>
      <c r="G801" t="n">
        <v>0.1575</v>
      </c>
      <c r="H801" t="inlineStr">
        <is>
          <t>This is a Java library that provides an implementation of the GitHub API for working with repositories, including their forks. The library consists of several classes, each representing a specific entity or action in the GitHub API. Some of these classes include:
* `RtForks`: represents a collection of forks for a given repository, allowing you to create new forks, list existing</t>
        </is>
      </c>
      <c r="I801" t="n">
        <v>0.003</v>
      </c>
      <c r="J801" t="n">
        <v>0.0588</v>
      </c>
      <c r="K801" t="n">
        <v>0.1128</v>
      </c>
      <c r="L801" t="inlineStr">
        <is>
          <t>The provided code is part of a Java library that provides an implementation of the GitHub API for forking repositories. It defines a class called `RtForks` which represents a collection of forks associated with a particular repository. The class has several methods for retrieving and manipulating the list of forks, as well as creating new forks.
The overall functionality of the</t>
        </is>
      </c>
      <c r="M801" t="n">
        <v>0.0036</v>
      </c>
      <c r="N801" t="n">
        <v>0.058</v>
      </c>
      <c r="O801" t="n">
        <v>0.1128</v>
      </c>
    </row>
    <row r="802">
      <c r="A802" t="inlineStr">
        <is>
          <t>jcabi</t>
        </is>
      </c>
      <c r="B802" t="inlineStr">
        <is>
          <t>src/main/java/com/jcabi/github/Tree.java</t>
        </is>
      </c>
      <c r="C802">
        <f>HYPERLINK("https://github.com/jcabi/jcabi-github/blob/master/src/main/java/com/jcabi/github/Tree.java")</f>
        <v/>
      </c>
      <c r="D802" t="inlineStr">
        <is>
          <t>This is a Java class that represents a GitHub tree object. It implements the `JsonReadable` interface and has two fields: `repo`, which is a reference to the parent `Repo` object, and `sha`, which is the SHA hash of the tree. The class also has several methods for accessing information about the tree, such as its contents and commits.</t>
        </is>
      </c>
      <c r="E802" t="n">
        <v>0.0041</v>
      </c>
      <c r="F802" t="n">
        <v>0.09089999999999999</v>
      </c>
      <c r="G802" t="n">
        <v>0.1154</v>
      </c>
      <c r="H802" t="inlineStr">
        <is>
          <t>This is a Java library for working with GitHub repositories using the RESTful API. It provides a simple way to interact with trees in a GitHub repository by implementing the `Tree` interface, which exposes methods such as `repo()` and `sha()`. The library also includes support for reading JSON data from the API using the `JsonReadable` interface. Overall, this library appears to be</t>
        </is>
      </c>
      <c r="I802" t="n">
        <v>0.0035</v>
      </c>
      <c r="J802" t="n">
        <v>0.0857</v>
      </c>
      <c r="K802" t="n">
        <v>0.1493</v>
      </c>
      <c r="L802" t="inlineStr">
        <is>
          <t>This is a Java interface for interacting with the GitHub Trees API. It defines a class called "Tree" that represents a Git tree object in a GitHub repository. The interface provides methods for accessing the repo associated with the tree, as well as the SHA hash of the tree itself. Additionally, it includes annotations from the "JCBI Aspects" library to indicate that the</t>
        </is>
      </c>
      <c r="M802" t="n">
        <v>0.0029</v>
      </c>
      <c r="N802" t="n">
        <v>0.0282</v>
      </c>
      <c r="O802" t="n">
        <v>0.037</v>
      </c>
    </row>
    <row r="803">
      <c r="A803" t="inlineStr">
        <is>
          <t>jcabi</t>
        </is>
      </c>
      <c r="B803" t="inlineStr">
        <is>
          <t>src/main/java/com/jcabi/github/Search.java</t>
        </is>
      </c>
      <c r="C803">
        <f>HYPERLINK("https://github.com/jcabi/jcabi-github/blob/master/src/main/java/com/jcabi/github/Search.java")</f>
        <v/>
      </c>
      <c r="D803" t="inlineStr">
        <is>
          <t>This is a Java class that implements the `Search` interface from the `com.jcabi.github` package. It provides methods for searching repositories and issues on GitHub using the GitHub Search API.
The `Search` interface defines three methods:
* `github()` returns the `GitHub` object associated with this search instance.
* `repos(String keywords</t>
        </is>
      </c>
      <c r="E803" t="n">
        <v>0.0049</v>
      </c>
      <c r="F803" t="n">
        <v>0.1034</v>
      </c>
      <c r="G803" t="n">
        <v>0.1653</v>
      </c>
      <c r="H803" t="inlineStr">
        <is>
          <t>This is a Java package that provides an implementation of the GitHub Search API. It defines several classes and interfaces for interacting with the GitHub API, including `Search`, which represents the main entry point for searching repositories or issues on GitHub.
The `Search` class has methods for searching both repositories (`repos`) and issues (`issues`). These methods take various parameters such as search keywords,</t>
        </is>
      </c>
      <c r="I803" t="n">
        <v>0.0034</v>
      </c>
      <c r="J803" t="n">
        <v>0.08450000000000001</v>
      </c>
      <c r="K803" t="n">
        <v>0.1111</v>
      </c>
      <c r="L803" t="inlineStr">
        <is>
          <t>The provided code is part of a Java library for interacting with the GitHub API. It defines an interface called "Search" that provides methods for searching repositories and issues on GitHub.
The interface has three methods:
* `github()` returns the GitHub instance associated with the search object.
* `repos()` searches for repositories based on the given keywords, sort field, and</t>
        </is>
      </c>
      <c r="M803" t="n">
        <v>0.003</v>
      </c>
      <c r="N803" t="n">
        <v>0.0303</v>
      </c>
      <c r="O803" t="n">
        <v>0.07580000000000001</v>
      </c>
    </row>
    <row r="804">
      <c r="A804" t="inlineStr">
        <is>
          <t>jcabi</t>
        </is>
      </c>
      <c r="B804" t="inlineStr">
        <is>
          <t>src/main/java/com/jcabi/github/Forks.java</t>
        </is>
      </c>
      <c r="C804">
        <f>HYPERLINK("https://github.com/jcabi/jcabi-github/blob/master/src/main/java/com/jcabi/github/Forks.java")</f>
        <v/>
      </c>
      <c r="D804" t="inlineStr">
        <is>
          <t>This code defines an interface called `Forks` that represents a collection of forks in a GitHub repository. It has several methods, including:
* `repo()`: Returns the owner of the forks.
* `iterate(sort)`: Iterates over all forks in the specified sort order.
* `create(organization)`: Creates a new</t>
        </is>
      </c>
      <c r="E804" t="n">
        <v>0.004</v>
      </c>
      <c r="F804" t="n">
        <v>0.0377</v>
      </c>
      <c r="G804" t="n">
        <v>0.0424</v>
      </c>
      <c r="H804" t="inlineStr">
        <is>
          <t>This Java package `com.jcabi.github` provides a client library for interacting with the GitHub API. It defines an interface called `Forks`, which represents a collection of forks associated with a particular repository. The `iterate()` method allows you to iterate over the list of forks in the specified sort order, while the `create()` method creates a new fork</t>
        </is>
      </c>
      <c r="I804" t="n">
        <v>0.0033</v>
      </c>
      <c r="J804" t="n">
        <v>0.0303</v>
      </c>
      <c r="K804" t="n">
        <v>0.0391</v>
      </c>
      <c r="L804" t="inlineStr">
        <is>
          <t>This code defines an interface called `Forks` that provides methods for working with GitHub forks. It belongs to the `com.jcabi.github` package and has been annotated with the `@Immutable` annotation from the `com.jcabi.aspects` package.
The interface exposes several important methods, including `repo()`, which returns the</t>
        </is>
      </c>
      <c r="M804" t="n">
        <v>0.005</v>
      </c>
      <c r="N804" t="n">
        <v>0.07140000000000001</v>
      </c>
      <c r="O804" t="n">
        <v>0.1293</v>
      </c>
    </row>
    <row r="805">
      <c r="A805" t="inlineStr">
        <is>
          <t>jcabi</t>
        </is>
      </c>
      <c r="B805" t="inlineStr">
        <is>
          <t>src/main/java/com/jcabi/github/RtSearchPagination.java</t>
        </is>
      </c>
      <c r="C805">
        <f>HYPERLINK("https://github.com/jcabi/jcabi-github/blob/master/src/main/java/com/jcabi/github/RtSearchPagination.java")</f>
        <v/>
      </c>
      <c r="D805" t="inlineStr">
        <is>
          <t>The `RtSearchPagination` class is a Java implementation of a paginated search for data on GitHub using the GitHub API. It provides an iterator over the results of a search query, allowing developers to iterate through the pages of results in order to retrieve all of the matching items.
The class takes two parameters in its constructor:
* `request`: An instance</t>
        </is>
      </c>
      <c r="E805" t="n">
        <v>0</v>
      </c>
      <c r="F805" t="n">
        <v>0.0299</v>
      </c>
      <c r="G805" t="n">
        <v>0.07580000000000001</v>
      </c>
      <c r="H805" t="inlineStr">
        <is>
          <t>The `RtSearchPagination` class is a Java implementation of a generic iterator that provides access to pages of results from a GitHub search API query. It is designed to be used with the `com.jcabi.github` library.
The class has several responsibilities, including:
* Implementing the `Iterable` interface, allowing it to</t>
        </is>
      </c>
      <c r="I805" t="n">
        <v>0</v>
      </c>
      <c r="J805" t="n">
        <v>0.0351</v>
      </c>
      <c r="K805" t="n">
        <v>0.0833</v>
      </c>
      <c r="L805" t="inlineStr">
        <is>
          <t>The `RtSearchPagination` class is a Java implementation of a GitHub search pagination object that allows for searching through large datasets using multiple pages of results. It provides methods for retrieving individual search result items and iterating over all search results across multiple pages. The class also includes various utility functions for handling HTTP requests and responses, as well as support for parsing JSON data from the</t>
        </is>
      </c>
      <c r="M805" t="n">
        <v>0.0028</v>
      </c>
      <c r="N805" t="n">
        <v>0.08110000000000001</v>
      </c>
      <c r="O805" t="n">
        <v>0.1087</v>
      </c>
    </row>
    <row r="806">
      <c r="A806" t="inlineStr">
        <is>
          <t>jcabi</t>
        </is>
      </c>
      <c r="B806" t="inlineStr">
        <is>
          <t>src/main/java/com/jcabi/github/StringEnum.java</t>
        </is>
      </c>
      <c r="C806">
        <f>HYPERLINK("https://github.com/jcabi/jcabi-github/blob/master/src/main/java/com/jcabi/github/StringEnum.java")</f>
        <v/>
      </c>
      <c r="D806" t="inlineStr">
        <is>
          <t>This is an implementation of an enumeration in Java with the `@Immutable` annotation from the `com.jcabi.aspects` package. It defines a simple interface for objects that have a unique string representation, which can be accessed through the `identifier()` method.</t>
        </is>
      </c>
      <c r="E806" t="n">
        <v>0.0049</v>
      </c>
      <c r="F806" t="n">
        <v>0.0833</v>
      </c>
      <c r="G806" t="n">
        <v>0.09089999999999999</v>
      </c>
      <c r="H806" t="inlineStr">
        <is>
          <t>This is a Java package called "com.jcabi.github" containing an interface called "StringEnum". It has one method called "identifier()" which returns a String object. The purpose of this class is to provide a way to represent unique strings as enumerated values.</t>
        </is>
      </c>
      <c r="I806" t="n">
        <v>0.0046</v>
      </c>
      <c r="J806" t="n">
        <v>0.04</v>
      </c>
      <c r="K806" t="n">
        <v>0.0446</v>
      </c>
      <c r="L806" t="inlineStr">
        <is>
          <t>This is an interface called "StringEnum" which is part of the JCabi GitHub library. It defines an enumeration type whose values correspond to unique strings. The interface has one method named "identifier()" that returns a String representing the enum value. The interface is marked as immutable using the "@Immutable" annotation from the Aspects library.</t>
        </is>
      </c>
      <c r="M806" t="n">
        <v>0.0034</v>
      </c>
      <c r="N806" t="n">
        <v>0.0323</v>
      </c>
      <c r="O806" t="n">
        <v>0.0794</v>
      </c>
    </row>
    <row r="807">
      <c r="A807" t="inlineStr">
        <is>
          <t>jcabi</t>
        </is>
      </c>
      <c r="B807" t="inlineStr">
        <is>
          <t>src/main/java/com/jcabi/github/Branch.java</t>
        </is>
      </c>
      <c r="C807">
        <f>HYPERLINK("https://github.com/jcabi/jcabi-github/blob/master/src/main/java/com/jcabi/github/Branch.java")</f>
        <v/>
      </c>
      <c r="D807" t="inlineStr">
        <is>
          <t>This is a Java class named `Branch` that represents a Git branch. It has three methods:
* `repo()` returns the `Repo` object that this branch belongs to.
* `name()` returns the name of the branch as a string.
* `commit()` returns the `Commit` object that this branch currently points to.</t>
        </is>
      </c>
      <c r="E807" t="n">
        <v>0.0037</v>
      </c>
      <c r="F807" t="n">
        <v>0.0364</v>
      </c>
      <c r="G807" t="n">
        <v>0.041</v>
      </c>
      <c r="H807" t="inlineStr">
        <is>
          <t>This is a Java library for working with GitHub repositories using the v3 REST API. It provides a set of interfaces and classes for interacting with different aspects of a repository, such as branches, commits, and pull requests. The library also includes a number of utilities for working with these objects, such as converting them into strings or comparing their hash values. Overall, this library seems to</t>
        </is>
      </c>
      <c r="I807" t="n">
        <v>0.0032</v>
      </c>
      <c r="J807" t="n">
        <v>0.0533</v>
      </c>
      <c r="K807" t="n">
        <v>0.1079</v>
      </c>
      <c r="L807" t="inlineStr">
        <is>
          <t>This is a Java interface for working with GitHub branches using the JCABI library. It provides methods for retrieving information about a branch, such as its name and commit hash, as well as the repository it belongs to.</t>
        </is>
      </c>
      <c r="M807" t="n">
        <v>0.0058</v>
      </c>
      <c r="N807" t="n">
        <v>0.08699999999999999</v>
      </c>
      <c r="O807" t="n">
        <v>0.1364</v>
      </c>
    </row>
    <row r="808">
      <c r="A808" t="inlineStr">
        <is>
          <t>jcabi</t>
        </is>
      </c>
      <c r="B808" t="inlineStr">
        <is>
          <t>src/main/java/com/jcabi/github/RtFileChange.java</t>
        </is>
      </c>
      <c r="C808">
        <f>HYPERLINK("https://github.com/jcabi/jcabi-github/blob/master/src/main/java/com/jcabi/github/RtFileChange.java")</f>
        <v/>
      </c>
      <c r="D808" t="inlineStr">
        <is>
          <t>The `RtFileChange` class is a Java implementation of the `FileChange` interface from the `com.jcabi.github` package. It encapsulates a JSON object that represents a file change in GitHub's API.
The `RtFileChange` class has three main methods:
* `json()` returns the underlying JSON object for the</t>
        </is>
      </c>
      <c r="E808" t="n">
        <v>0</v>
      </c>
      <c r="F808" t="n">
        <v>0.037</v>
      </c>
      <c r="G808" t="n">
        <v>0.0431</v>
      </c>
      <c r="H808" t="inlineStr">
        <is>
          <t>This is a Java library for working with GitHub API. It provides a set of classes that represent different types of objects in the GitHub API, such as repositories, issues, pull requests, and users. The library also includes utility methods for performing common operations on these objects, such as creating new objects or updating existing ones.
The main class in the library is `RtFileChange`,</t>
        </is>
      </c>
      <c r="I808" t="n">
        <v>0.0034</v>
      </c>
      <c r="J808" t="n">
        <v>0.0556</v>
      </c>
      <c r="K808" t="n">
        <v>0.1103</v>
      </c>
      <c r="L808" t="inlineStr">
        <is>
          <t>The provided code is part of a Java library for interacting with GitHub APIs. It defines a `RtFileChange` class that represents a single file change in a pull request. The class has three fields:
* `jsn`: An encapsulated JSON object representing the file change data.
* `log`: A logger instance used for debugging purposes.
* `eq</t>
        </is>
      </c>
      <c r="M808" t="n">
        <v>0</v>
      </c>
      <c r="N808" t="n">
        <v>0</v>
      </c>
      <c r="O808" t="n">
        <v>0.0391</v>
      </c>
    </row>
    <row r="809">
      <c r="A809" t="inlineStr">
        <is>
          <t>jcabi</t>
        </is>
      </c>
      <c r="B809" t="inlineStr">
        <is>
          <t>src/main/java/com/jcabi/github/RtFork.java</t>
        </is>
      </c>
      <c r="C809">
        <f>HYPERLINK("https://github.com/jcabi/jcabi-github/blob/master/src/main/java/com/jcabi/github/RtFork.java")</f>
        <v/>
      </c>
      <c r="D809" t="inlineStr">
        <is>
          <t>The `RtFork` class is a Java implementation of the `Fork` interface from the `com.jcabi.github` package. It represents a GitHub fork, which is a copy of a repository that can be modified independently of the original repository.
The constructor takes three parameters:
* `req`: A `Request` object representing the HTTP client used</t>
        </is>
      </c>
      <c r="E809" t="n">
        <v>0</v>
      </c>
      <c r="F809" t="n">
        <v>0.0333</v>
      </c>
      <c r="G809" t="n">
        <v>0.0813</v>
      </c>
      <c r="H809" t="inlineStr">
        <is>
          <t>The provided code is a Java implementation of the `RtFork` class in the `com.jcabi.github` package. This class represents a GitHub fork, which is a copy of a repository that can be used to propose changes or experiments without affecting the original repository.
The constructor takes three parameters:
* `req`: A `Request` object representing</t>
        </is>
      </c>
      <c r="I809" t="n">
        <v>0.0035</v>
      </c>
      <c r="J809" t="n">
        <v>0.0323</v>
      </c>
      <c r="K809" t="n">
        <v>0.12</v>
      </c>
      <c r="L809" t="inlineStr">
        <is>
          <t>The provided code is part of a Java library for interacting with the GitHub API. It defines a `RtFork` class that represents a single GitHub fork. The class has several fields and methods, including constructors, setters, and getters.
The primary purpose of the class appears to be to provide a way to interact with a specific GitHub fork through the API.</t>
        </is>
      </c>
      <c r="M809" t="n">
        <v>0.003</v>
      </c>
      <c r="N809" t="n">
        <v>0.029</v>
      </c>
      <c r="O809" t="n">
        <v>0.0752</v>
      </c>
    </row>
    <row r="810">
      <c r="A810" t="inlineStr">
        <is>
          <t>jcabi</t>
        </is>
      </c>
      <c r="B810" t="inlineStr">
        <is>
          <t>src/main/java/com/jcabi/github/RtCommit.java</t>
        </is>
      </c>
      <c r="C810">
        <f>HYPERLINK("https://github.com/jcabi/jcabi-github/blob/master/src/main/java/com/jcabi/github/RtCommit.java")</f>
        <v/>
      </c>
      <c r="D810" t="inlineStr">
        <is>
          <t>The provided code is a Java implementation of a `RtCommit` class that represents a GitHub commit. It has several responsibilities, including:
* Implementing the `Commit` interface, which provides methods for accessing information about the commit, such as its SHA hash and message.
* Providing a constructor to create a new instance of the `Rt</t>
        </is>
      </c>
      <c r="E810" t="n">
        <v>0.0034</v>
      </c>
      <c r="F810" t="n">
        <v>0.0667</v>
      </c>
      <c r="G810" t="n">
        <v>0.0794</v>
      </c>
      <c r="H810" t="inlineStr">
        <is>
          <t>This is a Java library for interacting with the GitHub API. It provides a set of classes that represent different types of data returned by the API, such as commits, issues, pull requests, and users. The library also includes a set of utility methods for working with these objects, such as creating new comments or updating existing ones.
The main entry point into the library is the `</t>
        </is>
      </c>
      <c r="I810" t="n">
        <v>0.0032</v>
      </c>
      <c r="J810" t="n">
        <v>0.0533</v>
      </c>
      <c r="K810" t="n">
        <v>0.1071</v>
      </c>
      <c r="L810" t="inlineStr">
        <is>
          <t>The provided code is part of a Java library for interacting with the GitHub API. It defines a `RtCommit` class that represents a single commit in a Git repository. The class has several methods for retrieving information about the commit, such as its author, message, and date, as well as methods for creating new commits and updating existing ones. The class also includes annotations for</t>
        </is>
      </c>
      <c r="M810" t="n">
        <v>0.0028</v>
      </c>
      <c r="N810" t="n">
        <v>0.0274</v>
      </c>
      <c r="O810" t="n">
        <v>0.073</v>
      </c>
    </row>
    <row r="811">
      <c r="A811" t="inlineStr">
        <is>
          <t>jcabi</t>
        </is>
      </c>
      <c r="B811" t="inlineStr">
        <is>
          <t>src/main/java/com/jcabi/github/RtReference.java</t>
        </is>
      </c>
      <c r="C811">
        <f>HYPERLINK("https://github.com/jcabi/jcabi-github/blob/master/src/main/java/com/jcabi/github/RtReference.java")</f>
        <v/>
      </c>
      <c r="D811" t="inlineStr">
        <is>
          <t>This is a Java implementation of the `RtReference` class from the `com.jcabi.github` package, which represents a GitHub reference. It has three fields:
* `request`: A RESTful request object used to make HTTP requests to the GitHub API.
* `owner`: The repository that owns this reference.
* `name`: The name of</t>
        </is>
      </c>
      <c r="E811" t="n">
        <v>0.0037</v>
      </c>
      <c r="F811" t="n">
        <v>0.0702</v>
      </c>
      <c r="G811" t="n">
        <v>0.123</v>
      </c>
      <c r="H811" t="inlineStr">
        <is>
          <t>This is a Java package called `com.jcabi.github` that provides a library for working with GitHub repositories. It includes several classes, including `RtReference`, which represents a single reference in a GitHub repository.
The `RtReference` class has three fields:
* `request`: A RESTful request object used to make HTTP requests to the GitHub API</t>
        </is>
      </c>
      <c r="I811" t="n">
        <v>0.0035</v>
      </c>
      <c r="J811" t="n">
        <v>0.0328</v>
      </c>
      <c r="K811" t="n">
        <v>0.0806</v>
      </c>
      <c r="L811" t="inlineStr">
        <is>
          <t>This code defines a `RtReference` class that represents a GitHub reference. It is part of the JCabi Github library. The class has three fields: `request`, `owner`, and `name`. It also has several methods for interacting with the GitHub API, such as `fetch()`, `create()`, and `update()`. The class is annotated with `@Immutable`,</t>
        </is>
      </c>
      <c r="M811" t="n">
        <v>0.0043</v>
      </c>
      <c r="N811" t="n">
        <v>0.0678</v>
      </c>
      <c r="O811" t="n">
        <v>0.122</v>
      </c>
    </row>
    <row r="812">
      <c r="A812" t="inlineStr">
        <is>
          <t>jcabi</t>
        </is>
      </c>
      <c r="B812" t="inlineStr">
        <is>
          <t>src/main/java/com/jcabi/github/DeployKeys.java</t>
        </is>
      </c>
      <c r="C812">
        <f>HYPERLINK("https://github.com/jcabi/jcabi-github/blob/master/src/main/java/com/jcabi/github/DeployKeys.java")</f>
        <v/>
      </c>
      <c r="D812" t="inlineStr">
        <is>
          <t>The `DeployKeys` class represents a collection of deploy keys in a GitHub repository. It provides methods for listing, getting, creating, and deleting deploy keys.
The `repo()` method returns the owner of the deploy keys, which is represented by the `Repo` interface.
The `iterate()` method returns an iterator over all deploy keys in the repository.</t>
        </is>
      </c>
      <c r="E812" t="n">
        <v>0.0034</v>
      </c>
      <c r="F812" t="n">
        <v>0.0323</v>
      </c>
      <c r="G812" t="n">
        <v>0.0397</v>
      </c>
      <c r="H812" t="inlineStr">
        <is>
          <t>This is Java code for implementing the DeployKeys interface in the com.jcabi.github package. The interface defines methods to interact with GitHub's Deploy Keys API, which allows users to manage SSH deploy keys for their repositories.
The implementation provides several methods:
* `repo()` returns the owner of the deploy keys.
* `iterate()` iter</t>
        </is>
      </c>
      <c r="I812" t="n">
        <v>0.0035</v>
      </c>
      <c r="J812" t="n">
        <v>0.06560000000000001</v>
      </c>
      <c r="K812" t="n">
        <v>0.0806</v>
      </c>
      <c r="L812" t="inlineStr">
        <is>
          <t>The code defines an interface for managing GitHub deploy keys through the JCABI Github library. It provides methods for retrieving a list of deploy keys, getting a specific deploy key by ID, creating a new deploy key, and deleting an existing deploy key. The interface is annotated with metadata such as copyright information and license identifiers.</t>
        </is>
      </c>
      <c r="M812" t="n">
        <v>0.0033</v>
      </c>
      <c r="N812" t="n">
        <v>0.0312</v>
      </c>
      <c r="O812" t="n">
        <v>0.0391</v>
      </c>
    </row>
    <row r="813">
      <c r="A813" t="inlineStr">
        <is>
          <t>jcabi</t>
        </is>
      </c>
      <c r="B813" t="inlineStr">
        <is>
          <t>src/main/java/com/jcabi/github/RtComment.java</t>
        </is>
      </c>
      <c r="C813">
        <f>HYPERLINK("https://github.com/jcabi/jcabi-github/blob/master/src/main/java/com/jcabi/github/RtComment.java")</f>
        <v/>
      </c>
      <c r="D813" t="inlineStr">
        <is>
          <t>The `RtComment` class is a Java implementation of the `Comment` interface from the `com.jcabi.github` package. It represents a single GitHub comment on an issue or pull request.
The constructor takes two parameters:
* `request`: An instance of the `Request` class from the `com.jcabi.http` package, which</t>
        </is>
      </c>
      <c r="E813" t="n">
        <v>0</v>
      </c>
      <c r="F813" t="n">
        <v>0.0357</v>
      </c>
      <c r="G813" t="n">
        <v>0.0427</v>
      </c>
      <c r="H813" t="inlineStr">
        <is>
          <t>This is a Java library for interacting with the GitHub API. The `RtComment` class represents a single comment on a GitHub issue or pull request. It has several methods that allow you to retrieve information about the comment, update its content, and delete it.
The constructor takes three arguments: a `Request` object, an `Issue` object representing the issue the</t>
        </is>
      </c>
      <c r="I813" t="n">
        <v>0.0037</v>
      </c>
      <c r="J813" t="n">
        <v>0.0597</v>
      </c>
      <c r="K813" t="n">
        <v>0.07630000000000001</v>
      </c>
      <c r="L813" t="inlineStr">
        <is>
          <t>The provided code is for a Java class called `RtComment` that represents a GitHub comment. It belongs to a package called `com.jcabi.github`.
The class has several fields and methods, including constructors, getters, setters, and other utility functions. However, based on the context provided, here is a summary of the main functionalities of the</t>
        </is>
      </c>
      <c r="M813" t="n">
        <v>0.0035</v>
      </c>
      <c r="N813" t="n">
        <v>0.0317</v>
      </c>
      <c r="O813" t="n">
        <v>0.08</v>
      </c>
    </row>
    <row r="814">
      <c r="A814" t="inlineStr">
        <is>
          <t>jcabi</t>
        </is>
      </c>
      <c r="B814" t="inlineStr">
        <is>
          <t>src/main/java/com/jcabi/github/RtStatus.java</t>
        </is>
      </c>
      <c r="C814">
        <f>HYPERLINK("https://github.com/jcabi/jcabi-github/blob/master/src/main/java/com/jcabi/github/RtStatus.java")</f>
        <v/>
      </c>
      <c r="D814" t="inlineStr">
        <is>
          <t>This is a Java implementation of a GitHub commit status using the JCABI library for building RESTful APIs. The `RtStatus` class encapsulates a single commit status, which can be retrieved from a `Commit` instance. It has two fields: `cmmt`, which represents the associated commit, and `jsn`, which stores the serialized JSON representation</t>
        </is>
      </c>
      <c r="E814" t="n">
        <v>0.0042</v>
      </c>
      <c r="F814" t="n">
        <v>0.1</v>
      </c>
      <c r="G814" t="n">
        <v>0.1613</v>
      </c>
      <c r="H814" t="inlineStr">
        <is>
          <t>The provided code is a Java implementation of a GitHub commit status. It uses Lombok for generating getters and setters, and Jackson for parsing JSON data. The `RtStatus` class encapsulates a `Commit` instance and a `JsonObject` that represents the status JSON. The class provides methods to access the associated commit and the status JSON, as well as a</t>
        </is>
      </c>
      <c r="I814" t="n">
        <v>0.0031</v>
      </c>
      <c r="J814" t="n">
        <v>0.0606</v>
      </c>
      <c r="K814" t="n">
        <v>0.1154</v>
      </c>
      <c r="L814" t="inlineStr">
        <is>
          <t>The provided code is part of a Java library for interacting with the GitHub API. It defines a `RtStatus` class that represents a GitHub commit status. The class has two fields: `cmmt`, which is an instance of the `Commit` interface representing the associated commit, and `jsn`, which is a string containing the encapsulated status JSON. The class</t>
        </is>
      </c>
      <c r="M814" t="n">
        <v>0.0032</v>
      </c>
      <c r="N814" t="n">
        <v>0.0308</v>
      </c>
      <c r="O814" t="n">
        <v>0.0775</v>
      </c>
    </row>
    <row r="815">
      <c r="A815" t="inlineStr">
        <is>
          <t>jcabi</t>
        </is>
      </c>
      <c r="B815" t="inlineStr">
        <is>
          <t>src/main/java/com/jcabi/github/Repos.java</t>
        </is>
      </c>
      <c r="C815">
        <f>HYPERLINK("https://github.com/jcabi/jcabi-github/blob/master/src/main/java/com/jcabi/github/Repos.java")</f>
        <v/>
      </c>
      <c r="D815" t="inlineStr">
        <is>
          <t>This code defines an interface called `Repos` that represents a repository in the GitHub API. It has several methods that allow you to interact with the repository, such as getting its owner, creating it, and updating its settings. The interface also includes some annotations, such as `@Immutable`, which indicate that the class should be treated as immutable by the compiler. Additionally, this interface extends other</t>
        </is>
      </c>
      <c r="E815" t="n">
        <v>0.0033</v>
      </c>
      <c r="F815" t="n">
        <v>0.0548</v>
      </c>
      <c r="G815" t="n">
        <v>0.073</v>
      </c>
      <c r="H815" t="inlineStr">
        <is>
          <t>This code defines an interface called `Repos` that represents a GitHub repository. It has several methods that allow you to interact with the repository, such as getting its owner, creating a new repository, and retrieving information about it. The interface is annotated with various Lombok annotations, including `@Immutable`, which means that the class is immutable and cannot be modified after it's created</t>
        </is>
      </c>
      <c r="I815" t="n">
        <v>0.0035</v>
      </c>
      <c r="J815" t="n">
        <v>0.0563</v>
      </c>
      <c r="K815" t="n">
        <v>0.0746</v>
      </c>
      <c r="L815" t="inlineStr">
        <is>
          <t>The provided code defines a Java class named `Repos` that represents a GitHub Repo API. It provides methods for interacting with repositories on GitHub, such as getting their owners, creating new ones, and updating existing ones. The class also includes annotations for logging and immutability.
The class has several fields, including a `GitHub` field representing the owner of the repository</t>
        </is>
      </c>
      <c r="M815" t="n">
        <v>0.003</v>
      </c>
      <c r="N815" t="n">
        <v>0.0294</v>
      </c>
      <c r="O815" t="n">
        <v>0.0379</v>
      </c>
    </row>
    <row r="816">
      <c r="A816" t="inlineStr">
        <is>
          <t>jcabi</t>
        </is>
      </c>
      <c r="B816" t="inlineStr">
        <is>
          <t>src/main/java/com/jcabi/github/GistComment.java</t>
        </is>
      </c>
      <c r="C816">
        <f>HYPERLINK("https://github.com/jcabi/jcabi-github/blob/master/src/main/java/com/jcabi/github/GistComment.java")</f>
        <v/>
      </c>
      <c r="D816" t="inlineStr">
        <is>
          <t>The provided code is a Java class named `GistComment` that represents a gist comment on GitHub. It has several fields such as `id`, `url`, `createdAt`, `updatedAt`, `body`, and `author`. This class also provides methods for getting the JSON representation of the object using the `json()` method and for getting the author's GitHub login using the</t>
        </is>
      </c>
      <c r="E816" t="n">
        <v>0.004</v>
      </c>
      <c r="F816" t="n">
        <v>0.0625</v>
      </c>
      <c r="G816" t="n">
        <v>0.1575</v>
      </c>
      <c r="H816" t="inlineStr">
        <is>
          <t>This is a Java package containing classes for working with GitHub gists, including the `Gist` class, which represents a single gist on GitHub, and the `GistComment` class, which represents a comment on a gist. The package also includes utility methods for parsing and formatting dates and URLs.</t>
        </is>
      </c>
      <c r="I816" t="n">
        <v>0.0046</v>
      </c>
      <c r="J816" t="n">
        <v>0.0727</v>
      </c>
      <c r="K816" t="n">
        <v>0.1681</v>
      </c>
      <c r="L816" t="inlineStr">
        <is>
          <t>The provided code is part of a Java project for managing Github gists. It defines a class called `GistComment` that represents a single comment on a Gist. The class has several methods for retrieving the comment's data, such as the text of the comment, the user who made the comment, and the date when the comment was created. Additionally, the class</t>
        </is>
      </c>
      <c r="M816" t="n">
        <v>0.003</v>
      </c>
      <c r="N816" t="n">
        <v>0.0286</v>
      </c>
      <c r="O816" t="n">
        <v>0.0752</v>
      </c>
    </row>
    <row r="817">
      <c r="A817" t="inlineStr">
        <is>
          <t>jcabi</t>
        </is>
      </c>
      <c r="B817" t="inlineStr">
        <is>
          <t>src/main/java/com/jcabi/github/package-info.java</t>
        </is>
      </c>
      <c r="C817">
        <f>HYPERLINK("https://github.com/jcabi/jcabi-github/blob/master/src/main/java/com/jcabi/github/package-info.java")</f>
        <v/>
      </c>
      <c r="D817" t="inlineStr">
        <is>
          <t>The code is part of a larger project that provides a set of classes and interfaces for interacting with the GitHub API using object-oriented programming principles. It appears to be a collection of libraries and utilities that can be used to perform various tasks related to managing repositories on GitHub, such as creating new issues or deploy keys.
The code includes several different modules and packages, each</t>
        </is>
      </c>
      <c r="E817" t="n">
        <v>0.0027</v>
      </c>
      <c r="F817" t="n">
        <v>0.0526</v>
      </c>
      <c r="G817" t="n">
        <v>0.1079</v>
      </c>
      <c r="H817" t="inlineStr">
        <is>
          <t>The provided code appears to be a Java project with a README file that describes its purpose and provides information about its dependencies and complexity. The code itself does not appear to contain any functional logic or implementation details, but rather serves as a skeleton for future development.</t>
        </is>
      </c>
      <c r="I817" t="n">
        <v>0.0038</v>
      </c>
      <c r="J817" t="n">
        <v>0.07140000000000001</v>
      </c>
      <c r="K817" t="n">
        <v>0.125</v>
      </c>
      <c r="L817" t="inlineStr">
        <is>
          <t>The provided code defines an object-oriented interface for interacting with the GitHub API using the JCABI library. It provides methods for retrieving and manipulating data from the GitHub platform, including repositories, issues, deploy keys, and hooks. The code also includes comments and documentation explaining the design conventions used in the library.</t>
        </is>
      </c>
      <c r="M817" t="n">
        <v>0.0036</v>
      </c>
      <c r="N817" t="n">
        <v>0.0333</v>
      </c>
      <c r="O817" t="n">
        <v>0.0813</v>
      </c>
    </row>
    <row r="818">
      <c r="A818" t="inlineStr">
        <is>
          <t>jcabi</t>
        </is>
      </c>
      <c r="B818" t="inlineStr">
        <is>
          <t>src/main/java/com/jcabi/github/RtTag.java</t>
        </is>
      </c>
      <c r="C818">
        <f>HYPERLINK("https://github.com/jcabi/jcabi-github/blob/master/src/main/java/com/jcabi/github/RtTag.java")</f>
        <v/>
      </c>
      <c r="D818" t="inlineStr">
        <is>
          <t>This is a Java implementation of a GitHub Tag object, which represents a specific version or release of a project on GitHub. It has several responsibilities, including:
* Creating a new instance of the `RtTag` class with a given `Request`, `Repo`, and `String` representing the SHA of the tag.
* Implementing the `equals()`</t>
        </is>
      </c>
      <c r="E818" t="n">
        <v>0.0041</v>
      </c>
      <c r="F818" t="n">
        <v>0.1017</v>
      </c>
      <c r="G818" t="n">
        <v>0.12</v>
      </c>
      <c r="H818" t="inlineStr">
        <is>
          <t>This is a Java library for interacting with the GitHub API. It provides a set of classes that represent different types of objects in the GitHub ecosystem, such as repositories, issues, pull requests, and users. Each object has its own set of methods for performing various operations on it, such as retrieving information about it or updating its state.
The `RtTag`</t>
        </is>
      </c>
      <c r="I818" t="n">
        <v>0.0036</v>
      </c>
      <c r="J818" t="n">
        <v>0.058</v>
      </c>
      <c r="K818" t="n">
        <v>0.0752</v>
      </c>
      <c r="L818" t="inlineStr">
        <is>
          <t>This is a Java implementation of the `RtTag` class that provides functionality for interacting with Github tags through the use of the `com.jcabi.github` library. The class has several fields and methods that allow for retrieving and manipulating Github tag data. It also includes annotations such as `@Immutable`, `@Loggable`, and `@EqualsAndHashCode</t>
        </is>
      </c>
      <c r="M818" t="n">
        <v>0.0048</v>
      </c>
      <c r="N818" t="n">
        <v>0.1333</v>
      </c>
      <c r="O818" t="n">
        <v>0.1639</v>
      </c>
    </row>
    <row r="819">
      <c r="A819" t="inlineStr">
        <is>
          <t>jcabi</t>
        </is>
      </c>
      <c r="B819" t="inlineStr">
        <is>
          <t>src/main/java/com/jcabi/github/Coordinates.java</t>
        </is>
      </c>
      <c r="C819">
        <f>HYPERLINK("https://github.com/jcabi/jcabi-github/blob/master/src/main/java/com/jcabi/github/Coordinates.java")</f>
        <v/>
      </c>
      <c r="D819" t="inlineStr">
        <is>
          <t>This is Java code for a simple implementation of the `Coordinates` interface in the `com.jcabi.github` package. The `Coordinates` interface represents a set of coordinates that can be used to identify a GitHub repository. It has two methods: `user()` which returns the username associated with the repository, and `repo()` which returns the repository name.
The</t>
        </is>
      </c>
      <c r="E819" t="n">
        <v>0.004</v>
      </c>
      <c r="F819" t="n">
        <v>0.09379999999999999</v>
      </c>
      <c r="G819" t="n">
        <v>0.1587</v>
      </c>
      <c r="H819" t="inlineStr">
        <is>
          <t>This is Java code for a simple library that provides a way to represent GitHub repository coordinates using the `Coordinates` interface. The interface defines three methods: `user()`, which returns the username part of the coordinate string, `repo()`, which returns the repository name part of the coordinate string, and `compareTo()` which compares this object with another `Coordinates` instance based on their respective</t>
        </is>
      </c>
      <c r="I819" t="n">
        <v>0.0036</v>
      </c>
      <c r="J819" t="n">
        <v>0.058</v>
      </c>
      <c r="K819" t="n">
        <v>0.1128</v>
      </c>
      <c r="L819" t="inlineStr">
        <is>
          <t>The provided code is part of a Java library for interacting with GitHub repositories. It defines a `Coordinates` interface that represents the unique identifier of a repository, consisting of a username and a repository name. The interface provides methods for accessing these values as well as implementing the `Comparable` interface to compare two instances based on their names.
The `Simple` class is a</t>
        </is>
      </c>
      <c r="M819" t="n">
        <v>0.0029</v>
      </c>
      <c r="N819" t="n">
        <v>0.0282</v>
      </c>
      <c r="O819" t="n">
        <v>0.1111</v>
      </c>
    </row>
    <row r="820">
      <c r="A820" t="inlineStr">
        <is>
          <t>jcabi</t>
        </is>
      </c>
      <c r="B820" t="inlineStr">
        <is>
          <t>src/main/java/com/jcabi/github/RtIssueLabels.java</t>
        </is>
      </c>
      <c r="C820">
        <f>HYPERLINK("https://github.com/jcabi/jcabi-github/blob/master/src/main/java/com/jcabi/github/RtIssueLabels.java")</f>
        <v/>
      </c>
      <c r="D820" t="inlineStr">
        <is>
          <t>This is a Java implementation of the `RtIssueLabels` class that provides functionality for retrieving labels associated with an issue on GitHub using the JCABI library. The class has several annotations such as `@Immutable`, `@Loggable`, `@EqualsAndHashCode`, and `@SuppressWarnings`. It also imports various packages including `com.jcabi</t>
        </is>
      </c>
      <c r="E820" t="n">
        <v>0.0055</v>
      </c>
      <c r="F820" t="n">
        <v>0.1509</v>
      </c>
      <c r="G820" t="n">
        <v>0.1724</v>
      </c>
      <c r="H820" t="inlineStr">
        <is>
          <t>This is a Java library for interacting with the GitHub API. It provides classes for working with issues, pull requests, repositories, and other aspects of the GitHub platform. The `RtIssueLabels` class in this library represents a collection of labels associated with a specific issue on GitHub. It provides methods for retrieving information about the labels, as well as adding or removing them</t>
        </is>
      </c>
      <c r="I820" t="n">
        <v>0.0035</v>
      </c>
      <c r="J820" t="n">
        <v>0.0571</v>
      </c>
      <c r="K820" t="n">
        <v>0.1119</v>
      </c>
      <c r="L820" t="inlineStr">
        <is>
          <t>The `RtIssueLabels` class is part of the JCABI Github library and represents a collection of labels associated with an issue. It provides methods for retrieving and manipulating these labels.
The class has several important members, including:
* `entry`: A `Request` object that represents the RESTful entry point for accessing the API.</t>
        </is>
      </c>
      <c r="M820" t="n">
        <v>0.0036</v>
      </c>
      <c r="N820" t="n">
        <v>0.0345</v>
      </c>
      <c r="O820" t="n">
        <v>0.0813</v>
      </c>
    </row>
    <row r="821">
      <c r="A821" t="inlineStr">
        <is>
          <t>jcabi</t>
        </is>
      </c>
      <c r="B821" t="inlineStr">
        <is>
          <t>src/main/java/com/jcabi/github/RtGitHub.java</t>
        </is>
      </c>
      <c r="C821">
        <f>HYPERLINK("https://github.com/jcabi/jcabi-github/blob/master/src/main/java/com/jcabi/github/RtGitHub.java")</f>
        <v/>
      </c>
      <c r="D821" t="inlineStr">
        <is>
          <t>The code defines a `RtGitHub` class that represents a connection to the GitHub API using the JCABI HTTP library. It has several methods for interacting with various parts of the GitHub API, such as repositories, issues, pull requests, and users.
The constructor takes an OAuth key as a parameter and uses it to authenticate with the GitHub API. Once</t>
        </is>
      </c>
      <c r="E821" t="n">
        <v>0.0031</v>
      </c>
      <c r="F821" t="n">
        <v>0.0299</v>
      </c>
      <c r="G821" t="n">
        <v>0.07630000000000001</v>
      </c>
      <c r="H821" t="inlineStr">
        <is>
          <t>This code appears to be a Java implementation of the GitHub API using the JCABI library for HTTP requests and JSON parsing. It provides a high-level interface for interacting with the GitHub API, allowing users to create, read, update, and delete objects in their repositories. The main class, `RtGitHub`, represents a connection to the GitHub API and allows users to access</t>
        </is>
      </c>
      <c r="I821" t="n">
        <v>0.0036</v>
      </c>
      <c r="J821" t="n">
        <v>0.0857</v>
      </c>
      <c r="K821" t="n">
        <v>0.1504</v>
      </c>
      <c r="L821" t="inlineStr">
        <is>
          <t>The code defines a class named `RtGitHub` that implements the `GitHub` interface from the `com.jcabi.github` package. It provides a starting point for interacting with the GitHub API using the `JCABI Github` library. The class takes an oauth key as input and creates a request object using the Apache HTTP client. The `</t>
        </is>
      </c>
      <c r="M821" t="n">
        <v>0.0042</v>
      </c>
      <c r="N821" t="n">
        <v>0.06560000000000001</v>
      </c>
      <c r="O821" t="n">
        <v>0.121</v>
      </c>
    </row>
    <row r="822">
      <c r="A822" t="inlineStr">
        <is>
          <t>jcabi</t>
        </is>
      </c>
      <c r="B822" t="inlineStr">
        <is>
          <t>src/main/java/com/jcabi/github/PublicKeys.java</t>
        </is>
      </c>
      <c r="C822">
        <f>HYPERLINK("https://github.com/jcabi/jcabi-github/blob/master/src/main/java/com/jcabi/github/PublicKeys.java")</f>
        <v/>
      </c>
      <c r="D822" t="inlineStr">
        <is>
          <t>The provided code defines an interface for interacting with the GitHub Public Key system. It provides methods for retrieving information about the user's public keys, creating new ones, and deleting existing ones. The `iterate()` method returns an iterable collection of all public keys associated with the current user, while the `get()` method allows you to retrieve a specific public key by its ID.</t>
        </is>
      </c>
      <c r="E822" t="n">
        <v>0.0029</v>
      </c>
      <c r="F822" t="n">
        <v>0.0278</v>
      </c>
      <c r="G822" t="n">
        <v>0.037</v>
      </c>
      <c r="H822" t="inlineStr">
        <is>
          <t>This is Java code for a class called "PublicKeys" that implements an interface called "Github". It appears to be part of a larger project or application. The class has several methods, including "user()", "iterate()", "get()", and "create()". These methods appear to interact with a remote server using the Github API. The class also includes annotations such</t>
        </is>
      </c>
      <c r="I822" t="n">
        <v>0.0043</v>
      </c>
      <c r="J822" t="n">
        <v>0.09379999999999999</v>
      </c>
      <c r="K822" t="n">
        <v>0.1563</v>
      </c>
      <c r="L822" t="inlineStr">
        <is>
          <t>The provided code defines a Java interface for interacting with the GitHub Public Key API. It provides methods for retrieving and manipulating public keys associated with a specific user account. The interface is annotated with Javadoc comments that provide additional information about each method and their parameters.
The interface includes three methods:
* `user()` returns the user object that owns the</t>
        </is>
      </c>
      <c r="M822" t="n">
        <v>0.003</v>
      </c>
      <c r="N822" t="n">
        <v>0.0294</v>
      </c>
      <c r="O822" t="n">
        <v>0.0376</v>
      </c>
    </row>
    <row r="823">
      <c r="A823" t="inlineStr">
        <is>
          <t>jcabi</t>
        </is>
      </c>
      <c r="B823" t="inlineStr">
        <is>
          <t>src/main/java/com/jcabi/github/RtPublicKey.java</t>
        </is>
      </c>
      <c r="C823">
        <f>HYPERLINK("https://github.com/jcabi/jcabi-github/blob/master/src/main/java/com/jcabi/github/RtPublicKey.java")</f>
        <v/>
      </c>
      <c r="D823" t="inlineStr">
        <is>
          <t>The `RtPublicKey` class is a representation of a public key on GitHub. It has three fields:
* `request`: An instance of the `Request` class from the `com.jcabi.http` package, which represents a RESTful request to the GitHub API.
* `owner`: An instance of the `User` class from the `com.</t>
        </is>
      </c>
      <c r="E823" t="n">
        <v>0</v>
      </c>
      <c r="F823" t="n">
        <v>0</v>
      </c>
      <c r="G823" t="n">
        <v>0</v>
      </c>
      <c r="H823" t="inlineStr">
        <is>
          <t>The provided code is a Java implementation of a GitHub public key, which is part of a larger project called JCABI Github. It appears to be a library for interacting with the GitHub API using the HTTP protocol.
The `RtPublicKey` class represents a single public key on GitHub, and it has several fields and methods that allow you to retrieve information about the</t>
        </is>
      </c>
      <c r="I823" t="n">
        <v>0.0029</v>
      </c>
      <c r="J823" t="n">
        <v>0.0563</v>
      </c>
      <c r="K823" t="n">
        <v>0.1111</v>
      </c>
      <c r="L823" t="inlineStr">
        <is>
          <t>The code defines a `RtPublicKey` class that represents a public key for a GitHub account. It is part of the `com.jcabi.github` package and uses several external libraries such as `lombok`, `jakarta.json`, and `com.jcabi.aspects`.
The class has three fields:
* `request</t>
        </is>
      </c>
      <c r="M823" t="n">
        <v>0.0046</v>
      </c>
      <c r="N823" t="n">
        <v>0.0385</v>
      </c>
      <c r="O823" t="n">
        <v>0.0893</v>
      </c>
    </row>
    <row r="824">
      <c r="A824" t="inlineStr">
        <is>
          <t>jcabi</t>
        </is>
      </c>
      <c r="B824" t="inlineStr">
        <is>
          <t>src/main/java/com/jcabi/github/Bulk.java</t>
        </is>
      </c>
      <c r="C824">
        <f>HYPERLINK("https://github.com/jcabi/jcabi-github/blob/master/src/main/java/com/jcabi/github/Bulk.java")</f>
        <v/>
      </c>
      <c r="D824" t="inlineStr">
        <is>
          <t>The `Bulk` class is a decorator that wraps around objects obtained from the GitHub API. It stores the JSON representation of those objects in memory, allowing for faster access to certain properties without having to re-fetch them from the API.
The `Bulk` class has two main methods: `bulk()` and `get()`. The `bulk()` method takes an</t>
        </is>
      </c>
      <c r="E824" t="n">
        <v>0.0033</v>
      </c>
      <c r="F824" t="n">
        <v>0.0312</v>
      </c>
      <c r="G824" t="n">
        <v>0.0394</v>
      </c>
      <c r="H824" t="inlineStr">
        <is>
          <t>This is a Java package containing classes that implement the `Iterable` interface and provide a way to iterate over a collection of objects while keeping their JSON values in memory. The main class in this package is called `Bulk`, which takes an `Iterable` of objects and returns a new `Iterable` that wraps each object in a `Smart` proxy. Each `Sm</t>
        </is>
      </c>
      <c r="I824" t="n">
        <v>0.0036</v>
      </c>
      <c r="J824" t="n">
        <v>0.0882</v>
      </c>
      <c r="K824" t="n">
        <v>0.1136</v>
      </c>
      <c r="L824" t="inlineStr">
        <is>
          <t>The code defines a Java class called "BulkItems" that serves as a decorator for objects obtained from the GitHub API. It is designed to cache the JSON representation of the objects in memory, reducing the number of HTTP requests required to retrieve data from the API. The class provides a simple way to access the cached JSON data by implementing a proxy pattern over the original object.</t>
        </is>
      </c>
      <c r="M824" t="n">
        <v>0</v>
      </c>
      <c r="N824" t="n">
        <v>0.0267</v>
      </c>
      <c r="O824" t="n">
        <v>0.036</v>
      </c>
    </row>
    <row r="825">
      <c r="A825" t="inlineStr">
        <is>
          <t>jcabi</t>
        </is>
      </c>
      <c r="B825" t="inlineStr">
        <is>
          <t>src/main/java/com/jcabi/github/Tags.java</t>
        </is>
      </c>
      <c r="C825">
        <f>HYPERLINK("https://github.com/jcabi/jcabi-github/blob/master/src/main/java/com/jcabi/github/Tags.java")</f>
        <v/>
      </c>
      <c r="D825" t="inlineStr">
        <is>
          <t>This is a Java interface that represents a collection of tags in a GitHub repository. It provides methods to retrieve information about the tags, such as their names, SHAs, and creation dates. Additionally, it allows you to create new tags and retrieve specific tags based on their SHAs.</t>
        </is>
      </c>
      <c r="E825" t="n">
        <v>0.0045</v>
      </c>
      <c r="F825" t="n">
        <v>0.07140000000000001</v>
      </c>
      <c r="G825" t="n">
        <v>0.0833</v>
      </c>
      <c r="H825" t="inlineStr">
        <is>
          <t>This is a Java library that provides an implementation of the GitHub API's "Git Data Tags" endpoint. It defines an interface called `Tags` with methods to interact with tags in a Git repository. The interface includes methods to retrieve information about the owner of the tag, create a new tag, and retrieve a specific tag by its SHA hash. Additionally, it includes annotations for immut</t>
        </is>
      </c>
      <c r="I825" t="n">
        <v>0.0033</v>
      </c>
      <c r="J825" t="n">
        <v>0.08110000000000001</v>
      </c>
      <c r="K825" t="n">
        <v>0.1095</v>
      </c>
      <c r="L825" t="inlineStr">
        <is>
          <t>The code defines an interface called `Tags` that represents a collection of tags in a GitHub repository. It provides methods to retrieve the owner of the tag (`repo()`), create a new tag using JSON parameters (`create()`), and return a specific tag by its SHA hash (`get()`).</t>
        </is>
      </c>
      <c r="M825" t="n">
        <v>0.004</v>
      </c>
      <c r="N825" t="n">
        <v>0.037</v>
      </c>
      <c r="O825" t="n">
        <v>0.0847</v>
      </c>
    </row>
    <row r="826">
      <c r="A826" t="inlineStr">
        <is>
          <t>jcabi</t>
        </is>
      </c>
      <c r="B826" t="inlineStr">
        <is>
          <t>src/main/java/com/jcabi/github/GitHub.java</t>
        </is>
      </c>
      <c r="C826">
        <f>HYPERLINK("https://github.com/jcabi/jcabi-github/blob/master/src/main/java/com/jcabi/github/GitHub.java")</f>
        <v/>
      </c>
      <c r="D826" t="inlineStr">
        <is>
          <t>The `RtGitHub` class provides a starting point for interacting with the GitHub API using the JCabi GitHub library. It takes in an OAuth key as its constructor argument and returns a `GitHub` object that can be used to access various parts of the GitHub API, such as repositories, users, and issues.
The `GitHub` object returned by `</t>
        </is>
      </c>
      <c r="E826" t="n">
        <v>0.0032</v>
      </c>
      <c r="F826" t="n">
        <v>0.0312</v>
      </c>
      <c r="G826" t="n">
        <v>0.0775</v>
      </c>
      <c r="H826" t="inlineStr">
        <is>
          <t>This code defines a Java class called `RtGitHub` that implements the `GitHub` interface from the `com.jcabi.github` package. The class has several responsibilities, including:
* Creating a new instance of the `RtGitHub` class using an OAuth key as input.
* Implementing the `repos()` method</t>
        </is>
      </c>
      <c r="I826" t="n">
        <v>0.0051</v>
      </c>
      <c r="J826" t="n">
        <v>0.0784</v>
      </c>
      <c r="K826" t="n">
        <v>0.1304</v>
      </c>
      <c r="L826" t="inlineStr">
        <is>
          <t>The code defines a class called `RtGitHub` that represents a connection to the GitHub API. It has several methods for interacting with different parts of the API, such as retrieving repositories, creating issues, and more. The class takes an oauth key as input when instantiated, which is used to authenticate requests made to the API.</t>
        </is>
      </c>
      <c r="M826" t="n">
        <v>0.0033</v>
      </c>
      <c r="N826" t="n">
        <v>0.0317</v>
      </c>
      <c r="O826" t="n">
        <v>0.07870000000000001</v>
      </c>
    </row>
    <row r="827">
      <c r="A827" t="inlineStr">
        <is>
          <t>jcabi</t>
        </is>
      </c>
      <c r="B827" t="inlineStr">
        <is>
          <t>src/main/java/com/jcabi/github/RtTree.java</t>
        </is>
      </c>
      <c r="C827">
        <f>HYPERLINK("https://github.com/jcabi/jcabi-github/blob/master/src/main/java/com/jcabi/github/RtTree.java")</f>
        <v/>
      </c>
      <c r="D827" t="inlineStr">
        <is>
          <t>This is a Java class that represents a GitHub tree object. It has several responsibilities:
* It provides access to the RESTful API for working with trees on GitHub.
* It encapsulates the logic for making requests to the API using the `request` field.
* It stores information about the current tree, such as its owner (`owner`) and commit hash</t>
        </is>
      </c>
      <c r="E827" t="n">
        <v>0.0036</v>
      </c>
      <c r="F827" t="n">
        <v>0.0615</v>
      </c>
      <c r="G827" t="n">
        <v>0.1136</v>
      </c>
      <c r="H827" t="inlineStr">
        <is>
          <t>This is a Java library for working with GitHub repositories. The `RtTree` class represents a single tree object in a Git repository. It has methods to retrieve information about the tree, such as its contents and metadata.
The constructor takes three parameters:
* `req`: An instance of the `Request` class from the JCABI HTTP library, which provides a</t>
        </is>
      </c>
      <c r="I827" t="n">
        <v>0.0037</v>
      </c>
      <c r="J827" t="n">
        <v>0.0615</v>
      </c>
      <c r="K827" t="n">
        <v>0.1154</v>
      </c>
      <c r="L827" t="inlineStr">
        <is>
          <t>The provided code is part of a Java project that defines a `RtTree` class, which represents a GitHub tree object. The class has several methods for retrieving and manipulating the contents of the tree.
The overall purpose of the code appears to be to provide a way to interact with GitHub trees through the use of the `com.jcabi.github` package.</t>
        </is>
      </c>
      <c r="M827" t="n">
        <v>0.0031</v>
      </c>
      <c r="N827" t="n">
        <v>0.029</v>
      </c>
      <c r="O827" t="n">
        <v>0.07630000000000001</v>
      </c>
    </row>
    <row r="828">
      <c r="A828" t="inlineStr">
        <is>
          <t>jcabi</t>
        </is>
      </c>
      <c r="B828" t="inlineStr">
        <is>
          <t>src/main/java/com/jcabi/github/Commit.java</t>
        </is>
      </c>
      <c r="C828">
        <f>HYPERLINK("https://github.com/jcabi/jcabi-github/blob/master/src/main/java/com/jcabi/github/Commit.java")</f>
        <v/>
      </c>
      <c r="D828" t="inlineStr">
        <is>
          <t>This class represents a GitHub commit and provides methods to retrieve information about the commit from the GitHub API. It implements the `Comparable` and `JsonReadable` interfaces.
Here is a summary of the main functionalities of this class:
* Getters for various properties of the commit such as the ID, message, author, etc.
* Methods to retrieve</t>
        </is>
      </c>
      <c r="E828" t="n">
        <v>0.0043</v>
      </c>
      <c r="F828" t="n">
        <v>0.0968</v>
      </c>
      <c r="G828" t="n">
        <v>0.1563</v>
      </c>
      <c r="H828" t="inlineStr">
        <is>
          <t>This Java class implements the `Commit` interface from the `com.jcabi.github` package. It represents a Git commit on GitHub and provides methods for accessing various attributes of the commit, such as its SHA hash, author, committer, message, etc.
The class has several annotations that indicate its immutability and logging capabilities. It also imports several other</t>
        </is>
      </c>
      <c r="I828" t="n">
        <v>0.0045</v>
      </c>
      <c r="J828" t="n">
        <v>0.09379999999999999</v>
      </c>
      <c r="K828" t="n">
        <v>0.119</v>
      </c>
      <c r="L828" t="inlineStr">
        <is>
          <t>This code defines a Java interface called `Commit` that represents a Git commit in a GitHub repository. It provides methods for accessing various properties of the commit, such as its ID, message, author, and timestamp. The interface also includes a smart decorator called `Smart`, which allows developers to easily access common properties of the commit without having to manually parse the underlying JSON data.</t>
        </is>
      </c>
      <c r="M828" t="n">
        <v>0.0034</v>
      </c>
      <c r="N828" t="n">
        <v>0.0556</v>
      </c>
      <c r="O828" t="n">
        <v>0.0735</v>
      </c>
    </row>
    <row r="829">
      <c r="A829" t="inlineStr">
        <is>
          <t>jcabi</t>
        </is>
      </c>
      <c r="B829" t="inlineStr">
        <is>
          <t>src/main/java/com/jcabi/github/Pulls.java</t>
        </is>
      </c>
      <c r="C829">
        <f>HYPERLINK("https://github.com/jcabi/jcabi-github/blob/master/src/main/java/com/jcabi/github/Pulls.java")</f>
        <v/>
      </c>
      <c r="D829" t="inlineStr">
        <is>
          <t>This code defines an interface for working with GitHub pull requests using the JCabi Github library. The interface provides methods to retrieve information about individual pull requests, create new pull requests, and update existing ones. It also includes some utility methods for getting information about the owner of the pull requests and the repository they belong to.</t>
        </is>
      </c>
      <c r="E829" t="n">
        <v>0.0038</v>
      </c>
      <c r="F829" t="n">
        <v>0.0615</v>
      </c>
      <c r="G829" t="n">
        <v>0.1163</v>
      </c>
      <c r="H829" t="inlineStr">
        <is>
          <t>This code defines an interface for interacting with GitHub pull requests using the JCABI library. The interface provides methods to retrieve information about individual pull requests based on their number, as well as create new pull requests. It also includes comments explaining the purpose of each method and providing links to relevant documentation. The complexity of this code is O(N), where N is the number of pull requests</t>
        </is>
      </c>
      <c r="I829" t="n">
        <v>0.0032</v>
      </c>
      <c r="J829" t="n">
        <v>0.0519</v>
      </c>
      <c r="K829" t="n">
        <v>0.1071</v>
      </c>
      <c r="L829" t="inlineStr">
        <is>
          <t>The code defines an interface for working with GitHub pull requests. It provides methods for retrieving specific pull requests based on their numbers, as well as creating new ones. Additionally, it includes annotations for documentation purposes.</t>
        </is>
      </c>
      <c r="M829" t="n">
        <v>0</v>
      </c>
      <c r="N829" t="n">
        <v>0</v>
      </c>
      <c r="O829" t="n">
        <v>0.0463</v>
      </c>
    </row>
    <row r="830">
      <c r="A830" t="inlineStr">
        <is>
          <t>jcabi</t>
        </is>
      </c>
      <c r="B830" t="inlineStr">
        <is>
          <t>src/main/java/com/jcabi/github/Gists.java</t>
        </is>
      </c>
      <c r="C830">
        <f>HYPERLINK("https://github.com/jcabi/jcabi-github/blob/master/src/main/java/com/jcabi/github/Gists.java")</f>
        <v/>
      </c>
      <c r="D830" t="inlineStr">
        <is>
          <t>This code defines an interface for interacting with GitHub gists through the `Gists` class. The interface provides methods to create a new gist, get a gist by its name, and retrieve all gists associated with a user or organization.
The `Gists` class has two main functions:
1. Creating a new gist: The `create()` method</t>
        </is>
      </c>
      <c r="E830" t="n">
        <v>0.004</v>
      </c>
      <c r="F830" t="n">
        <v>0.0645</v>
      </c>
      <c r="G830" t="n">
        <v>0.119</v>
      </c>
      <c r="H830" t="inlineStr">
        <is>
          <t>This code defines an interface for interacting with GitHub gists through their RESTful API. The `Gists` class provides methods to create new gists, get gists by name, and other operations on gists. It also includes documentation and annotations that provide information about the implementation, such as the license and copyright notice, as well as the complexity and comments associated with each method.</t>
        </is>
      </c>
      <c r="I830" t="n">
        <v>0.0035</v>
      </c>
      <c r="J830" t="n">
        <v>0.0857</v>
      </c>
      <c r="K830" t="n">
        <v>0.1119</v>
      </c>
      <c r="L830" t="inlineStr">
        <is>
          <t>The code defines an interface for interacting with the GitHub Gists API. It provides methods for creating and retrieving gists, as well as accessing the underlying GitHub instance. The interface is annotated with comments that provide additional information about each method and their parameters.</t>
        </is>
      </c>
      <c r="M830" t="n">
        <v>0.0042</v>
      </c>
      <c r="N830" t="n">
        <v>0.0385</v>
      </c>
      <c r="O830" t="n">
        <v>0.0862</v>
      </c>
    </row>
    <row r="831">
      <c r="A831" t="inlineStr">
        <is>
          <t>jcabi</t>
        </is>
      </c>
      <c r="B831" t="inlineStr">
        <is>
          <t>src/main/java/com/jcabi/github/RtLanguage.java</t>
        </is>
      </c>
      <c r="C831">
        <f>HYPERLINK("https://github.com/jcabi/jcabi-github/blob/master/src/main/java/com/jcabi/github/RtLanguage.java")</f>
        <v/>
      </c>
      <c r="D831" t="inlineStr">
        <is>
          <t>The `RtLanguage` class is a representation of a programming language used in a GitHub repository. It has two fields: `txt`, which stores the name of the language, and `length`, which stores the number of bytes written in that language in the repository. The class also provides methods for accessing these values (`name()` and `bytes()`, respectively).</t>
        </is>
      </c>
      <c r="E831" t="n">
        <v>0.0033</v>
      </c>
      <c r="F831" t="n">
        <v>0.0317</v>
      </c>
      <c r="G831" t="n">
        <v>0.07870000000000001</v>
      </c>
      <c r="H831" t="inlineStr">
        <is>
          <t>This is a Java package named `com.jcabi.github` that provides a model for representing a programming language used in a GitHub repository. The `RtLanguage` class is the main entry point for interacting with this data structure. It has two fields: `txt`, which stores the name of the language, and `length`, which stores the number of bytes written in the</t>
        </is>
      </c>
      <c r="I831" t="n">
        <v>0.0037</v>
      </c>
      <c r="J831" t="n">
        <v>0.0588</v>
      </c>
      <c r="K831" t="n">
        <v>0.1154</v>
      </c>
      <c r="L831" t="inlineStr">
        <is>
          <t>The provided code defines a class called `RtLanguage` that represents a programming language used in a GitHub repository. It has two fields: `txt`, which stores the language name, and `length`, which stores the number of bytes written in the language in the project. The class also provides two methods: `name()` returns the language name, and `bytes()` returns the number of bytes</t>
        </is>
      </c>
      <c r="M831" t="n">
        <v>0.003</v>
      </c>
      <c r="N831" t="n">
        <v>0.029</v>
      </c>
      <c r="O831" t="n">
        <v>0.0752</v>
      </c>
    </row>
    <row r="832">
      <c r="A832" t="inlineStr">
        <is>
          <t>jcabi</t>
        </is>
      </c>
      <c r="B832" t="inlineStr">
        <is>
          <t>src/main/java/com/jcabi/github/Milestone.java</t>
        </is>
      </c>
      <c r="C832">
        <f>HYPERLINK("https://github.com/jcabi/jcabi-github/blob/master/src/main/java/com/jcabi/github/Milestone.java")</f>
        <v/>
      </c>
      <c r="D832" t="inlineStr">
        <is>
          <t>The provided code is a Java interface named `Milestone` that represents a GitHub milestone. It has several methods for interacting with the milestone, such as getting its ID, title, description, due date, and state (open or closed). Additionally, it includes a smart decorator called `Smart` that provides additional functionality for working with the milestone, such as checking whether</t>
        </is>
      </c>
      <c r="E832" t="n">
        <v>0.0037</v>
      </c>
      <c r="F832" t="n">
        <v>0.0303</v>
      </c>
      <c r="G832" t="n">
        <v>0.0769</v>
      </c>
      <c r="H832" t="inlineStr">
        <is>
          <t>This is a Java library that provides a set of classes and interfaces for working with GitHub's Milestones API. The main class in this package is `Milestone`, which represents a single milestone on a GitHub repository. It has several methods for retrieving information about the milestone, such as its title, description, due date, and completion status. Additionally, it can be used</t>
        </is>
      </c>
      <c r="I832" t="n">
        <v>0.0036</v>
      </c>
      <c r="J832" t="n">
        <v>0.0571</v>
      </c>
      <c r="K832" t="n">
        <v>0.1128</v>
      </c>
      <c r="L832" t="inlineStr">
        <is>
          <t>The code defines a Java class called `Milestone` that represents a GitHub milestone. It is annotated with several annotations, including `@Immutable`, `@Loggable`, and `@EqualsAndHashCode`. The class implements various interfaces, such as `Comparable`, `JsonReadable`, and `JsonPatchable`.
The class has several methods, including `getNumber</t>
        </is>
      </c>
      <c r="M832" t="n">
        <v>0.0052</v>
      </c>
      <c r="N832" t="n">
        <v>0.08</v>
      </c>
      <c r="O832" t="n">
        <v>0.0877</v>
      </c>
    </row>
    <row r="833">
      <c r="A833" t="inlineStr">
        <is>
          <t>jcabi</t>
        </is>
      </c>
      <c r="B833" t="inlineStr">
        <is>
          <t>src/main/java/com/jcabi/github/Hooks.java</t>
        </is>
      </c>
      <c r="C833">
        <f>HYPERLINK("https://github.com/jcabi/jcabi-github/blob/master/src/main/java/com/jcabi/github/Hooks.java")</f>
        <v/>
      </c>
      <c r="D833" t="inlineStr">
        <is>
          <t>The `Hooks` class provides a way to interact with GitHub's hooks API. It has several methods that allow you to retrieve information about the hooks associated with a particular repository, as well as create, update, or delete hooks.
The `iterate()` method returns an iterable collection of `Hook` objects, which represent individual hooks in the</t>
        </is>
      </c>
      <c r="E833" t="n">
        <v>0</v>
      </c>
      <c r="F833" t="n">
        <v>0</v>
      </c>
      <c r="G833" t="n">
        <v>0</v>
      </c>
      <c r="H833" t="inlineStr">
        <is>
          <t>This code defines an interface for interacting with GitHub webhooks using the JCABI library. The interface provides methods for retrieving information about the owner of the hooks, iterating over the hooks themselves, removing a hook by its ID, and getting a specific hook by its number. The comments in the code provide additional context and documentation on each method.</t>
        </is>
      </c>
      <c r="I833" t="n">
        <v>0.0037</v>
      </c>
      <c r="J833" t="n">
        <v>0.0597</v>
      </c>
      <c r="K833" t="n">
        <v>0.1145</v>
      </c>
      <c r="L833" t="inlineStr">
        <is>
          <t>The code defines a class called "Hooks" that represents a collection of GitHub hooks for a repository. It has methods for iterating over the hooks, removing a hook by ID, and getting a specific hook by number. The class also has a property called "repo" that returns the owner of the hooks.</t>
        </is>
      </c>
      <c r="M833" t="n">
        <v>0.0035</v>
      </c>
      <c r="N833" t="n">
        <v>0.0333</v>
      </c>
      <c r="O833" t="n">
        <v>0.0403</v>
      </c>
    </row>
    <row r="834">
      <c r="A834" t="inlineStr">
        <is>
          <t>jcabi</t>
        </is>
      </c>
      <c r="B834" t="inlineStr">
        <is>
          <t>src/main/java/com/jcabi/github/Issue.java</t>
        </is>
      </c>
      <c r="C834">
        <f>HYPERLINK("https://github.com/jcabi/jcabi-github/blob/master/src/main/java/com/jcabi/github/Issue.java")</f>
        <v/>
      </c>
      <c r="D834" t="inlineStr">
        <is>
          <t>The provided code defines a class called `Issue` that represents an issue in a GitHub repository. It has several methods to retrieve information about the issue, such as its title, body, labels, comments, and assignees. Additionally, it provides a method to close the issue.
The class also extends another class called `Smart`, which is a smart decorator for</t>
        </is>
      </c>
      <c r="E834" t="n">
        <v>0.0031</v>
      </c>
      <c r="F834" t="n">
        <v>0.0303</v>
      </c>
      <c r="G834" t="n">
        <v>0.0385</v>
      </c>
      <c r="H834" t="inlineStr">
        <is>
          <t>This is a Java library that provides classes and methods for working with GitHub issues. The library includes a `Issue` class that represents a single issue on GitHub, as well as a `Smart` subclass that adds additional features such as checking whether an issue is open or closed, and closing it if necessary. Additionally, there are several utility classes and methods for working with JSON data and</t>
        </is>
      </c>
      <c r="I834" t="n">
        <v>0.0032</v>
      </c>
      <c r="J834" t="n">
        <v>0.0533</v>
      </c>
      <c r="K834" t="n">
        <v>0.1079</v>
      </c>
      <c r="L834" t="inlineStr">
        <is>
          <t>The provided code is part of a Java library for working with GitHub issues. It defines a class called `Issue` that represents a single GitHub issue. The class has several methods for retrieving and manipulating various aspects of the issue, such as its title, body, labels, assignees, and comments. Additionally, there is a `Smart` subclass of `Iss</t>
        </is>
      </c>
      <c r="M834" t="n">
        <v>0.0032</v>
      </c>
      <c r="N834" t="n">
        <v>0.0308</v>
      </c>
      <c r="O834" t="n">
        <v>0.0775</v>
      </c>
    </row>
    <row r="835">
      <c r="A835" t="inlineStr">
        <is>
          <t>jcabi</t>
        </is>
      </c>
      <c r="B835" t="inlineStr">
        <is>
          <t>src/main/java/com/jcabi/github/RtPublicMembers.java</t>
        </is>
      </c>
      <c r="C835">
        <f>HYPERLINK("https://github.com/jcabi/jcabi-github/blob/master/src/main/java/com/jcabi/github/RtPublicMembers.java")</f>
        <v/>
      </c>
      <c r="D835" t="inlineStr">
        <is>
          <t>The `RtPublicMembers` class is a Java implementation of the GitHub Organization Members API. It provides methods for retrieving public members of a GitHub organization.
The class has several fields and methods that are relevant to its functionality:
* `entry`: An instance of the `Request` class from the `jcabi-http` library, which represents the</t>
        </is>
      </c>
      <c r="E835" t="n">
        <v>0.0035</v>
      </c>
      <c r="F835" t="n">
        <v>0.0667</v>
      </c>
      <c r="G835" t="n">
        <v>0.0806</v>
      </c>
      <c r="H835" t="inlineStr">
        <is>
          <t>This is Java code for a public member class in the JCABI Github library. It has annotations indicating that it's immutable, loggable, and equals and hashcode are implemented based on its fields. The class takes three parameters upon initialization: entry, request, and organization.</t>
        </is>
      </c>
      <c r="I835" t="n">
        <v>0.0051</v>
      </c>
      <c r="J835" t="n">
        <v>0.1154</v>
      </c>
      <c r="K835" t="n">
        <v>0.1304</v>
      </c>
      <c r="L835" t="inlineStr">
        <is>
          <t>The provided code is part of a Java library for interacting with the GitHub API. It defines a class called `RtPublicMembers` that represents public members of a GitHub organization.
The class has several responsibilities, including:
* Creating requests to the GitHub API using the `request` field
* Handling responses from the GitHub API using the `entry`</t>
        </is>
      </c>
      <c r="M835" t="n">
        <v>0</v>
      </c>
      <c r="N835" t="n">
        <v>0</v>
      </c>
      <c r="O835" t="n">
        <v>0.0391</v>
      </c>
    </row>
    <row r="836">
      <c r="A836" t="inlineStr">
        <is>
          <t>jcabi</t>
        </is>
      </c>
      <c r="B836" t="inlineStr">
        <is>
          <t>src/main/java/com/jcabi/github/RtLabels.java</t>
        </is>
      </c>
      <c r="C836">
        <f>HYPERLINK("https://github.com/jcabi/jcabi-github/blob/master/src/main/java/com/jcabi/github/RtLabels.java")</f>
        <v/>
      </c>
      <c r="D836" t="inlineStr">
        <is>
          <t>The `RtLabels` class is a part of the JCABI Github library for Java. It represents the labels of a repository on GitHub.com.
The class has several important methods that allow you to interact with the labels:
* `add`: adds a new label to the repository.
* `remove`: removes a label from the repository.</t>
        </is>
      </c>
      <c r="E836" t="n">
        <v>0</v>
      </c>
      <c r="F836" t="n">
        <v>0</v>
      </c>
      <c r="G836" t="n">
        <v>0.04</v>
      </c>
      <c r="H836" t="inlineStr">
        <is>
          <t>This is a Java implementation of the `com.jcabi.github` package, which provides classes for interacting with the GitHub API. The package includes several classes, but the main one being described here is the `RtLabels` class, which represents a collection of labels in a GitHub repository.
The `RtLabels` class has several fields and methods that</t>
        </is>
      </c>
      <c r="I836" t="n">
        <v>0.0041</v>
      </c>
      <c r="J836" t="n">
        <v>0.09520000000000001</v>
      </c>
      <c r="K836" t="n">
        <v>0.12</v>
      </c>
      <c r="L836" t="inlineStr">
        <is>
          <t>The provided code is part of a Java library for interacting with the GitHub API. It defines a class called `RtLabels` that represents a collection of labels associated with a repository. The class has several methods for retrieving and manipulating label data, such as creating new labels, updating existing ones, and deleting them.
The constructor takes three parameters:
* `</t>
        </is>
      </c>
      <c r="M836" t="n">
        <v>0.003</v>
      </c>
      <c r="N836" t="n">
        <v>0.0303</v>
      </c>
      <c r="O836" t="n">
        <v>0.07580000000000001</v>
      </c>
    </row>
    <row r="837">
      <c r="A837" t="inlineStr">
        <is>
          <t>jcabi</t>
        </is>
      </c>
      <c r="B837" t="inlineStr">
        <is>
          <t>src/main/java/com/jcabi/github/RtEvent.java</t>
        </is>
      </c>
      <c r="C837">
        <f>HYPERLINK("https://github.com/jcabi/jcabi-github/blob/master/src/main/java/com/jcabi/github/RtEvent.java")</f>
        <v/>
      </c>
      <c r="D837" t="inlineStr">
        <is>
          <t>The `RtEvent` class is a Java implementation of the `Event` interface from the JCABI Github library. It represents a single GitHub event, which can be retrieved using the `get()` method.
The constructor takes three parameters:
* `req`: A `Request` object that encapsulates the HTTP connection to the GitHub API.
*</t>
        </is>
      </c>
      <c r="E837" t="n">
        <v>0</v>
      </c>
      <c r="F837" t="n">
        <v>0.0357</v>
      </c>
      <c r="G837" t="n">
        <v>0.082</v>
      </c>
      <c r="H837" t="inlineStr">
        <is>
          <t>This is a Java library for interacting with the GitHub API. The `RtEvent` class represents a single GitHub event, which can be retrieved from a repository using the `repo.events()` method. It has several fields and methods that allow you to access information about the event, such as its ID, type, and payload.
The constructor takes three arguments:
*</t>
        </is>
      </c>
      <c r="I837" t="n">
        <v>0.0037</v>
      </c>
      <c r="J837" t="n">
        <v>0.0606</v>
      </c>
      <c r="K837" t="n">
        <v>0.1154</v>
      </c>
      <c r="L837" t="inlineStr">
        <is>
          <t>The code defines a Java class named `RtEvent` that represents a GitHub event. It is part of a larger project called JCABI Github, which provides a set of libraries for working with GitHub APIs from Java applications.
The class has several responsibilities, including:
* Representing a single GitHub event, such as a push event or a pull request</t>
        </is>
      </c>
      <c r="M837" t="n">
        <v>0</v>
      </c>
      <c r="N837" t="n">
        <v>0</v>
      </c>
      <c r="O837" t="n">
        <v>0.0385</v>
      </c>
    </row>
    <row r="838">
      <c r="A838" t="inlineStr">
        <is>
          <t>jcabi</t>
        </is>
      </c>
      <c r="B838" t="inlineStr">
        <is>
          <t>src/main/java/com/jcabi/github/RtBlob.java</t>
        </is>
      </c>
      <c r="C838">
        <f>HYPERLINK("https://github.com/jcabi/jcabi-github/blob/master/src/main/java/com/jcabi/github/RtBlob.java")</f>
        <v/>
      </c>
      <c r="D838" t="inlineStr">
        <is>
          <t>The `RtBlob` class is a Java implementation of a GitHub Blob object. It provides methods for retrieving information about a blob from the GitHub API.
The constructor takes three parameters:
* `req`: An instance of the `Request` class, which represents a RESTful request to the GitHub API.
* `repo`: An instance of the `Rep</t>
        </is>
      </c>
      <c r="E838" t="n">
        <v>0</v>
      </c>
      <c r="F838" t="n">
        <v>0.0333</v>
      </c>
      <c r="G838" t="n">
        <v>0.0397</v>
      </c>
      <c r="H838" t="inlineStr">
        <is>
          <t>This is a Java implementation of the `com.jcabi.github` package that provides a way to interact with the GitHub API using the `RtBlob` class. The class represents a single blob in a Git repository and provides methods for retrieving information about it, such as its size and content. It also includes annotations for logging and immutability.</t>
        </is>
      </c>
      <c r="I838" t="n">
        <v>0.004</v>
      </c>
      <c r="J838" t="n">
        <v>0.09229999999999999</v>
      </c>
      <c r="K838" t="n">
        <v>0.1575</v>
      </c>
      <c r="L838" t="inlineStr">
        <is>
          <t>The code defines a `RtBlob` class that represents a blob object in a GitHub repository. It is part of the JCabi Github library.
The constructor takes three parameters:
* `req`: An instance of the `Request` class from the JCabi HTTP library, which encapsulates the underlying HTTP client and provides methods for making requests to</t>
        </is>
      </c>
      <c r="M838" t="n">
        <v>0.0034</v>
      </c>
      <c r="N838" t="n">
        <v>0.0328</v>
      </c>
      <c r="O838" t="n">
        <v>0.0794</v>
      </c>
    </row>
    <row r="839">
      <c r="A839" t="inlineStr">
        <is>
          <t>jcabi</t>
        </is>
      </c>
      <c r="B839" t="inlineStr">
        <is>
          <t>src/main/java/com/jcabi/github/RtGistComments.java</t>
        </is>
      </c>
      <c r="C839">
        <f>HYPERLINK("https://github.com/jcabi/jcabi-github/blob/master/src/main/java/com/jcabi/github/RtGistComments.java")</f>
        <v/>
      </c>
      <c r="D839" t="inlineStr">
        <is>
          <t>The `RtGistComments` class is a Java implementation of the `GistComments` interface from the JCABI library for interacting with GitHub's Gist API. It provides methods for retrieving and manipulating comments on a specific Gist.
The constructor takes in two arguments:
* `req`: An instance of the `Request`</t>
        </is>
      </c>
      <c r="E839" t="n">
        <v>0.004</v>
      </c>
      <c r="F839" t="n">
        <v>0.0741</v>
      </c>
      <c r="G839" t="n">
        <v>0.1271</v>
      </c>
      <c r="H839" t="inlineStr">
        <is>
          <t>The code defines a Java class called `RtGistComments` that implements the interface `GistComments`. It is designed to handle requests related to GitHub Gists' comments using the JCABI HTTP library.
The constructor takes in three parameters:
* `req`: An instance of the `Request` class from the JCABI HTTP library,</t>
        </is>
      </c>
      <c r="I839" t="n">
        <v>0.0038</v>
      </c>
      <c r="J839" t="n">
        <v>0.0364</v>
      </c>
      <c r="K839" t="n">
        <v>0.0833</v>
      </c>
      <c r="L839" t="inlineStr">
        <is>
          <t>The code defines a Java class called `RtGistComments` that represents a collection of comments for a specific Gist object in GitHub. It is part of a larger project that provides a set of libraries for interacting with the GitHub API from Java applications.
The class has several responsibilities, including:
* Creating new instances of itself based on a given `</t>
        </is>
      </c>
      <c r="M839" t="n">
        <v>0</v>
      </c>
      <c r="N839" t="n">
        <v>0</v>
      </c>
      <c r="O839" t="n">
        <v>0.07580000000000001</v>
      </c>
    </row>
    <row r="840">
      <c r="A840" t="inlineStr">
        <is>
          <t>jcabi</t>
        </is>
      </c>
      <c r="B840" t="inlineStr">
        <is>
          <t>src/main/java/com/jcabi/github/Labels.java</t>
        </is>
      </c>
      <c r="C840">
        <f>HYPERLINK("https://github.com/jcabi/jcabi-github/blob/master/src/main/java/com/jcabi/github/Labels.java")</f>
        <v/>
      </c>
      <c r="D840" t="inlineStr">
        <is>
          <t>This code defines an interface for working with GitHub labels. It provides methods to retrieve the repository associated with the labels, create new labels, get a label by its name, and delete a label. The implementation of these methods is left out of this code snippet.
The `repo()` method returns the repository object that the labels belong to.
The `create()` method creates a new</t>
        </is>
      </c>
      <c r="E840" t="n">
        <v>0.0034</v>
      </c>
      <c r="F840" t="n">
        <v>0.0556</v>
      </c>
      <c r="G840" t="n">
        <v>0.1471</v>
      </c>
      <c r="H840" t="inlineStr">
        <is>
          <t>This code defines an interface for interacting with GitHub labels, which can be used to create, retrieve, update, or delete labels on issues and pull requests within a GitHub repository. The interface provides methods for creating a new label, retrieving a label by its name, updating a label, deleting a label, and getting all labels associated with a particular repository. Additionally, this interface is annotated</t>
        </is>
      </c>
      <c r="I840" t="n">
        <v>0.0033</v>
      </c>
      <c r="J840" t="n">
        <v>0.0548</v>
      </c>
      <c r="K840" t="n">
        <v>0.1095</v>
      </c>
      <c r="L840" t="inlineStr">
        <is>
          <t>This code defines an interface for interacting with GitHub labels. It provides methods for creating new labels, getting existing labels by name, and accessing other relevant information about the labels. The interface is annotated with various Lombok annotations that indicate immutability, logging, and aspect-oriented programming. The code also includes documentation comments that provide additional context and links to relevant GitHub API endpoints.</t>
        </is>
      </c>
      <c r="M840" t="n">
        <v>0.0035</v>
      </c>
      <c r="N840" t="n">
        <v>0.0563</v>
      </c>
      <c r="O840" t="n">
        <v>0.0746</v>
      </c>
    </row>
    <row r="841">
      <c r="A841" t="inlineStr">
        <is>
          <t>jcabi</t>
        </is>
      </c>
      <c r="B841" t="inlineStr">
        <is>
          <t>src/main/java/com/jcabi/github/RtBlobs.java</t>
        </is>
      </c>
      <c r="C841">
        <f>HYPERLINK("https://github.com/jcabi/jcabi-github/blob/master/src/main/java/com/jcabi/github/RtBlobs.java")</f>
        <v/>
      </c>
      <c r="D841" t="inlineStr">
        <is>
          <t>The `RtBlobs` class is a part of the JCABI Github library that provides access to the blobs in a GitHub repository. It has several responsibilities, including:
* Creating new instances of `Blob` objects from JSON responses returned by the GitHub API.
* Sending requests to the GitHub API for retrieving information about blobs</t>
        </is>
      </c>
      <c r="E841" t="n">
        <v>0</v>
      </c>
      <c r="F841" t="n">
        <v>0</v>
      </c>
      <c r="G841" t="n">
        <v>0.04</v>
      </c>
      <c r="H841" t="inlineStr">
        <is>
          <t>The provided code defines a Java class called `RtBlobs` that implements the `Blobs` interface from the `com.jcabi.github` package. It is part of a larger project that provides a library for interacting with the GitHub API using Java.
The `RtBlobs` class has several responsibilities, including:</t>
        </is>
      </c>
      <c r="I841" t="n">
        <v>0.0042</v>
      </c>
      <c r="J841" t="n">
        <v>0.037</v>
      </c>
      <c r="K841" t="n">
        <v>0.0862</v>
      </c>
      <c r="L841" t="inlineStr">
        <is>
          <t>The code defines a Java class called `RtBlobs` that represents a collection of blob objects in a GitHub repository. It is part of the JCabi Github library.
The class has several responsibilities:
* It provides methods for creating new blobs in the repository, updating existing ones, and deleting them.
* It also includes methods for retr</t>
        </is>
      </c>
      <c r="M841" t="n">
        <v>0.0033</v>
      </c>
      <c r="N841" t="n">
        <v>0.0323</v>
      </c>
      <c r="O841" t="n">
        <v>0.0781</v>
      </c>
    </row>
    <row r="842">
      <c r="A842" t="inlineStr">
        <is>
          <t>jcabi</t>
        </is>
      </c>
      <c r="B842" t="inlineStr">
        <is>
          <t>src/main/java/com/jcabi/github/RtRepoCommit.java</t>
        </is>
      </c>
      <c r="C842">
        <f>HYPERLINK("https://github.com/jcabi/jcabi-github/blob/master/src/main/java/com/jcabi/github/RtRepoCommit.java")</f>
        <v/>
      </c>
      <c r="D842" t="inlineStr">
        <is>
          <t>The provided code defines a `RtRepoCommit` class that represents a single commit in a GitHub repository. It has several fields and methods to interact with the commit, such as getting its details, comparing it to other commits, and retrieving its diff.
The constructor takes a `Request`, which is used for making HTTP requests to the GitHub API, a `Repo</t>
        </is>
      </c>
      <c r="E842" t="n">
        <v>0.0031</v>
      </c>
      <c r="F842" t="n">
        <v>0.0299</v>
      </c>
      <c r="G842" t="n">
        <v>0.07630000000000001</v>
      </c>
      <c r="H842" t="inlineStr">
        <is>
          <t>This is a Java library for interacting with the GitHub API. It provides classes for working with repositories, commits, and other Git-related entities. The library uses Lombok annotations to generate boilerplate code and reduce verbosity. It also includes support for logging and caching.</t>
        </is>
      </c>
      <c r="I842" t="n">
        <v>0.0051</v>
      </c>
      <c r="J842" t="n">
        <v>0.0769</v>
      </c>
      <c r="K842" t="n">
        <v>0.1304</v>
      </c>
      <c r="L842" t="inlineStr">
        <is>
          <t>The provided code is part of a Java library for interacting with the GitHub API. It defines a class called `RtRepoCommit` that represents a single commit in a GitHub repository. The class has several fields and methods, including constructors, accessors, and mutators.
The primary purpose of this class seems to be to provide a convenient way to interact with commits</t>
        </is>
      </c>
      <c r="M842" t="n">
        <v>0.003</v>
      </c>
      <c r="N842" t="n">
        <v>0.0294</v>
      </c>
      <c r="O842" t="n">
        <v>0.1136</v>
      </c>
    </row>
    <row r="843">
      <c r="A843" t="inlineStr">
        <is>
          <t>jcabi</t>
        </is>
      </c>
      <c r="B843" t="inlineStr">
        <is>
          <t>src/main/java/com/jcabi/github/ReleaseAsset.java</t>
        </is>
      </c>
      <c r="C843">
        <f>HYPERLINK("https://github.com/jcabi/jcabi-github/blob/master/src/main/java/com/jcabi/github/ReleaseAsset.java")</f>
        <v/>
      </c>
      <c r="D843" t="inlineStr">
        <is>
          <t>This code defines a Java interface for interacting with a GitHub release asset. It provides methods to retrieve information about the asset, such as its name, size, and download URL, as well as methods to delete the asset.
The interface inherits from `JsonReadable` and `JsonPatchable`, which indicate that it can be read from JSON data and updated through a patch</t>
        </is>
      </c>
      <c r="E843" t="n">
        <v>0.0036</v>
      </c>
      <c r="F843" t="n">
        <v>0.0588</v>
      </c>
      <c r="G843" t="n">
        <v>0.07580000000000001</v>
      </c>
      <c r="H843" t="inlineStr">
        <is>
          <t>This Java code defines a class called `ReleaseAsset` that represents a release asset on GitHub. It has several methods for accessing and modifying its properties, such as the release it belongs to, its number, and its name. Additionally, it provides methods for deleting itself from the API.
The class is annotated with `@Immutable`, which means that it cannot be modified after it is</t>
        </is>
      </c>
      <c r="I843" t="n">
        <v>0.0034</v>
      </c>
      <c r="J843" t="n">
        <v>0.0563</v>
      </c>
      <c r="K843" t="n">
        <v>0.0741</v>
      </c>
      <c r="L843" t="inlineStr">
        <is>
          <t>The code defines a class called "ReleaseAsset" that represents a release asset for a GitHub project. It has several methods, including one to retrieve the release associated with the asset, another to get the asset number, and others to delete the asset. The class also implements the JsonReadable and JsonPatchable interfaces, which allow it to be serialized and deserialized from JSON data</t>
        </is>
      </c>
      <c r="M843" t="n">
        <v>0.0035</v>
      </c>
      <c r="N843" t="n">
        <v>0.0571</v>
      </c>
      <c r="O843" t="n">
        <v>0.0746</v>
      </c>
    </row>
    <row r="844">
      <c r="A844" t="inlineStr">
        <is>
          <t>jcabi</t>
        </is>
      </c>
      <c r="B844" t="inlineStr">
        <is>
          <t>src/main/java/com/jcabi/github/RtRepoCommits.java</t>
        </is>
      </c>
      <c r="C844">
        <f>HYPERLINK("https://github.com/jcabi/jcabi-github/blob/master/src/main/java/com/jcabi/github/RtRepoCommits.java")</f>
        <v/>
      </c>
      <c r="D844" t="inlineStr">
        <is>
          <t>This is a Java implementation of the `RepoCommits` interface from the `com.jcabi.github` package. It provides a way to access the commits of a GitHub repository using the GitHub v3 API. The class has several fields and methods that provide information about the commits, such as their SHA hashes, authors, and messages. It also includes annotations like `@</t>
        </is>
      </c>
      <c r="E844" t="n">
        <v>0.0038</v>
      </c>
      <c r="F844" t="n">
        <v>0.09089999999999999</v>
      </c>
      <c r="G844" t="n">
        <v>0.155</v>
      </c>
      <c r="H844" t="inlineStr">
        <is>
          <t>This is a Java library that provides a convenient way to interact with the GitHub API from within your own application. It includes several classes that represent different types of entities in the GitHub API, such as repositories, users, and commits. The main class of interest in this library is `RtRepoCommits`, which represents a collection of commits for a specific repository on GitHub.
The</t>
        </is>
      </c>
      <c r="I844" t="n">
        <v>0.0034</v>
      </c>
      <c r="J844" t="n">
        <v>0.0556</v>
      </c>
      <c r="K844" t="n">
        <v>0.0735</v>
      </c>
      <c r="L844" t="inlineStr">
        <is>
          <t>The code defines a `RtRepoCommits` class that represents the commits of a GitHub repository. It is part of the `com.jcabi.github` package and uses several external libraries such as `lombok`, `jakarta.json`, and `com.jcabi.http`.
The class has two constructors, one of which takes a</t>
        </is>
      </c>
      <c r="M844" t="n">
        <v>0.0044</v>
      </c>
      <c r="N844" t="n">
        <v>0.0364</v>
      </c>
      <c r="O844" t="n">
        <v>0.0877</v>
      </c>
    </row>
    <row r="845">
      <c r="A845" t="inlineStr">
        <is>
          <t>jcabi</t>
        </is>
      </c>
      <c r="B845" t="inlineStr">
        <is>
          <t>src/main/java/com/jcabi/github/RtNotifications.java</t>
        </is>
      </c>
      <c r="C845">
        <f>HYPERLINK("https://github.com/jcabi/jcabi-github/blob/master/src/main/java/com/jcabi/github/RtNotifications.java")</f>
        <v/>
      </c>
      <c r="D845" t="inlineStr">
        <is>
          <t>This is a Java implementation of the Github Notifications API. It provides methods to retrieve and manage notifications.
The `RtNotifications` class has two main methods:
* `iterate()`: Returns an iterable collection of `Notification` objects representing all notifications for the current user.
* `markAsRead()`: Marks all notifications as read.</t>
        </is>
      </c>
      <c r="E845" t="n">
        <v>0.0045</v>
      </c>
      <c r="F845" t="n">
        <v>0.1111</v>
      </c>
      <c r="G845" t="n">
        <v>0.125</v>
      </c>
      <c r="H845" t="inlineStr">
        <is>
          <t>This is a Java package named "RtNotifications" that provides a set of classes to interact with the GitHub Notifications API. It appears to be part of a larger project, as there are references to other packages such as "JCabi HTTP" and "Apache Commons Lang".
The package defines a single class called "RtNotifications", which has several methods that</t>
        </is>
      </c>
      <c r="I845" t="n">
        <v>0.0038</v>
      </c>
      <c r="J845" t="n">
        <v>0.0615</v>
      </c>
      <c r="K845" t="n">
        <v>0.1163</v>
      </c>
      <c r="L845" t="inlineStr">
        <is>
          <t>The code is part of a Java library for interacting with the GitHub API. It defines a `RtNotifications` class that provides access to GitHub notifications. The class has several methods, including `iterate()`, which returns an iterable collection of `Notification` objects representing all notifications associated with the user. Other methods such as `markAsRead()` and `thread()` have been implemented</t>
        </is>
      </c>
      <c r="M845" t="n">
        <v>0.0032</v>
      </c>
      <c r="N845" t="n">
        <v>0.0308</v>
      </c>
      <c r="O845" t="n">
        <v>0.1163</v>
      </c>
    </row>
    <row r="846">
      <c r="A846" t="inlineStr">
        <is>
          <t>jcabi</t>
        </is>
      </c>
      <c r="B846" t="inlineStr">
        <is>
          <t>src/main/java/com/jcabi/github/RtPublicKeys.java</t>
        </is>
      </c>
      <c r="C846">
        <f>HYPERLINK("https://github.com/jcabi/jcabi-github/blob/master/src/main/java/com/jcabi/github/RtPublicKeys.java")</f>
        <v/>
      </c>
      <c r="D846" t="inlineStr">
        <is>
          <t>The `RtPublicKeys` class is a Java implementation of the GitHub Public Keys API. It provides methods for retrieving, creating, updating, and deleting public keys associated with a user or organization on GitHub.
The class has several dependencies, including `Request`, which represents an HTTP request, and `Json`, which is used to parse JSON data. It also imports various annotations</t>
        </is>
      </c>
      <c r="E846" t="n">
        <v>0.0031</v>
      </c>
      <c r="F846" t="n">
        <v>0.0606</v>
      </c>
      <c r="G846" t="n">
        <v>0.1154</v>
      </c>
      <c r="H846" t="inlineStr">
        <is>
          <t>The provided code is part of a Java library for interacting with the GitHub API. It defines a class called `RtPublicKeys` that represents a collection of public keys associated with a user on GitHub. This class provides methods to retrieve, create, update, and delete public keys as well as other utility functions related to working with these keys.
The constructor takes three parameters: `</t>
        </is>
      </c>
      <c r="I846" t="n">
        <v>0.0034</v>
      </c>
      <c r="J846" t="n">
        <v>0.0563</v>
      </c>
      <c r="K846" t="n">
        <v>0.1103</v>
      </c>
      <c r="L846" t="inlineStr">
        <is>
          <t>The provided code is part of a Java library for interacting with the GitHub API. It defines a `RtPublicKeys` class that represents a collection of user public keys. The class has several methods for retrieving and manipulating these keys, such as `add`, `remove`, and `iterate`.
The class also includes annotations like `@Immutable`, `@Loggable`,</t>
        </is>
      </c>
      <c r="M846" t="n">
        <v>0.0035</v>
      </c>
      <c r="N846" t="n">
        <v>0.0328</v>
      </c>
      <c r="O846" t="n">
        <v>0.08</v>
      </c>
    </row>
    <row r="847">
      <c r="A847" t="inlineStr">
        <is>
          <t>jcabi</t>
        </is>
      </c>
      <c r="B847" t="inlineStr">
        <is>
          <t>src/main/java/com/jcabi/github/RtLimits.java</t>
        </is>
      </c>
      <c r="C847">
        <f>HYPERLINK("https://github.com/jcabi/jcabi-github/blob/master/src/main/java/com/jcabi/github/RtLimits.java")</f>
        <v/>
      </c>
      <c r="D847" t="inlineStr">
        <is>
          <t>The `RtLimits` class is a part of the JCABI Github library for Java. It provides a way to retrieve information about the current rate limits for the GitHub API.
The constructor takes two parameters: `github`, which represents the GitHub instance that the rate limits belong to, and `req`, which is a request object used to make HTTP requests to</t>
        </is>
      </c>
      <c r="E847" t="n">
        <v>0.0031</v>
      </c>
      <c r="F847" t="n">
        <v>0.0299</v>
      </c>
      <c r="G847" t="n">
        <v>0.07630000000000001</v>
      </c>
      <c r="H847" t="inlineStr">
        <is>
          <t>The provided code defines a Java class named `RtLimits` that represents a GitHub limit rate. It is part of a larger project with a package name `com.jcabi.github`. The class has several fields and methods, but its main responsibility is to provide information about the current rate limits for GitHub API requests.
The constructor takes two parameters: `github`,</t>
        </is>
      </c>
      <c r="I847" t="n">
        <v>0.0032</v>
      </c>
      <c r="J847" t="n">
        <v>0.0299</v>
      </c>
      <c r="K847" t="n">
        <v>0.0775</v>
      </c>
      <c r="L847" t="inlineStr">
        <is>
          <t>The code defines a `RtLimits` class that represents a GitHub limit rate, which is used to manage the usage of the GitHub API. It has several fields and methods, including a constructor, a method for getting the GitHub instance associated with the limit rate, and a method for retrieving the current limit rate.
The class is annotated with `@Immutable`, indicating</t>
        </is>
      </c>
      <c r="M847" t="n">
        <v>0.003</v>
      </c>
      <c r="N847" t="n">
        <v>0.0294</v>
      </c>
      <c r="O847" t="n">
        <v>0.07580000000000001</v>
      </c>
    </row>
    <row r="848">
      <c r="A848" t="inlineStr">
        <is>
          <t>jcabi</t>
        </is>
      </c>
      <c r="B848" t="inlineStr">
        <is>
          <t>src/main/java/com/jcabi/github/RtReleaseAsset.java</t>
        </is>
      </c>
      <c r="C848">
        <f>HYPERLINK("https://github.com/jcabi/jcabi-github/blob/master/src/main/java/com/jcabi/github/RtReleaseAsset.java")</f>
        <v/>
      </c>
      <c r="D848" t="inlineStr">
        <is>
          <t>The `RtReleaseAsset` class is a representation of a GitHub release asset. It provides methods for retrieving information about the asset, such as its name, size, and download URL. The class also allows you to delete the asset from the release.
The constructor takes two parameters: a `Request` object and a `Release` object representing the release that the asset belongs to</t>
        </is>
      </c>
      <c r="E848" t="n">
        <v>0.003</v>
      </c>
      <c r="F848" t="n">
        <v>0.0294</v>
      </c>
      <c r="G848" t="n">
        <v>0.0379</v>
      </c>
      <c r="H848" t="inlineStr">
        <is>
          <t>This is a Java library for interacting with the GitHub API. The `RtReleaseAsset` class represents a single release asset on GitHub, which can be used to download or delete the asset. It has several methods that allow you to perform various operations on the asset, such as getting its content, deleting it, and updating its metadata.</t>
        </is>
      </c>
      <c r="I848" t="n">
        <v>0.0039</v>
      </c>
      <c r="J848" t="n">
        <v>0.0625</v>
      </c>
      <c r="K848" t="n">
        <v>0.1172</v>
      </c>
      <c r="L848" t="inlineStr">
        <is>
          <t>The provided code is a Java implementation of a GitHub release asset, which provides methods for retrieving and manipulating release assets. It uses the JCABI library for HTTP requests and JSON parsing, as well as Lombok for object initialization and equality checks.
The `RtReleaseAsset` class has several responsibilities, including:
* Creating and managing release assets</t>
        </is>
      </c>
      <c r="M848" t="n">
        <v>0.0033</v>
      </c>
      <c r="N848" t="n">
        <v>0.0645</v>
      </c>
      <c r="O848" t="n">
        <v>0.1181</v>
      </c>
    </row>
    <row r="849">
      <c r="A849" t="inlineStr">
        <is>
          <t>jcabi</t>
        </is>
      </c>
      <c r="B849" t="inlineStr">
        <is>
          <t>src/main/java/com/jcabi/github/Check.java</t>
        </is>
      </c>
      <c r="C849">
        <f>HYPERLINK("https://github.com/jcabi/jcabi-github/blob/master/src/main/java/com/jcabi/github/Check.java")</f>
        <v/>
      </c>
      <c r="D849" t="inlineStr">
        <is>
          <t>The `Check` interface in the provided Java code defines a contract for implementing classes that represent checks on a Git repository. It provides methods to retrieve information about the check's status, such as its success, and its conclusion. Additionally, it defines constants for undefined values and supported check statuses.</t>
        </is>
      </c>
      <c r="E849" t="n">
        <v>0.0037</v>
      </c>
      <c r="F849" t="n">
        <v>0.06900000000000001</v>
      </c>
      <c r="G849" t="n">
        <v>0.08260000000000001</v>
      </c>
      <c r="H849" t="inlineStr">
        <is>
          <t>This code defines an interface called `Check` that represents a GitHub check. It has several methods, including `successful()`, which returns true if the check was successful, and `status()`, which returns the current status of the check. The code also includes some constants and enums related to the check's status and conclusion. Overall, this code appears to be defining a class for working</t>
        </is>
      </c>
      <c r="I849" t="n">
        <v>0.0035</v>
      </c>
      <c r="J849" t="n">
        <v>0.0563</v>
      </c>
      <c r="K849" t="n">
        <v>0.1119</v>
      </c>
      <c r="L849" t="inlineStr">
        <is>
          <t>The provided code defines an interface for interacting with the GitHub Checks API. It provides methods for checking the success of checks and accessing their statuses. The interface also includes constants for undefined values and documentation links to the GitHub Checks API reference.</t>
        </is>
      </c>
      <c r="M849" t="n">
        <v>0.0043</v>
      </c>
      <c r="N849" t="n">
        <v>0.0392</v>
      </c>
      <c r="O849" t="n">
        <v>0.0435</v>
      </c>
    </row>
    <row r="850">
      <c r="A850" t="inlineStr">
        <is>
          <t>jcabi</t>
        </is>
      </c>
      <c r="B850" t="inlineStr">
        <is>
          <t>src/main/java/com/jcabi/github/RtOrganizations.java</t>
        </is>
      </c>
      <c r="C850">
        <f>HYPERLINK("https://github.com/jcabi/jcabi-github/blob/master/src/main/java/com/jcabi/github/RtOrganizations.java")</f>
        <v/>
      </c>
      <c r="D850" t="inlineStr">
        <is>
          <t>This is a Java implementation of the `RtOrganizations` class from the `com.jcabi.github` package. The class provides functionality for working with GitHub organizations through its `Organizations` interface. It has several fields and methods that allow it to interact with the GitHub API, including an `entry` field for storing the API endpoint URL, a `request` field for</t>
        </is>
      </c>
      <c r="E850" t="n">
        <v>0.0044</v>
      </c>
      <c r="F850" t="n">
        <v>0.1231</v>
      </c>
      <c r="G850" t="n">
        <v>0.1575</v>
      </c>
      <c r="H850" t="inlineStr">
        <is>
          <t>This is a Java library for interacting with the GitHub API. The `RtOrganizations` class provides a way to access information about GitHub organizations, such as their members, teams, and repositories. It does this by making HTTP requests to the GitHub API using the `Request` object from the `jcabi-http` library.
The class has several fields that store important</t>
        </is>
      </c>
      <c r="I850" t="n">
        <v>0.0038</v>
      </c>
      <c r="J850" t="n">
        <v>0.0606</v>
      </c>
      <c r="K850" t="n">
        <v>0.1163</v>
      </c>
      <c r="L850" t="inlineStr">
        <is>
          <t>The code defines a `RtOrganizations` class that represents GitHub organizations. It is part of the `com.jcabi.github` package and is used for interacting with the GitHub API's organization endpoints.
The class has three fields:
* `entry`: An instance of the `Request` class from the `com.jcabi.http</t>
        </is>
      </c>
      <c r="M850" t="n">
        <v>0.0042</v>
      </c>
      <c r="N850" t="n">
        <v>0.0357</v>
      </c>
      <c r="O850" t="n">
        <v>0.0862</v>
      </c>
    </row>
    <row r="851">
      <c r="A851" t="inlineStr">
        <is>
          <t>jcabi</t>
        </is>
      </c>
      <c r="B851" t="inlineStr">
        <is>
          <t>src/main/java/com/jcabi/github/PullComments.java</t>
        </is>
      </c>
      <c r="C851">
        <f>HYPERLINK("https://github.com/jcabi/jcabi-github/blob/master/src/main/java/com/jcabi/github/PullComments.java")</f>
        <v/>
      </c>
      <c r="D851" t="inlineStr">
        <is>
          <t>This is a Java class that represents a collection of pull requests (PRs) on GitHub. It provides methods to retrieve information about individual PRs, iterate over all PRs in a repository, and create new PRs. The class also has annotations indicating its immutability and dependencies on other classes.
The `Pull` method returns the pull object associated with the current instance of</t>
        </is>
      </c>
      <c r="E851" t="n">
        <v>0.0036</v>
      </c>
      <c r="F851" t="n">
        <v>0.058</v>
      </c>
      <c r="G851" t="n">
        <v>0.0752</v>
      </c>
      <c r="H851" t="inlineStr">
        <is>
          <t>The provided code is a Java class named `PullComments` that implements the `Iterable` interface. It represents a collection of pull comments on a GitHub repository. The class has several methods to interact with the pull comments, including getting a specific pull comment by its number, iterating over all pull comments, and adding new pull comments.
The class also includes some annotations,</t>
        </is>
      </c>
      <c r="I851" t="n">
        <v>0.0036</v>
      </c>
      <c r="J851" t="n">
        <v>0.058</v>
      </c>
      <c r="K851" t="n">
        <v>0.0752</v>
      </c>
      <c r="L851" t="inlineStr">
        <is>
          <t>The code defines a class called `PullComments` that represents a collection of GitHub pull request comments. It provides methods for retrieving individual comments by their number, iterating over all comments, and getting the pull request associated with the comments.</t>
        </is>
      </c>
      <c r="M851" t="n">
        <v>0.0047</v>
      </c>
      <c r="N851" t="n">
        <v>0.0426</v>
      </c>
      <c r="O851" t="n">
        <v>0.045</v>
      </c>
    </row>
    <row r="852">
      <c r="A852" t="inlineStr">
        <is>
          <t>jcabi</t>
        </is>
      </c>
      <c r="B852" t="inlineStr">
        <is>
          <t>src/main/java/com/jcabi/github/RtReleases.java</t>
        </is>
      </c>
      <c r="C852">
        <f>HYPERLINK("https://github.com/jcabi/jcabi-github/blob/master/src/main/java/com/jcabi/github/RtReleases.java")</f>
        <v/>
      </c>
      <c r="D852" t="inlineStr">
        <is>
          <t>The `RtReleases` class is a part of the JCabi Github library, which provides a Java interface for interacting with the GitHub API. It represents a collection of releases in a GitHub repository.
The constructor takes two parameters: `req`, which is a `Request` object that represents the base URL for the GitHub API, and `rep`, which is a</t>
        </is>
      </c>
      <c r="E852" t="n">
        <v>0.0032</v>
      </c>
      <c r="F852" t="n">
        <v>0.0308</v>
      </c>
      <c r="G852" t="n">
        <v>0.0775</v>
      </c>
      <c r="H852" t="inlineStr">
        <is>
          <t>This is Java code for a GitHub release management system using the JCABI library. The code defines a `RtReleases` class that represents a collection of releases in a GitHub repository. It has several methods to retrieve information about the releases, such as `list()`, `get()`, and `create()`. The class also includes annotations like `@Immutable`, `@Loggable`, and `@</t>
        </is>
      </c>
      <c r="I852" t="n">
        <v>0.0039</v>
      </c>
      <c r="J852" t="n">
        <v>0.0635</v>
      </c>
      <c r="K852" t="n">
        <v>0.1172</v>
      </c>
      <c r="L852" t="inlineStr">
        <is>
          <t>The code defines a Java class called `RtReleases` that implements the `Releases` interface from the `com.jcabi.github` package. It is responsible for managing releases within a GitHub repository.
The constructor takes two parameters: `req`, which represents the RESTful API entry point, and `rep`, which represents the repository object.
The</t>
        </is>
      </c>
      <c r="M852" t="n">
        <v>0.0045</v>
      </c>
      <c r="N852" t="n">
        <v>0.06900000000000001</v>
      </c>
      <c r="O852" t="n">
        <v>0.0833</v>
      </c>
    </row>
    <row r="853">
      <c r="A853" t="inlineStr">
        <is>
          <t>jcabi</t>
        </is>
      </c>
      <c r="B853" t="inlineStr">
        <is>
          <t>src/main/java/com/jcabi/github/Stargazers.java</t>
        </is>
      </c>
      <c r="C853">
        <f>HYPERLINK("https://github.com/jcabi/jcabi-github/blob/master/src/main/java/com/jcabi/github/Stargazers.java")</f>
        <v/>
      </c>
      <c r="D853" t="inlineStr">
        <is>
          <t>The `Stargazers` interface represents a list of stargazers for a GitHub repository. It provides an iterator to iterate over the stargazers in the list. The implementation of this class is based on the GitHub REST API v3, specifically the "List Stargazers" endpoint. The class uses the Jakarta JSON library to parse the response from the API into</t>
        </is>
      </c>
      <c r="E853" t="n">
        <v>0</v>
      </c>
      <c r="F853" t="n">
        <v>0.0308</v>
      </c>
      <c r="G853" t="n">
        <v>0.1163</v>
      </c>
      <c r="H853" t="inlineStr">
        <is>
          <t>The provided code defines an interface for listing stargazers in GitHub repositories using the GitHub API. The interface provides an iterator method that returns an iterable collection of JSON values representing the stargazers. The implementation of this interface is responsible for fetching data from the GitHub API and parsing it into the appropriate format. The complexity of the algorithm is O(N), where N is the</t>
        </is>
      </c>
      <c r="I853" t="n">
        <v>0.0028</v>
      </c>
      <c r="J853" t="n">
        <v>0.0541</v>
      </c>
      <c r="K853" t="n">
        <v>0.146</v>
      </c>
      <c r="L853" t="inlineStr">
        <is>
          <t>The provided code defines an interface called `Stargazers` that represents a list of stargazers for a GitHub repository. It provides an iterator method (`iterable()`) that returns an `Iterable` object containing the stargazers' JSON data.</t>
        </is>
      </c>
      <c r="M853" t="n">
        <v>0</v>
      </c>
      <c r="N853" t="n">
        <v>0</v>
      </c>
      <c r="O853" t="n">
        <v>0</v>
      </c>
    </row>
    <row r="854">
      <c r="A854" t="inlineStr">
        <is>
          <t>jcabi</t>
        </is>
      </c>
      <c r="B854" t="inlineStr">
        <is>
          <t>src/main/java/com/jcabi/github/RtHooks.java</t>
        </is>
      </c>
      <c r="C854">
        <f>HYPERLINK("https://github.com/jcabi/jcabi-github/blob/master/src/main/java/com/jcabi/github/RtHooks.java")</f>
        <v/>
      </c>
      <c r="D854" t="inlineStr">
        <is>
          <t>The `RtHooks` class is a part of the JCabi Github library for Java. It provides methods to interact with GitHub webhooks.
The class has several important fields and methods:
* `entry`: An instance of the `Request` class from the JCabi HTTP library, which represents the base URL for the GitHub API.
*</t>
        </is>
      </c>
      <c r="E854" t="n">
        <v>0.0035</v>
      </c>
      <c r="F854" t="n">
        <v>0.0345</v>
      </c>
      <c r="G854" t="n">
        <v>0.0806</v>
      </c>
      <c r="H854" t="inlineStr">
        <is>
          <t>This is a Java library for interacting with the GitHub API. It provides a set of classes that represent different types of objects in the GitHub ecosystem, such as repositories, issues, pull requests, and users. The library also includes a set of methods for performing common operations on these objects, such as creating new repositories or updating issue comments.
The main class in this library is</t>
        </is>
      </c>
      <c r="I854" t="n">
        <v>0.0033</v>
      </c>
      <c r="J854" t="n">
        <v>0.0541</v>
      </c>
      <c r="K854" t="n">
        <v>0.0725</v>
      </c>
      <c r="L854" t="inlineStr">
        <is>
          <t>The code defines a `RtHooks` class that provides access to Github's webhooks API. It is part of the `com.jcabi.github` package and is designed to be used as a Java library.
The `RtHooks` class has several responsibilities, including:
* Creating new webhook subscriptions</t>
        </is>
      </c>
      <c r="M854" t="n">
        <v>0.0044</v>
      </c>
      <c r="N854" t="n">
        <v>0.0385</v>
      </c>
      <c r="O854" t="n">
        <v>0.0877</v>
      </c>
    </row>
    <row r="855">
      <c r="A855" t="inlineStr">
        <is>
          <t>jcabi</t>
        </is>
      </c>
      <c r="B855" t="inlineStr">
        <is>
          <t>src/main/java/com/jcabi/github/PullComment.java</t>
        </is>
      </c>
      <c r="C855">
        <f>HYPERLINK("https://github.com/jcabi/jcabi-github/blob/master/src/main/java/com/jcabi/github/PullComment.java")</f>
        <v/>
      </c>
      <c r="D855" t="inlineStr">
        <is>
          <t>The provided code is part of a Java library for interacting with the GitHub API. It defines a class called `PullComment` that represents a single comment on a pull request in GitHub. This class has several methods for accessing the comment's properties, such as its ID, body, and creation date. It also provides a way to retrieve the comment's full details in JSON format</t>
        </is>
      </c>
      <c r="E855" t="n">
        <v>0.0034</v>
      </c>
      <c r="F855" t="n">
        <v>0.0541</v>
      </c>
      <c r="G855" t="n">
        <v>0.1103</v>
      </c>
      <c r="H855" t="inlineStr">
        <is>
          <t>This is a Java library for interacting with the GitHub REST API. The library provides classes for working with various types of data on GitHub, such as repositories, issues, pull requests, and comments. It also includes utilities for parsing and generating JSON data.</t>
        </is>
      </c>
      <c r="I855" t="n">
        <v>0.0051</v>
      </c>
      <c r="J855" t="n">
        <v>0.0784</v>
      </c>
      <c r="K855" t="n">
        <v>0.1304</v>
      </c>
      <c r="L855" t="inlineStr">
        <is>
          <t>The code defines a class called `PullComment` that represents a pull request comment on GitHub. It is part of the JCabi Github library and provides methods for reading and manipulating the comment's data in JSON format.</t>
        </is>
      </c>
      <c r="M855" t="n">
        <v>0.0052</v>
      </c>
      <c r="N855" t="n">
        <v>0.0444</v>
      </c>
      <c r="O855" t="n">
        <v>0.0926</v>
      </c>
    </row>
    <row r="856">
      <c r="A856" t="inlineStr">
        <is>
          <t>jcabi</t>
        </is>
      </c>
      <c r="B856" t="inlineStr">
        <is>
          <t>src/main/java/com/jcabi/github/PullRef.java</t>
        </is>
      </c>
      <c r="C856">
        <f>HYPERLINK("https://github.com/jcabi/jcabi-github/blob/master/src/main/java/com/jcabi/github/PullRef.java")</f>
        <v/>
      </c>
      <c r="D856" t="inlineStr">
        <is>
          <t>The `PullRef` class represents a reference to a pull request on GitHub. It has several methods for retrieving information about the pull request, such as the repository it belongs to, the ref it refers to, and the commit SHA associated with that ref. The class also implements the `JsonReadable` interface, which allows it to be deserialized from JSON data.</t>
        </is>
      </c>
      <c r="E856" t="n">
        <v>0.0037</v>
      </c>
      <c r="F856" t="n">
        <v>0.0299</v>
      </c>
      <c r="G856" t="n">
        <v>0.07630000000000001</v>
      </c>
      <c r="H856" t="inlineStr">
        <is>
          <t>This code defines a Java class called `PullRef` that represents a reference to a pull request on GitHub. It has several methods for accessing information about the pull request, such as the repository it belongs to, the ref (branch or tag), and the commit SHA. The class also implements the `JsonReadable` interface, which allows it to be deserialized from JSON data</t>
        </is>
      </c>
      <c r="I856" t="n">
        <v>0.0039</v>
      </c>
      <c r="J856" t="n">
        <v>0.058</v>
      </c>
      <c r="K856" t="n">
        <v>0.1128</v>
      </c>
      <c r="L856" t="inlineStr">
        <is>
          <t>The provided code defines a `PullRef` class that represents a reference to a pull request in a GitHub repository. It has several methods for accessing information about the pull request, such as the repository, ref, and commit SHA. The class also implements the `JsonReadable` interface, allowing it to be deserialized from JSON data.</t>
        </is>
      </c>
      <c r="M856" t="n">
        <v>0.0041</v>
      </c>
      <c r="N856" t="n">
        <v>0.0328</v>
      </c>
      <c r="O856" t="n">
        <v>0.08</v>
      </c>
    </row>
    <row r="857">
      <c r="A857" t="inlineStr">
        <is>
          <t>jcabi</t>
        </is>
      </c>
      <c r="B857" t="inlineStr">
        <is>
          <t>src/main/java/com/jcabi/github/Hook.java</t>
        </is>
      </c>
      <c r="C857">
        <f>HYPERLINK("https://github.com/jcabi/jcabi-github/blob/master/src/main/java/com/jcabi/github/Hook.java")</f>
        <v/>
      </c>
      <c r="D857" t="inlineStr">
        <is>
          <t>The `Smart` class is a wrapper around the `Hook` interface that provides additional features such as logging and caching. It encapsulates a `Hook` object and adds some extra methods to it.
The `Smart` class has three main parts:
1. Constructor: This constructor takes a `Hook` object as input and stores it</t>
        </is>
      </c>
      <c r="E857" t="n">
        <v>0.0043</v>
      </c>
      <c r="F857" t="n">
        <v>0.0678</v>
      </c>
      <c r="G857" t="n">
        <v>0.0813</v>
      </c>
      <c r="H857" t="inlineStr">
        <is>
          <t>This is Java code for a smart implementation of the `Hook` interface from the JCabi Github library. The `Smart` class encapsulates a `Hook` instance and provides additional features such as logging and caching. It also includes annotations to make it immutable, loggable, and serializable.</t>
        </is>
      </c>
      <c r="I857" t="n">
        <v>0.005</v>
      </c>
      <c r="J857" t="n">
        <v>0.1154</v>
      </c>
      <c r="K857" t="n">
        <v>0.1293</v>
      </c>
      <c r="L857" t="inlineStr">
        <is>
          <t>The code defines a Java interface for interacting with a GitHub hook object. It provides methods for retrieving information about the hook, such as its number and the repository it belongs to, as well as methods for updating the hook's configuration. The interface is annotated with various Lombok annotations, including `@Immutable`, `@ToString`, and `@Loggable`.</t>
        </is>
      </c>
      <c r="M857" t="n">
        <v>0.0034</v>
      </c>
      <c r="N857" t="n">
        <v>0.0317</v>
      </c>
      <c r="O857" t="n">
        <v>0.0397</v>
      </c>
    </row>
    <row r="858">
      <c r="A858" t="inlineStr">
        <is>
          <t>jcabi</t>
        </is>
      </c>
      <c r="B858" t="inlineStr">
        <is>
          <t>src/main/java/com/jcabi/github/RtRepos.java</t>
        </is>
      </c>
      <c r="C858">
        <f>HYPERLINK("https://github.com/jcabi/jcabi-github/blob/master/src/main/java/com/jcabi/github/RtRepos.java")</f>
        <v/>
      </c>
      <c r="D858" t="inlineStr">
        <is>
          <t>The `RtRepos` class is a Java implementation of the `Repos` interface from the `com.jcabi.github` package. It provides methods for interacting with GitHub repositories through its REST API.
The constructor takes two parameters: `GitHub github`, which represents the parent GitHub object, and `Request req`, which is used to make HTTP requests to the GitHub</t>
        </is>
      </c>
      <c r="E858" t="n">
        <v>0.0035</v>
      </c>
      <c r="F858" t="n">
        <v>0.0635</v>
      </c>
      <c r="G858" t="n">
        <v>0.12</v>
      </c>
      <c r="H858" t="inlineStr">
        <is>
          <t>The `RtRepos` class is a part of the JCabi GitHub library for Java. It provides a way to interact with GitHub's API to retrieve information about repositories.
The class has several responsibilities:
* It takes in a `GitHub` object and a `Request` object as constructor parameters.
* It defines methods such as `iterate</t>
        </is>
      </c>
      <c r="I858" t="n">
        <v>0.0035</v>
      </c>
      <c r="J858" t="n">
        <v>0.0333</v>
      </c>
      <c r="K858" t="n">
        <v>0.08</v>
      </c>
      <c r="L858" t="inlineStr">
        <is>
          <t>The provided code is part of a Java library for interacting with the GitHub API. It appears to be responsible for representing a collection of GitHub repositories, providing methods for retrieving and manipulating that data.
The `RtRepos` class is annotated with several Lombok annotations, including `@Immutable`, which indicates that instances of this class should be immutable. Additionally, the</t>
        </is>
      </c>
      <c r="M858" t="n">
        <v>0.0031</v>
      </c>
      <c r="N858" t="n">
        <v>0.0303</v>
      </c>
      <c r="O858" t="n">
        <v>0.1154</v>
      </c>
    </row>
    <row r="859">
      <c r="A859" t="inlineStr">
        <is>
          <t>jcabi</t>
        </is>
      </c>
      <c r="B859" t="inlineStr">
        <is>
          <t>src/main/java/com/jcabi/github/PublicMembers.java</t>
        </is>
      </c>
      <c r="C859">
        <f>HYPERLINK("https://github.com/jcabi/jcabi-github/blob/master/src/main/java/com/jcabi/github/PublicMembers.java")</f>
        <v/>
      </c>
      <c r="D859" t="inlineStr">
        <is>
          <t>This is Java code for a class called "PublicMembers" that represents a collection of public members of a GitHub organization. The class has three methods:
* `org()`: Returns the organization object that this collection belongs to.
* `conceal(User user)`: Hides a user's membership from public view.
* `public(User user)`:</t>
        </is>
      </c>
      <c r="E859" t="n">
        <v>0.0037</v>
      </c>
      <c r="F859" t="n">
        <v>0.0351</v>
      </c>
      <c r="G859" t="n">
        <v>0.0413</v>
      </c>
      <c r="H859" t="inlineStr">
        <is>
          <t>This is Java code for a class called "PublicMembers" that belongs to the "com.jcabi.github" package. The class has several methods, including one method named "conceal" that takes in a single argument of type "User". The method returns nothing and throws an exception of type "IOException" if there is an error. Another method named "org"</t>
        </is>
      </c>
      <c r="I859" t="n">
        <v>0.004</v>
      </c>
      <c r="J859" t="n">
        <v>0.0625</v>
      </c>
      <c r="K859" t="n">
        <v>0.0794</v>
      </c>
      <c r="L859" t="inlineStr">
        <is>
          <t>The code defines a class called "PublicMembers" that represents the public members of a GitHub organization. It has two methods: one to get the organization associated with the public members, and another to conceal a user's membership from public view.</t>
        </is>
      </c>
      <c r="M859" t="n">
        <v>0.0046</v>
      </c>
      <c r="N859" t="n">
        <v>0.0408</v>
      </c>
      <c r="O859" t="n">
        <v>0.0446</v>
      </c>
    </row>
    <row r="860">
      <c r="A860" t="inlineStr">
        <is>
          <t>jcabi</t>
        </is>
      </c>
      <c r="B860" t="inlineStr">
        <is>
          <t>src/main/java/com/jcabi/github/RtGit.java</t>
        </is>
      </c>
      <c r="C860">
        <f>HYPERLINK("https://github.com/jcabi/jcabi-github/blob/master/src/main/java/com/jcabi/github/RtGit.java")</f>
        <v/>
      </c>
      <c r="D860" t="inlineStr">
        <is>
          <t>The `RtGit` class is a Java implementation of the `Git` interface from the `com.jcabi.github` package. It provides methods for interacting with a Git repository on GitHub.
The constructor takes two parameters: a `Request` object representing the HTTP request to make to GitHub, and a `Repo` object representing the repository that the `Git</t>
        </is>
      </c>
      <c r="E860" t="n">
        <v>0.0035</v>
      </c>
      <c r="F860" t="n">
        <v>0.0645</v>
      </c>
      <c r="G860" t="n">
        <v>0.0806</v>
      </c>
      <c r="H860" t="inlineStr">
        <is>
          <t>This is a Java library for interacting with the GitHub API. It provides a set of classes that represent different types of objects in the GitHub ecosystem, such as repositories, commits, and users. The library also includes methods for performing common operations on these objects, such as fetching information about them or creating new ones.
The main class in the library is `RtGit</t>
        </is>
      </c>
      <c r="I860" t="n">
        <v>0.0034</v>
      </c>
      <c r="J860" t="n">
        <v>0.0563</v>
      </c>
      <c r="K860" t="n">
        <v>0.0741</v>
      </c>
      <c r="L860" t="inlineStr">
        <is>
          <t>The provided code is part of a Java library for interacting with the GitHub API. It defines a `RtGit` class that represents a Git object in the GitHub API. The class has several fields and methods that allow you to access different parts of the Git data model, such as blobs, commits, and repositories.
The `RtGit` class is annotated with</t>
        </is>
      </c>
      <c r="M860" t="n">
        <v>0.003</v>
      </c>
      <c r="N860" t="n">
        <v>0.0294</v>
      </c>
      <c r="O860" t="n">
        <v>0.07580000000000001</v>
      </c>
    </row>
    <row r="861">
      <c r="A861" t="inlineStr">
        <is>
          <t>jcabi</t>
        </is>
      </c>
      <c r="B861" t="inlineStr">
        <is>
          <t>src/main/java/com/jcabi/github/RtGitignores.java</t>
        </is>
      </c>
      <c r="C861">
        <f>HYPERLINK("https://github.com/jcabi/jcabi-github/blob/master/src/main/java/com/jcabi/github/RtGitignores.java")</f>
        <v/>
      </c>
      <c r="D861" t="inlineStr">
        <is>
          <t>The `RtGitignores` class is a Java implementation of the `Gitignores` interface from the `com.jcabi.github` package. It provides a way to interact with the `.gitignore` templates stored on GitHub.
The constructor takes a `GitHub` object as its parameter, which represents the connection to the GitHub API. The `Rt</t>
        </is>
      </c>
      <c r="E861" t="n">
        <v>0</v>
      </c>
      <c r="F861" t="n">
        <v>0.0351</v>
      </c>
      <c r="G861" t="n">
        <v>0.042</v>
      </c>
      <c r="H861" t="inlineStr">
        <is>
          <t>This is a Java library for interacting with GitHub's API. It provides a way to access and manipulate data related to git ignores on GitHub. The library is built using Lombok for code generation and JCabi HTTP client for making requests to the GitHub API.
The `RtGitignores` class in the library represents a collection of `.gitignore` templates available</t>
        </is>
      </c>
      <c r="I861" t="n">
        <v>0.0037</v>
      </c>
      <c r="J861" t="n">
        <v>0.0597</v>
      </c>
      <c r="K861" t="n">
        <v>0.1154</v>
      </c>
      <c r="L861" t="inlineStr">
        <is>
          <t>The provided code defines a Java class named `RtGitignores` that represents a collection of `.gitignore` templates stored in a remote GitHub repository. It is part of the `com.jcabi.github` package and uses several external libraries such as `lombok`, `jakarta.json`, and `com.jcabi.http`.
The class</t>
        </is>
      </c>
      <c r="M861" t="n">
        <v>0.0044</v>
      </c>
      <c r="N861" t="n">
        <v>0.0364</v>
      </c>
      <c r="O861" t="n">
        <v>0.0877</v>
      </c>
    </row>
    <row r="862">
      <c r="A862" t="inlineStr">
        <is>
          <t>jcabi</t>
        </is>
      </c>
      <c r="B862" t="inlineStr">
        <is>
          <t>src/main/java/com/jcabi/github/PublicKey.java</t>
        </is>
      </c>
      <c r="C862">
        <f>HYPERLINK("https://github.com/jcabi/jcabi-github/blob/master/src/main/java/com/jcabi/github/PublicKey.java")</f>
        <v/>
      </c>
      <c r="D862" t="inlineStr">
        <is>
          <t>The provided code defines a Java class named `PublicKey` that represents a GitHub public key. It is annotated with various Lombok annotations such as `@Immutable`, `@Loggable`, and `@ToString`.
The class has several fields, including `id`, `key`, `url`, `title`, and `createdAt`. These fields correspond to the attributes of a GitHub public key</t>
        </is>
      </c>
      <c r="E862" t="n">
        <v>0.0036</v>
      </c>
      <c r="F862" t="n">
        <v>0.0339</v>
      </c>
      <c r="G862" t="n">
        <v>0.0407</v>
      </c>
      <c r="H862" t="inlineStr">
        <is>
          <t>This is Java code for implementing a public key class for the GitHub API. The class provides methods for reading and writing public keys as well as smart decorators for accessing specific attributes of the object.</t>
        </is>
      </c>
      <c r="I862" t="n">
        <v>0.0061</v>
      </c>
      <c r="J862" t="n">
        <v>0.1364</v>
      </c>
      <c r="K862" t="n">
        <v>0.1389</v>
      </c>
      <c r="L862" t="inlineStr">
        <is>
          <t>The code defines a class called `PublicKey` that represents a GitHub public key, implementing the `JsonReadable` interface. It has several fields and methods related to accessing and manipulating the key's data, including getting its title, owner, and URL. Additionally, there is a smart decorator called `Smart` that simplifies working with the key object by providing more convenient</t>
        </is>
      </c>
      <c r="M862" t="n">
        <v>0.0032</v>
      </c>
      <c r="N862" t="n">
        <v>0.0606</v>
      </c>
      <c r="O862" t="n">
        <v>0.1163</v>
      </c>
    </row>
    <row r="863">
      <c r="A863" t="inlineStr">
        <is>
          <t>jcabi</t>
        </is>
      </c>
      <c r="B863" t="inlineStr">
        <is>
          <t>src/main/java/com/jcabi/github/Collaborators.java</t>
        </is>
      </c>
      <c r="C863">
        <f>HYPERLINK("https://github.com/jcabi/jcabi-github/blob/master/src/main/java/com/jcabi/github/Collaborators.java")</f>
        <v/>
      </c>
      <c r="D863" t="inlineStr">
        <is>
          <t>This code defines an interface for working with GitHub repository collaborators. It includes methods for checking if a user is a collaborator, adding or removing collaborators, and setting their permission level. The interface is annotated with `@Immutable` to indicate that it should never change state.
The `Collaborators` class has several methods:
* `repo()`: Returns the</t>
        </is>
      </c>
      <c r="E863" t="n">
        <v>0.004</v>
      </c>
      <c r="F863" t="n">
        <v>0.0645</v>
      </c>
      <c r="G863" t="n">
        <v>0.1181</v>
      </c>
      <c r="H863" t="inlineStr">
        <is>
          <t>This code defines an interface for working with GitHub repository collaborators. The `Collaborators` class has several methods that allow you to check if a user is a collaborator, grant or revoke permission levels, and retrieve information about the collaborators. It also includes annotations such as `@Immutable`, which indicates that the class is immutable, and `@Since`, which specifies the version</t>
        </is>
      </c>
      <c r="I863" t="n">
        <v>0.0037</v>
      </c>
      <c r="J863" t="n">
        <v>0.0597</v>
      </c>
      <c r="K863" t="n">
        <v>0.1145</v>
      </c>
      <c r="L863" t="inlineStr">
        <is>
          <t>The code defines a class named `Collaborators` that represents a collection of collaborators for a GitHub repository. It provides methods for checking whether a user is a collaborator, as well as setting their permission level. The class also has a method for retrieving the owner of the repository.</t>
        </is>
      </c>
      <c r="M863" t="n">
        <v>0</v>
      </c>
      <c r="N863" t="n">
        <v>0</v>
      </c>
      <c r="O863" t="n">
        <v>0</v>
      </c>
    </row>
    <row r="864">
      <c r="A864" t="inlineStr">
        <is>
          <t>jcabi</t>
        </is>
      </c>
      <c r="B864" t="inlineStr">
        <is>
          <t>src/main/java/com/jcabi/github/RtCheck.java</t>
        </is>
      </c>
      <c r="C864">
        <f>HYPERLINK("https://github.com/jcabi/jcabi-github/blob/master/src/main/java/com/jcabi/github/RtCheck.java")</f>
        <v/>
      </c>
      <c r="D864" t="inlineStr">
        <is>
          <t>The `RtCheck` class is a Java implementation of the `Check` interface from the `com.jcabi.github` package. It provides methods for creating and manipulating GitHub checks.
The constructor takes two parameters: `stat` and `conc`, which represent the status and conclusion of the check, respectively. These values can be obtained from the GitHub API or</t>
        </is>
      </c>
      <c r="E864" t="n">
        <v>0.0035</v>
      </c>
      <c r="F864" t="n">
        <v>0.0645</v>
      </c>
      <c r="G864" t="n">
        <v>0.0806</v>
      </c>
      <c r="H864" t="inlineStr">
        <is>
          <t>The provided code is a Java class named `RtCheck` that implements the `Check` interface from the `com.jcabi.github` package. It has three constructors and one method, which makes it a relatively small piece of code.
The first constructor takes two strings as arguments and sets the `status` and `conclusion` fields to the corresponding values.</t>
        </is>
      </c>
      <c r="I864" t="n">
        <v>0.0041</v>
      </c>
      <c r="J864" t="n">
        <v>0.0635</v>
      </c>
      <c r="K864" t="n">
        <v>0.08</v>
      </c>
      <c r="L864" t="inlineStr">
        <is>
          <t>The `RtCheck` class is a part of the JCabi Github library and represents a GitHub check. It has two fields: `status`, which is an enum representing the current status of the check, and `conclusion`, which is also an enum representing the overall conclusion of the check. The constructor takes two strings as arguments, one for each field, and there is also</t>
        </is>
      </c>
      <c r="M864" t="n">
        <v>0.003</v>
      </c>
      <c r="N864" t="n">
        <v>0.029</v>
      </c>
      <c r="O864" t="n">
        <v>0.0752</v>
      </c>
    </row>
    <row r="865">
      <c r="A865" t="inlineStr">
        <is>
          <t>jcabi</t>
        </is>
      </c>
      <c r="B865" t="inlineStr">
        <is>
          <t>src/main/java/com/jcabi/github/Assignees.java</t>
        </is>
      </c>
      <c r="C865">
        <f>HYPERLINK("https://github.com/jcabi/jcabi-github/blob/master/src/main/java/com/jcabi/github/Assignees.java")</f>
        <v/>
      </c>
      <c r="D865" t="inlineStr">
        <is>
          <t>The `Assignees` class provides access to the list of users who can be assigned as issue assignees in a GitHub repository. It implements the `Iterable` interface, allowing developers to iterate over the list of available assignees. Additionally, it includes methods for checking whether a particular user is an assignee for the repository and returning a list of all available assignees</t>
        </is>
      </c>
      <c r="E865" t="n">
        <v>0.0036</v>
      </c>
      <c r="F865" t="n">
        <v>0.0588</v>
      </c>
      <c r="G865" t="n">
        <v>0.07580000000000001</v>
      </c>
      <c r="H865" t="inlineStr">
        <is>
          <t>This code defines an interface called "Assignees" in the package "com.jcabi.github". It provides methods for iterating over and checking whether a particular user is an assignee for a repository. The interface is annotated with "@Immutable", indicating that it is immutable. The class implements the "Iterable" interface, allowing users to iterate over the list</t>
        </is>
      </c>
      <c r="I865" t="n">
        <v>0.0045</v>
      </c>
      <c r="J865" t="n">
        <v>0.0635</v>
      </c>
      <c r="K865" t="n">
        <v>0.12</v>
      </c>
      <c r="L865" t="inlineStr">
        <is>
          <t>The provided code defines an interface called "Assignees" that provides methods for iterating over and checking whether a particular user is an assignee for a repository. The interface is annotated with the license identifier "MIT" and copyright text "SPDX-FileCopyrightText". It imports two classes from the "com.jcabi.aspects" package and</t>
        </is>
      </c>
      <c r="M865" t="n">
        <v>0.0038</v>
      </c>
      <c r="N865" t="n">
        <v>0.0339</v>
      </c>
      <c r="O865" t="n">
        <v>0.0417</v>
      </c>
    </row>
    <row r="866">
      <c r="A866" t="inlineStr">
        <is>
          <t>jcabi</t>
        </is>
      </c>
      <c r="B866" t="inlineStr">
        <is>
          <t>src/main/java/com/jcabi/github/Notification.java</t>
        </is>
      </c>
      <c r="C866">
        <f>HYPERLINK("https://github.com/jcabi/jcabi-github/blob/master/src/main/java/com/jcabi/github/Notification.java")</f>
        <v/>
      </c>
      <c r="D866" t="inlineStr">
        <is>
          <t>The provided code defines an interface called `Notification` in the `com.jcabi.github` package. It is annotated with `@Immutable`, which means that it can be safely used across multiple threads without any synchronization overhead.
The `Notification` interface has one method, `number()`, which returns a unique identifier for the notification.
There is also a supp</t>
        </is>
      </c>
      <c r="E866" t="n">
        <v>0</v>
      </c>
      <c r="F866" t="n">
        <v>0</v>
      </c>
      <c r="G866" t="n">
        <v>0.0403</v>
      </c>
      <c r="H866" t="inlineStr">
        <is>
          <t>The provided code defines an interface called `Notification` in the `com.jcabi.github` package. It has one method named `number()` that returns a long value representing the ID of the notification. This class is annotated with `@Immutable`, which means it cannot be modified after its creation. Additionally, there is a comment block at the top of the file explaining the purpose</t>
        </is>
      </c>
      <c r="I866" t="n">
        <v>0.0031</v>
      </c>
      <c r="J866" t="n">
        <v>0.029</v>
      </c>
      <c r="K866" t="n">
        <v>0.0382</v>
      </c>
      <c r="L866" t="inlineStr">
        <is>
          <t>The provided code defines a Java interface named `Notification` that represents a GitHub notification. It is annotated with `@Immutable`, indicating that instances of this class cannot be modified after they have been created. The interface has one method called `number()` which returns the ID of the notification. Additionally, there is a comment block at the top of the file that provides some contextual information about the</t>
        </is>
      </c>
      <c r="M866" t="n">
        <v>0</v>
      </c>
      <c r="N866" t="n">
        <v>0.027</v>
      </c>
      <c r="O866" t="n">
        <v>0.0362</v>
      </c>
    </row>
    <row r="867">
      <c r="A867" t="inlineStr">
        <is>
          <t>jcabi</t>
        </is>
      </c>
      <c r="B867" t="inlineStr">
        <is>
          <t>src/main/java/com/jcabi/github/RtPullRef.java</t>
        </is>
      </c>
      <c r="C867">
        <f>HYPERLINK("https://github.com/jcabi/jcabi-github/blob/master/src/main/java/com/jcabi/github/RtPullRef.java")</f>
        <v/>
      </c>
      <c r="D867" t="inlineStr">
        <is>
          <t>The provided code is part of a Java library for interacting with the GitHub API. It defines a `RtPullRef` class that represents a reference to a pull request on GitHub. The class has several methods, including `json()`, which returns the underlying JSON object representing the pull request ref, and `ref()`, which returns the name of the ref.
The constructor takes two</t>
        </is>
      </c>
      <c r="E867" t="n">
        <v>0.003</v>
      </c>
      <c r="F867" t="n">
        <v>0.029</v>
      </c>
      <c r="G867" t="n">
        <v>0.0752</v>
      </c>
      <c r="H867" t="inlineStr">
        <is>
          <t>The provided code is a Java implementation of a GitHub pull request reference, which provides access to the underlying JSON data structure that represents the pull request ref. It is part of the `com.jcabi.github` package and is designed to be used as a library for building applications that interact with the GitHub API.
The `RtPullRef` class has several important methods</t>
        </is>
      </c>
      <c r="I867" t="n">
        <v>0.003</v>
      </c>
      <c r="J867" t="n">
        <v>0.0571</v>
      </c>
      <c r="K867" t="n">
        <v>0.1136</v>
      </c>
      <c r="L867" t="inlineStr">
        <is>
          <t>The provided code is part of a Java library for interacting with the GitHub API. It defines a `RtPullRef` class that represents a reference to a pull request in GitHub. The class has several fields and methods, including a constructor that takes a `GitHub` instance and a `JsonObject` representing the pull request ref, as well as methods for accessing the ref'</t>
        </is>
      </c>
      <c r="M867" t="n">
        <v>0.003</v>
      </c>
      <c r="N867" t="n">
        <v>0.029</v>
      </c>
      <c r="O867" t="n">
        <v>0.0752</v>
      </c>
    </row>
    <row r="868">
      <c r="A868" t="inlineStr">
        <is>
          <t>jcabi</t>
        </is>
      </c>
      <c r="B868" t="inlineStr">
        <is>
          <t>src/main/java/com/jcabi/github/RtMilestones.java</t>
        </is>
      </c>
      <c r="C868">
        <f>HYPERLINK("https://github.com/jcabi/jcabi-github/blob/master/src/main/java/com/jcabi/github/RtMilestones.java")</f>
        <v/>
      </c>
      <c r="D868" t="inlineStr">
        <is>
          <t>The `RtMilestones` class is a part of the JCABI Github library for Java. It represents a collection of milestones in a GitHub project.
The class has several important methods:
* `create()`: Creates a new milestone with the specified title and description. Returns the created milestone object.
* `remove()`:</t>
        </is>
      </c>
      <c r="E868" t="n">
        <v>0.0038</v>
      </c>
      <c r="F868" t="n">
        <v>0.037</v>
      </c>
      <c r="G868" t="n">
        <v>0.0833</v>
      </c>
      <c r="H868" t="inlineStr">
        <is>
          <t>The code defines a Java class called `RtMilestones` that implements the `Milestones` interface from a third-party library called `com.jcabi.github`. It appears to be responsible for managing GitHub milestones.
The constructor takes three parameters:
* `entry`: An instance of the `Request` class from the same library,</t>
        </is>
      </c>
      <c r="I868" t="n">
        <v>0.0041</v>
      </c>
      <c r="J868" t="n">
        <v>0.0364</v>
      </c>
      <c r="K868" t="n">
        <v>0.0427</v>
      </c>
      <c r="L868" t="inlineStr">
        <is>
          <t>The code defines a Java class called `RtMilestones` that represents GitHub milestones. It is part of the `com.jcabi.github` package.
The class has several fields and methods, including:
* A constructor that takes three parameters: `entry`, `request`, and `owner`. These appear to be used for internal purposes within the</t>
        </is>
      </c>
      <c r="M868" t="n">
        <v>0.0038</v>
      </c>
      <c r="N868" t="n">
        <v>0.0351</v>
      </c>
      <c r="O868" t="n">
        <v>0.0833</v>
      </c>
    </row>
    <row r="869">
      <c r="A869" t="inlineStr">
        <is>
          <t>jcabi</t>
        </is>
      </c>
      <c r="B869" t="inlineStr">
        <is>
          <t>src/main/java/com/jcabi/github/RtUser.java</t>
        </is>
      </c>
      <c r="C869">
        <f>HYPERLINK("https://github.com/jcabi/jcabi-github/blob/master/src/main/java/com/jcabi/github/RtUser.java")</f>
        <v/>
      </c>
      <c r="D869" t="inlineStr">
        <is>
          <t>The `RtUser` class is a Java implementation of the `User` interface in the `com.jcabi.github` package. It provides methods to interact with a GitHub user account.
The constructor takes two parameters:
* `ghub`: An instance of the `GitHub` class representing the GitHub API client.
* `request`: A `Request</t>
        </is>
      </c>
      <c r="E869" t="n">
        <v>0</v>
      </c>
      <c r="F869" t="n">
        <v>0.0364</v>
      </c>
      <c r="G869" t="n">
        <v>0.042</v>
      </c>
      <c r="H869" t="inlineStr">
        <is>
          <t>This is a Java implementation of the `RtUser` class from the `com.jcabi.github` package. The class represents a GitHub user and provides methods to interact with their account information and notifications.
The constructor takes in two parameters: `ghub`, which is an instance of the `GitHub` class representing the GitHub API client, and `request`, which</t>
        </is>
      </c>
      <c r="I869" t="n">
        <v>0.0041</v>
      </c>
      <c r="J869" t="n">
        <v>0.09520000000000001</v>
      </c>
      <c r="K869" t="n">
        <v>0.12</v>
      </c>
      <c r="L869" t="inlineStr">
        <is>
          <t>The provided code is part of a Java application that interacts with the GitHub API. It defines a `RtUser` class that represents a GitHub user and provides methods for retrieving information about the user's profile and notifications. The `RtUser` class has several fields and methods, including constructors, getters, setters, and methods for fetching data from the GitHub</t>
        </is>
      </c>
      <c r="M869" t="n">
        <v>0.0032</v>
      </c>
      <c r="N869" t="n">
        <v>0.0303</v>
      </c>
      <c r="O869" t="n">
        <v>0.0775</v>
      </c>
    </row>
    <row r="870">
      <c r="A870" t="inlineStr">
        <is>
          <t>jcabi</t>
        </is>
      </c>
      <c r="B870" t="inlineStr">
        <is>
          <t>src/main/java/com/jcabi/github/RtContents.java</t>
        </is>
      </c>
      <c r="C870">
        <f>HYPERLINK("https://github.com/jcabi/jcabi-github/blob/master/src/main/java/com/jcabi/github/RtContents.java")</f>
        <v/>
      </c>
      <c r="D870" t="inlineStr">
        <is>
          <t>The `RtContents` class is part of the JCABI Github library for Java. It represents a collection of content files in a GitHub repository.
The class has several responsibilities, including:
* Creating new content objects from JSON data returned by the GitHub API.
* Retrieving existing content objects based on their IDs or file paths.
* Up</t>
        </is>
      </c>
      <c r="E870" t="n">
        <v>0</v>
      </c>
      <c r="F870" t="n">
        <v>0</v>
      </c>
      <c r="G870" t="n">
        <v>0.0391</v>
      </c>
      <c r="H870" t="inlineStr">
        <is>
          <t>This is a Java library for interacting with the GitHub API. It provides a set of classes that can be used to perform various operations on the GitHub platform, such as creating, reading, updating, and deleting files in repositories. The library also includes support for retrieving information about users, organizations, and other entities on the GitHub platform.</t>
        </is>
      </c>
      <c r="I870" t="n">
        <v>0.0038</v>
      </c>
      <c r="J870" t="n">
        <v>0.0615</v>
      </c>
      <c r="K870" t="n">
        <v>0.1163</v>
      </c>
      <c r="L870" t="inlineStr">
        <is>
          <t>The provided code is part of a Java library for interacting with the GitHub API. It defines a class called `RtContents` that represents the contents of a GitHub repository. The class has several methods for retrieving and manipulating the content of the repository, such as creating new files, updating existing ones, and deleting them.
The class also includes annotations for logging and immut</t>
        </is>
      </c>
      <c r="M870" t="n">
        <v>0.0029</v>
      </c>
      <c r="N870" t="n">
        <v>0.0282</v>
      </c>
      <c r="O870" t="n">
        <v>0.0741</v>
      </c>
    </row>
    <row r="871">
      <c r="A871" t="inlineStr">
        <is>
          <t>jcabi</t>
        </is>
      </c>
      <c r="B871" t="inlineStr">
        <is>
          <t>src/main/java/com/jcabi/github/Branches.java</t>
        </is>
      </c>
      <c r="C871">
        <f>HYPERLINK("https://github.com/jcabi/jcabi-github/blob/master/src/main/java/com/jcabi/github/Branches.java")</f>
        <v/>
      </c>
      <c r="D871" t="inlineStr">
        <is>
          <t>This is an implementation of the `Branches` class in Java, which represents a collection of Git branches for a specific repository. It provides methods to retrieve information about the branches, such as iterating over them or finding a specific one by its name. The class is annotated with `@Immutable`, indicating that it is thread-safe and does not modify any external state. The `</t>
        </is>
      </c>
      <c r="E871" t="n">
        <v>0.0034</v>
      </c>
      <c r="F871" t="n">
        <v>0.08450000000000001</v>
      </c>
      <c r="G871" t="n">
        <v>0.1111</v>
      </c>
      <c r="H871" t="inlineStr">
        <is>
          <t>This is a Java implementation of the GitHub API for working with branches. It provides methods to retrieve information about branches, iterate over them, and search for specific branches based on their names. The main class, `com.jcabi.github.Branches`, represents a collection of branches that belong to a particular repository. It has methods such as `repo()` to get the repo object</t>
        </is>
      </c>
      <c r="I871" t="n">
        <v>0.0037</v>
      </c>
      <c r="J871" t="n">
        <v>0.0857</v>
      </c>
      <c r="K871" t="n">
        <v>0.1527</v>
      </c>
      <c r="L871" t="inlineStr">
        <is>
          <t>The code defines an interface for working with GitHub branches through the JCABI library. It provides methods for retrieving the repo associated with the branches, iterating over all branches in the repo, finding a specific branch by name, and getting the branch object. The implementation is immutable using the Aspects library.</t>
        </is>
      </c>
      <c r="M871" t="n">
        <v>0.0036</v>
      </c>
      <c r="N871" t="n">
        <v>0.0339</v>
      </c>
      <c r="O871" t="n">
        <v>0.122</v>
      </c>
    </row>
    <row r="872">
      <c r="A872" t="inlineStr">
        <is>
          <t>jcabi</t>
        </is>
      </c>
      <c r="B872" t="inlineStr">
        <is>
          <t>src/main/java/com/jcabi/github/RtSearch.java</t>
        </is>
      </c>
      <c r="C872">
        <f>HYPERLINK("https://github.com/jcabi/jcabi-github/blob/master/src/main/java/com/jcabi/github/RtSearch.java")</f>
        <v/>
      </c>
      <c r="D872" t="inlineStr">
        <is>
          <t>The provided code is a Java implementation of the `RtSearch` class in the `com.jcabi.github` package. This class provides a simple API to perform search operations on GitHub repositories using the GitHub REST API.
The constructor takes a `GitHub` object as its parameter, which represents the authenticated user's access token and other relevant information. It also</t>
        </is>
      </c>
      <c r="E872" t="n">
        <v>0.004</v>
      </c>
      <c r="F872" t="n">
        <v>0.0606</v>
      </c>
      <c r="G872" t="n">
        <v>0.1575</v>
      </c>
      <c r="H872" t="inlineStr">
        <is>
          <t>The provided code is part of a Java library called `com.jcabi.github` that provides a set of classes to interact with the GitHub API. The `RtSearch` class is one such class that allows users to perform search operations on the GitHub platform.
The `RtSearch` class has several responsibilities, including:
* Implementing the</t>
        </is>
      </c>
      <c r="I872" t="n">
        <v>0</v>
      </c>
      <c r="J872" t="n">
        <v>0.0333</v>
      </c>
      <c r="K872" t="n">
        <v>0.0813</v>
      </c>
      <c r="L872" t="inlineStr">
        <is>
          <t>The code defines a `RtSearch` class that represents a search feature in a GitHub API client. It is part of the `com.jcabi.github` package.
The class has several responsibilities, including:
* Creating a new instance of the `RtSearch` class by passing a `GitHub` object as a parameter in the constructor.</t>
        </is>
      </c>
      <c r="M872" t="n">
        <v>0</v>
      </c>
      <c r="N872" t="n">
        <v>0</v>
      </c>
      <c r="O872" t="n">
        <v>0.0413</v>
      </c>
    </row>
    <row r="873">
      <c r="A873" t="inlineStr">
        <is>
          <t>jcabi</t>
        </is>
      </c>
      <c r="B873" t="inlineStr">
        <is>
          <t>src/main/java/com/jcabi/github/RtJson.java</t>
        </is>
      </c>
      <c r="C873">
        <f>HYPERLINK("https://github.com/jcabi/jcabi-github/blob/master/src/main/java/com/jcabi/github/RtJson.java")</f>
        <v/>
      </c>
      <c r="D873" t="inlineStr">
        <is>
          <t>The `RtJson` class is a Java implementation of a GitHub JSON item. It provides methods for fetching and manipulating JSON objects using the HTTP API.
The constructor takes in a `Request` object as input, which represents a RESTful request to the GitHub API. The class has one method, `fetch()`, which returns a `JsonObject` representing the JSON response from</t>
        </is>
      </c>
      <c r="E873" t="n">
        <v>0.0031</v>
      </c>
      <c r="F873" t="n">
        <v>0.0606</v>
      </c>
      <c r="G873" t="n">
        <v>0.1154</v>
      </c>
      <c r="H873" t="inlineStr">
        <is>
          <t>The code is written in Java and defines a `RtJson` class that represents a JSON item on GitHub. It has several fields and methods, including a constructor that takes a `Request` object as input, a `fetch()` method that returns a `JsonObject`, and a `toString()` method that converts the JSON data to a string.
The code also includes annotations such as</t>
        </is>
      </c>
      <c r="I873" t="n">
        <v>0.003</v>
      </c>
      <c r="J873" t="n">
        <v>0.0294</v>
      </c>
      <c r="K873" t="n">
        <v>0.0379</v>
      </c>
      <c r="L873" t="inlineStr">
        <is>
          <t>The `RtJson` class is a Java implementation of a Github JSON item. It provides a way to interact with Github's JSON API by providing methods for fetching and manipulating JSON objects. The class is annotated with several Lombok annotations, including `@Immutable`, `@Loggable`, and `@EqualsAndHashCode`. These annotations indicate that the class is immutable</t>
        </is>
      </c>
      <c r="M873" t="n">
        <v>0.0035</v>
      </c>
      <c r="N873" t="n">
        <v>0.06560000000000001</v>
      </c>
      <c r="O873" t="n">
        <v>0.0806</v>
      </c>
    </row>
    <row r="874">
      <c r="A874" t="inlineStr">
        <is>
          <t>jcabi</t>
        </is>
      </c>
      <c r="B874" t="inlineStr">
        <is>
          <t>src/main/java/com/jcabi/github/RtUserEmails.java</t>
        </is>
      </c>
      <c r="C874">
        <f>HYPERLINK("https://github.com/jcabi/jcabi-github/blob/master/src/main/java/com/jcabi/github/RtUserEmails.java")</f>
        <v/>
      </c>
      <c r="D874" t="inlineStr">
        <is>
          <t>The `RtUserEmails` class is a Java implementation of the `UserEmails` interface from the Github API. It provides methods to retrieve information about a user's email addresses on Github.
The constructor takes a `Request` object as input, which represents the RESTful API entry point. The `RtUserEmails` instance stores this `Request</t>
        </is>
      </c>
      <c r="E874" t="n">
        <v>0</v>
      </c>
      <c r="F874" t="n">
        <v>0.0345</v>
      </c>
      <c r="G874" t="n">
        <v>0.08260000000000001</v>
      </c>
      <c r="H874" t="inlineStr">
        <is>
          <t>This is a Java library that provides a client implementation for accessing the GitHub RESTful API. The main class in the library is `RtUserEmails`, which represents a collection of email addresses associated with a GitHub user account. It has several methods to retrieve information about the user's emails, such as getting all the email addresses or checking if a specific email address exists. The library also</t>
        </is>
      </c>
      <c r="I874" t="n">
        <v>0.0028</v>
      </c>
      <c r="J874" t="n">
        <v>0.0533</v>
      </c>
      <c r="K874" t="n">
        <v>0.0725</v>
      </c>
      <c r="L874" t="inlineStr">
        <is>
          <t>The code defines a Java class called `RtUserEmails` that represents a collection of email addresses associated with a GitHub user account. It is part of the JCabi Github library.
The class has several responsibilities:
* It provides a list of email addresses associated with the user account using the `emails()` method.
* It allows adding new</t>
        </is>
      </c>
      <c r="M874" t="n">
        <v>0</v>
      </c>
      <c r="N874" t="n">
        <v>0</v>
      </c>
      <c r="O874" t="n">
        <v>0.0391</v>
      </c>
    </row>
    <row r="875">
      <c r="A875" t="inlineStr">
        <is>
          <t>jcabi</t>
        </is>
      </c>
      <c r="B875" t="inlineStr">
        <is>
          <t>src/main/java/com/jcabi/github/Limit.java</t>
        </is>
      </c>
      <c r="C875">
        <f>HYPERLINK("https://github.com/jcabi/jcabi-github/blob/master/src/main/java/com/jcabi/github/Limit.java")</f>
        <v/>
      </c>
      <c r="D875" t="inlineStr">
        <is>
          <t>The `Limit` interface provides access to a single resource limit in the GitHub rate limit API. It encapsulates the following methods:
* `github()`: Returns the GitHub instance that this limit belongs to.
* `remaining()`: Returns the number of remaining requests for this limit.
* `resetAt()`: Returns the date and time at which the limit will</t>
        </is>
      </c>
      <c r="E875" t="n">
        <v>0.0033</v>
      </c>
      <c r="F875" t="n">
        <v>0.0667</v>
      </c>
      <c r="G875" t="n">
        <v>0.07870000000000001</v>
      </c>
      <c r="H875" t="inlineStr">
        <is>
          <t>The `Limit` class is part of the `com.jcabi.github` package and represents a single rate limit resource for the GitHub API. It provides methods to retrieve information about the current state of the rate limit, including the number of remaining requests, the time at which the limit will be reset, and the maximum number of requests that can be made within a given time period.</t>
        </is>
      </c>
      <c r="I875" t="n">
        <v>0.0028</v>
      </c>
      <c r="J875" t="n">
        <v>0.027</v>
      </c>
      <c r="K875" t="n">
        <v>0.0735</v>
      </c>
      <c r="L875" t="inlineStr">
        <is>
          <t>The code defines a `Limit` interface that represents a single rate limit resource returned by the GitHub API. It provides methods for accessing various properties of the limit, such as the remaining number of requests allowed within the current time period, the total number of requests allowed, and the time at which the limit will reset.
The `Smart` implementation of the `Limit` interface adds additional</t>
        </is>
      </c>
      <c r="M875" t="n">
        <v>0.0028</v>
      </c>
      <c r="N875" t="n">
        <v>0.0274</v>
      </c>
      <c r="O875" t="n">
        <v>0.073</v>
      </c>
    </row>
    <row r="876">
      <c r="A876" t="inlineStr">
        <is>
          <t>jcabi</t>
        </is>
      </c>
      <c r="B876" t="inlineStr">
        <is>
          <t>src/main/java/com/jcabi/github/RtCollaborators.java</t>
        </is>
      </c>
      <c r="C876">
        <f>HYPERLINK("https://github.com/jcabi/jcabi-github/blob/master/src/main/java/com/jcabi/github/RtCollaborators.java")</f>
        <v/>
      </c>
      <c r="D876" t="inlineStr">
        <is>
          <t>The `RtCollaborators` class is a Java implementation of the `Collaborators` interface from the GitHub API. It provides methods for retrieving information about collaborators on a specific repository.
The constructor takes three parameters:
* `entry`: An instance of the `Request` class representing the API entry point.
* `request`: An instance of the `</t>
        </is>
      </c>
      <c r="E876" t="n">
        <v>0</v>
      </c>
      <c r="F876" t="n">
        <v>0.0351</v>
      </c>
      <c r="G876" t="n">
        <v>0.0403</v>
      </c>
      <c r="H876" t="inlineStr">
        <is>
          <t>The `RtCollaborators` class is part of the JCabi GitHub library for Java. It provides an implementation of the `Collaborators` interface, which allows users to manage collaborators on a GitHub repository.
The class has several important methods that allow you to interact with collaborators on a repository. These include:
* `add()`: adds a new</t>
        </is>
      </c>
      <c r="I876" t="n">
        <v>0</v>
      </c>
      <c r="J876" t="n">
        <v>0.0333</v>
      </c>
      <c r="K876" t="n">
        <v>0.08</v>
      </c>
      <c r="L876" t="inlineStr">
        <is>
          <t>The code provides an implementation of the `RtCollaborators` class, which is part of the JCabi GitHub library. The class represents collaborators for a given repository and provides methods for retrieving and manipulating them.
The constructor takes three parameters: `entry`, `request`, and `owner`. `entry` is the API entry point, `request` is the</t>
        </is>
      </c>
      <c r="M876" t="n">
        <v>0.0036</v>
      </c>
      <c r="N876" t="n">
        <v>0.0678</v>
      </c>
      <c r="O876" t="n">
        <v>0.122</v>
      </c>
    </row>
    <row r="877">
      <c r="A877" t="inlineStr">
        <is>
          <t>jcabi</t>
        </is>
      </c>
      <c r="B877" t="inlineStr">
        <is>
          <t>src/main/java/com/jcabi/github/Release.java</t>
        </is>
      </c>
      <c r="C877">
        <f>HYPERLINK("https://github.com/jcabi/jcabi-github/blob/master/src/main/java/com/jcabi/github/Release.java")</f>
        <v/>
      </c>
      <c r="D877" t="inlineStr">
        <is>
          <t>The `Release` class in this code represents a GitHub release, which is a versioned snapshot of a project's source code that can be downloaded or installed as a package. It provides methods for retrieving information about the release, such as its ID, owner, and creation date, as well as deleting the release itself. Additionally, it implements the `JsonReadable` and `Json</t>
        </is>
      </c>
      <c r="E877" t="n">
        <v>0.0036</v>
      </c>
      <c r="F877" t="n">
        <v>0.08699999999999999</v>
      </c>
      <c r="G877" t="n">
        <v>0.1136</v>
      </c>
      <c r="H877" t="inlineStr">
        <is>
          <t>This is a Java library for interacting with the GitHub API. The `Release` class represents a single release on a GitHub repository. It provides methods to retrieve information about the release, delete it, and update its attributes.
The `repo()` method returns the `Repo` object that this release belongs to. The `number()` method returns the unique identifier of this release.</t>
        </is>
      </c>
      <c r="I877" t="n">
        <v>0.0037</v>
      </c>
      <c r="J877" t="n">
        <v>0.0597</v>
      </c>
      <c r="K877" t="n">
        <v>0.07630000000000001</v>
      </c>
      <c r="L877" t="inlineStr">
        <is>
          <t>The code defines a Java class called "Release" that implements several interfaces related to JSON parsing and patching. It is part of a larger project called "GitHub" and represents a specific version (release) of a software product hosted on GitHub.
The class has several methods for accessing and modifying various aspects of the release, such as its ID, owner, and creation date. It</t>
        </is>
      </c>
      <c r="M877" t="n">
        <v>0.0038</v>
      </c>
      <c r="N877" t="n">
        <v>0.0563</v>
      </c>
      <c r="O877" t="n">
        <v>0.1481</v>
      </c>
    </row>
    <row r="878">
      <c r="A878" t="inlineStr">
        <is>
          <t>jcabi</t>
        </is>
      </c>
      <c r="B878" t="inlineStr">
        <is>
          <t>src/main/java/com/jcabi/github/Smarts.java</t>
        </is>
      </c>
      <c r="C878">
        <f>HYPERLINK("https://github.com/jcabi/jcabi-github/blob/master/src/main/java/com/jcabi/github/Smarts.java")</f>
        <v/>
      </c>
      <c r="D878" t="inlineStr">
        <is>
          <t>The `Smarts` class is a decorator that wraps an iterable object with additional functionality. It takes in an `Iterable` object as its constructor argument and provides a new `Iterable` interface that returns smart objects instead of raw ones.
The `Smarts` class has two main methods:
* `iterator()`: Returns an iterator over the wrapped iter</t>
        </is>
      </c>
      <c r="E878" t="n">
        <v>0.0034</v>
      </c>
      <c r="F878" t="n">
        <v>0.06560000000000001</v>
      </c>
      <c r="G878" t="n">
        <v>0.0397</v>
      </c>
      <c r="H878" t="inlineStr">
        <is>
          <t>The `Smarts` class is a decorator that adds smart behavior to an iterable of objects. It takes an iterable of objects as its constructor argument and provides additional methods for accessing and manipulating the data in the iterable.
The `Smarts` class has one field called `origin`, which is the original iterable passed into the constructor. It also has several methods</t>
        </is>
      </c>
      <c r="I878" t="n">
        <v>0.003</v>
      </c>
      <c r="J878" t="n">
        <v>0.0294</v>
      </c>
      <c r="K878" t="n">
        <v>0.0379</v>
      </c>
      <c r="L878" t="inlineStr">
        <is>
          <t>The `Smarts` class provides a decorator for an iterable collection of objects that adds smart features such as lazy loading, caching, and filtering. It takes an iterable object as input and returns a new iterable object that wraps the original one with additional functionality.
The class has two constructors, each taking an instance of an iterable object as input. One constructor</t>
        </is>
      </c>
      <c r="M878" t="n">
        <v>0.003</v>
      </c>
      <c r="N878" t="n">
        <v>0.029</v>
      </c>
      <c r="O878" t="n">
        <v>0.0376</v>
      </c>
    </row>
    <row r="879">
      <c r="A879" t="inlineStr">
        <is>
          <t>jcabi</t>
        </is>
      </c>
      <c r="B879" t="inlineStr">
        <is>
          <t>src/main/java/com/jcabi/github/ReleaseAssets.java</t>
        </is>
      </c>
      <c r="C879">
        <f>HYPERLINK("https://github.com/jcabi/jcabi-github/blob/master/src/main/java/com/jcabi/github/ReleaseAssets.java")</f>
        <v/>
      </c>
      <c r="D879" t="inlineStr">
        <is>
          <t>This is an implementation of the `ReleaseAssets` class in Java, which represents a collection of assets associated with a GitHub release. It has several methods that allow you to interact with these assets, including getting the release they belong to, iterating over them, uploading a new asset, and deleting an existing one.</t>
        </is>
      </c>
      <c r="E879" t="n">
        <v>0.0042</v>
      </c>
      <c r="F879" t="n">
        <v>0.1</v>
      </c>
      <c r="G879" t="n">
        <v>0.121</v>
      </c>
      <c r="H879" t="inlineStr">
        <is>
          <t>This is Java code that defines an interface called `ReleaseAssets` which represents a collection of assets associated with a GitHub release. It has several methods, including `iterate()` to retrieve all assets, `upload()` to upload a new asset, and `delete()` to delete an existing asset. The class also includes annotations such as `@Immutable`, indicating that it is immutable, and</t>
        </is>
      </c>
      <c r="I879" t="n">
        <v>0.0037</v>
      </c>
      <c r="J879" t="n">
        <v>0.0606</v>
      </c>
      <c r="K879" t="n">
        <v>0.0769</v>
      </c>
      <c r="L879" t="inlineStr">
        <is>
          <t>The code defines a Java interface called `ReleaseAssets` that represents a collection of assets associated with a GitHub release. It provides methods for accessing individual assets, iterating over all assets, and uploading a new asset. The interface is annotated with `@Immutable`, indicating that it should be treated as immutable by other parts of the system. The class also includes documentation links to the</t>
        </is>
      </c>
      <c r="M879" t="n">
        <v>0.0029</v>
      </c>
      <c r="N879" t="n">
        <v>0.0282</v>
      </c>
      <c r="O879" t="n">
        <v>0.0741</v>
      </c>
    </row>
    <row r="880">
      <c r="A880" t="inlineStr">
        <is>
          <t>jcabi</t>
        </is>
      </c>
      <c r="B880" t="inlineStr">
        <is>
          <t>src/main/java/com/jcabi/github/RtNotification.java</t>
        </is>
      </c>
      <c r="C880">
        <f>HYPERLINK("https://github.com/jcabi/jcabi-github/blob/master/src/main/java/com/jcabi/github/RtNotification.java")</f>
        <v/>
      </c>
      <c r="D880" t="inlineStr">
        <is>
          <t>The `RtNotification` class is part of the JCabi Github library for Java, which provides a way to interact with the GitHub Notifications API. It represents a single notification in the system and exposes methods to retrieve information about it such as its ID (`number()`).</t>
        </is>
      </c>
      <c r="E880" t="n">
        <v>0.0042</v>
      </c>
      <c r="F880" t="n">
        <v>0.0385</v>
      </c>
      <c r="G880" t="n">
        <v>0.0862</v>
      </c>
      <c r="H880" t="inlineStr">
        <is>
          <t>The provided code defines a Java class called `RtNotification` that represents a notification in the GitHub platform's Activity API. It is part of the JCabi Github library.
The class has one constructor that takes a single argument, which is the notification ID. It also has one method called `number()` that returns the notification ID.
The class is annotated</t>
        </is>
      </c>
      <c r="I880" t="n">
        <v>0</v>
      </c>
      <c r="J880" t="n">
        <v>0</v>
      </c>
      <c r="K880" t="n">
        <v>0.0385</v>
      </c>
      <c r="L880" t="inlineStr">
        <is>
          <t>The provided code is part of a Java library for interacting with the GitHub API. It defines a `RtNotification` class that represents a notification object in the GitHub system. The class has two fields: `notifnumber`, which stores the notification's unique identifier, and `notifid`, which stores the notification ID.
The class also provides several methods to access and</t>
        </is>
      </c>
      <c r="M880" t="n">
        <v>0.0032</v>
      </c>
      <c r="N880" t="n">
        <v>0.0303</v>
      </c>
      <c r="O880" t="n">
        <v>0.0775</v>
      </c>
    </row>
    <row r="881">
      <c r="A881" t="inlineStr">
        <is>
          <t>jcabi</t>
        </is>
      </c>
      <c r="B881" t="inlineStr">
        <is>
          <t>src/main/java/com/jcabi/github/RtLimit.java</t>
        </is>
      </c>
      <c r="C881">
        <f>HYPERLINK("https://github.com/jcabi/jcabi-github/blob/master/src/main/java/com/jcabi/github/RtLimit.java")</f>
        <v/>
      </c>
      <c r="D881" t="inlineStr">
        <is>
          <t>The `RtLimit` class is a part of the JCABI Github library for Java. It represents a single rate limit in the GitHub API. The class has several fields that store information about the rate limit, such as the number of requests remaining, the time at which the limit will reset, and the maximum number of requests allowed per hour.
The constructor takes three</t>
        </is>
      </c>
      <c r="E881" t="n">
        <v>0.0029</v>
      </c>
      <c r="F881" t="n">
        <v>0.0282</v>
      </c>
      <c r="G881" t="n">
        <v>0.0741</v>
      </c>
      <c r="H881" t="inlineStr">
        <is>
          <t>The code defines a Java class called `RtLimit` that implements the `Limit` interface from the `com.jcabi.github` package. It has three fields: `entry`, which is a request to the GitHub API, `ghub`, which is the GitHub instance, and `res`, which is the name of the resource being accessed.
The constructor takes three</t>
        </is>
      </c>
      <c r="I881" t="n">
        <v>0.0043</v>
      </c>
      <c r="J881" t="n">
        <v>0.06560000000000001</v>
      </c>
      <c r="K881" t="n">
        <v>0.0813</v>
      </c>
      <c r="L881" t="inlineStr">
        <is>
          <t>The provided code is part of a Java library for interacting with the GitHub API. It defines a `RtLimit` class that encapsulates the concept of a GitHub API limit rate. The class has three fields: `entry`, which represents the API entry point, `ghub`, which refers to the parent `GitHub` object, and `res`, which stores the name</t>
        </is>
      </c>
      <c r="M881" t="n">
        <v>0.0033</v>
      </c>
      <c r="N881" t="n">
        <v>0.0312</v>
      </c>
      <c r="O881" t="n">
        <v>0.0781</v>
      </c>
    </row>
    <row r="882">
      <c r="A882" t="inlineStr">
        <is>
          <t>jcabi</t>
        </is>
      </c>
      <c r="B882" t="inlineStr">
        <is>
          <t>src/main/java/com/jcabi/github/GitHubThread.java</t>
        </is>
      </c>
      <c r="C882">
        <f>HYPERLINK("https://github.com/jcabi/jcabi-github/blob/master/src/main/java/com/jcabi/github/GitHubThread.java")</f>
        <v/>
      </c>
      <c r="D882" t="inlineStr">
        <is>
          <t>The provided code defines an interface for interacting with a GitHub notification thread. It provides methods for marking the thread as read, checking if the current user is subscribed to it, and subscribing or ignoring the thread.</t>
        </is>
      </c>
      <c r="E882" t="n">
        <v>0.005</v>
      </c>
      <c r="F882" t="n">
        <v>0.0444</v>
      </c>
      <c r="G882" t="n">
        <v>0.0459</v>
      </c>
      <c r="H882" t="inlineStr">
        <is>
          <t>This code defines a Java class named `GitHubThread` that represents a notification thread in GitHub. It has three methods:
* `markAsRead()`: marks the thread as read.
* `getSubscription()`: returns subscription data for the current user on this thread. If the user is not subscribed, it returns null.
* `setSubscription()`:</t>
        </is>
      </c>
      <c r="I882" t="n">
        <v>0.0037</v>
      </c>
      <c r="J882" t="n">
        <v>0.037</v>
      </c>
      <c r="K882" t="n">
        <v>0.0413</v>
      </c>
      <c r="L882" t="inlineStr">
        <is>
          <t>The provided code defines a Java interface called `GitHubThread` that represents a notification thread in GitHub. It provides two methods for interacting with the thread: `markAsRead()` marks the thread as read, while `getSubscription()` checks whether the current user is subscribed to the thread and returns subscription data if they are. Additionally, the method `setSubscription()` allows users</t>
        </is>
      </c>
      <c r="M882" t="n">
        <v>0.0033</v>
      </c>
      <c r="N882" t="n">
        <v>0.0312</v>
      </c>
      <c r="O882" t="n">
        <v>0.0391</v>
      </c>
    </row>
    <row r="883">
      <c r="A883" t="inlineStr">
        <is>
          <t>jcabi</t>
        </is>
      </c>
      <c r="B883" t="inlineStr">
        <is>
          <t>src/main/java/com/jcabi/github/Statuses.java</t>
        </is>
      </c>
      <c r="C883">
        <f>HYPERLINK("https://github.com/jcabi/jcabi-github/blob/master/src/main/java/com/jcabi/github/Statuses.java")</f>
        <v/>
      </c>
      <c r="D883" t="inlineStr">
        <is>
          <t>The `Statuses` interface represents a collection of status objects in a GitHub repository. It provides methods for retrieving information about each status object, as well as creating and updating status objects.
Here's a high-level overview of the functionality of the code:
* The `Statuses` interface defines several methods for working with status objects, including `get()`, `</t>
        </is>
      </c>
      <c r="E883" t="n">
        <v>0.0039</v>
      </c>
      <c r="F883" t="n">
        <v>0.0312</v>
      </c>
      <c r="G883" t="n">
        <v>0.0781</v>
      </c>
      <c r="H883" t="inlineStr">
        <is>
          <t>The `Statuses` interface in this repository defines a Java class that represents a GitHub status. It provides methods for accessing various properties of the status, such as its associated commit, state, target URL, description, and context. The interface also includes a smart decorator called `Smart`, which provides additional convenience methods for accessing specific JSON properties. Overall, this class appears to be responsible</t>
        </is>
      </c>
      <c r="I883" t="n">
        <v>0.0029</v>
      </c>
      <c r="J883" t="n">
        <v>0.0571</v>
      </c>
      <c r="K883" t="n">
        <v>0.0746</v>
      </c>
      <c r="L883" t="inlineStr">
        <is>
          <t>The provided code defines an interface called `Statuses` that represents a GitHub status. It provides methods for accessing various properties of the status, including its associated commit. The class is annotated with `@Immutable`, indicating that it is immutable. Additionally, it imports several other classes from the `com.jcabi.github` package and uses Lombok's `@Data` annotation</t>
        </is>
      </c>
      <c r="M883" t="n">
        <v>0.0035</v>
      </c>
      <c r="N883" t="n">
        <v>0.0312</v>
      </c>
      <c r="O883" t="n">
        <v>0.08</v>
      </c>
    </row>
    <row r="884">
      <c r="A884" t="inlineStr">
        <is>
          <t>jcabi</t>
        </is>
      </c>
      <c r="B884" t="inlineStr">
        <is>
          <t>src/main/java/com/jcabi/github/RtRepo.java</t>
        </is>
      </c>
      <c r="C884">
        <f>HYPERLINK("https://github.com/jcabi/jcabi-github/blob/master/src/main/java/com/jcabi/github/RtRepo.java")</f>
        <v/>
      </c>
      <c r="D884" t="inlineStr">
        <is>
          <t>This is a Java implementation of a GitHub repository object that provides access to various features of a GitHub repository such as commits, issues, pull requests, etc. The `RtRepo` class has several methods for interacting with these features, including:
* `commits()`: Returns a list of all commits in the repository.
* `issues()`: Returns a list of</t>
        </is>
      </c>
      <c r="E884" t="n">
        <v>0.0033</v>
      </c>
      <c r="F884" t="n">
        <v>0.0645</v>
      </c>
      <c r="G884" t="n">
        <v>0.0781</v>
      </c>
      <c r="H884" t="inlineStr">
        <is>
          <t>The provided code is a Java implementation of a `RtRepo` class that represents a GitHub repository. It has several responsibilities, including:
* Implementing the `Repo` interface, which provides methods for interacting with a GitHub repository.
* Handling HTTP requests to the GitHub API using the `Request` object from the `com.jcabi</t>
        </is>
      </c>
      <c r="I884" t="n">
        <v>0</v>
      </c>
      <c r="J884" t="n">
        <v>0.0351</v>
      </c>
      <c r="K884" t="n">
        <v>0.082</v>
      </c>
      <c r="L884" t="inlineStr">
        <is>
          <t>The code defines a Java class named `RtRepo` that represents a GitHub repository. It is part of the `com.jcabi.github` package and has several responsibilities, including:
* Managing the repository's metadata, such as its name, description, and topics.
* Retrieving and manipulating the repository's contents, such as</t>
        </is>
      </c>
      <c r="M884" t="n">
        <v>0.004</v>
      </c>
      <c r="N884" t="n">
        <v>0.0357</v>
      </c>
      <c r="O884" t="n">
        <v>0.0847</v>
      </c>
    </row>
    <row r="885">
      <c r="A885" t="inlineStr">
        <is>
          <t>jcabi</t>
        </is>
      </c>
      <c r="B885" t="inlineStr">
        <is>
          <t>src/main/java/com/jcabi/github/RtIssueEvents.java</t>
        </is>
      </c>
      <c r="C885">
        <f>HYPERLINK("https://github.com/jcabi/jcabi-github/blob/master/src/main/java/com/jcabi/github/RtIssueEvents.java")</f>
        <v/>
      </c>
      <c r="D885" t="inlineStr">
        <is>
          <t>This is a Java implementation of the `RtIssueEvents` class from the JCABI Github library. The class provides functionality for interacting with GitHub issues through its REST API. It has several fields and methods that allow you to retrieve information about issue events, such as comments, commits, and pull requests.
The class has two constructors, one that takes</t>
        </is>
      </c>
      <c r="E885" t="n">
        <v>0.0042</v>
      </c>
      <c r="F885" t="n">
        <v>0.1231</v>
      </c>
      <c r="G885" t="n">
        <v>0.155</v>
      </c>
      <c r="H885" t="inlineStr">
        <is>
          <t>The `RtIssueEvents` class is part of the JCABI Github library for Java and represents a collection of events related to a specific GitHub issue. It provides methods for retrieving information about the issue's events, such as comments, assignees, labels, etc.
The class has several important fields and methods:
* `entry`:</t>
        </is>
      </c>
      <c r="I885" t="n">
        <v>0.0037</v>
      </c>
      <c r="J885" t="n">
        <v>0.0345</v>
      </c>
      <c r="K885" t="n">
        <v>0.082</v>
      </c>
      <c r="L885" t="inlineStr">
        <is>
          <t>The code defines a class named `RtIssueEvents` that represents GitHub issue events. It is part of the `com.jcabi.github` package.
The class has several fields and methods, including:
* A field called `entry` that stores an instance of the `Request` class, which is used for making HTTP requests to the GitHub API</t>
        </is>
      </c>
      <c r="M885" t="n">
        <v>0.0036</v>
      </c>
      <c r="N885" t="n">
        <v>0.0333</v>
      </c>
      <c r="O885" t="n">
        <v>0.0813</v>
      </c>
    </row>
    <row r="886">
      <c r="A886" t="inlineStr">
        <is>
          <t>jcabi</t>
        </is>
      </c>
      <c r="B886" t="inlineStr">
        <is>
          <t>src/main/java/com/jcabi/github/RtGist.java</t>
        </is>
      </c>
      <c r="C886">
        <f>HYPERLINK("https://github.com/jcabi/jcabi-github/blob/master/src/main/java/com/jcabi/github/RtGist.java")</f>
        <v/>
      </c>
      <c r="D886" t="inlineStr">
        <is>
          <t>This is a Java implementation of the `RtGist` class from the JCabi GitHub library. The class provides methods to interact with a GitHub gist. It has several responsibilities, including:
* Creating a new gist
* Retrieving information about a gist
* Updating a gist
* Deleting a gist
* Adding files</t>
        </is>
      </c>
      <c r="E886" t="n">
        <v>0.0036</v>
      </c>
      <c r="F886" t="n">
        <v>0.0741</v>
      </c>
      <c r="G886" t="n">
        <v>0.122</v>
      </c>
      <c r="H886" t="inlineStr">
        <is>
          <t>The `RtGist` class is a Java implementation of a GitHub gist, which represents a single piece of code that can be shared and collaborated on across multiple developers. It provides methods to interact with the gist's metadata, files, and comments, as well as methods to create and update the gist itself.
The class has several dependencies, including the `</t>
        </is>
      </c>
      <c r="I886" t="n">
        <v>0.0031</v>
      </c>
      <c r="J886" t="n">
        <v>0.0597</v>
      </c>
      <c r="K886" t="n">
        <v>0.1145</v>
      </c>
      <c r="L886" t="inlineStr">
        <is>
          <t>The code defines a Java class named `RtGist` that represents a GitHub gist. It is annotated with several Lombok annotations, including `@Immutable`, `@Loggable`, and `@EqualsAndHashCode`. The class has two fields: `request`, which is a `Request` object representing the RESTful request for the gist, and `ghub`, which is</t>
        </is>
      </c>
      <c r="M886" t="n">
        <v>0.0039</v>
      </c>
      <c r="N886" t="n">
        <v>0.0364</v>
      </c>
      <c r="O886" t="n">
        <v>0.042</v>
      </c>
    </row>
    <row r="887">
      <c r="A887" t="inlineStr">
        <is>
          <t>jcabi</t>
        </is>
      </c>
      <c r="B887" t="inlineStr">
        <is>
          <t>src/main/java/com/jcabi/github/RepoCommit.java</t>
        </is>
      </c>
      <c r="C887">
        <f>HYPERLINK("https://github.com/jcabi/jcabi-github/blob/master/src/main/java/com/jcabi/github/RepoCommit.java")</f>
        <v/>
      </c>
      <c r="D887" t="inlineStr">
        <is>
          <t>This Java code defines an interface called `RepoCommit` that represents a GitHub repository commit. It has several methods for accessing various properties of the commit, such as the commit message, author, and date. The class also implements the `JsonReadable` interface, which allows it to read JSON data from a file or other source. Additionally, this class is annotated with `@Im</t>
        </is>
      </c>
      <c r="E887" t="n">
        <v>0.004</v>
      </c>
      <c r="F887" t="n">
        <v>0.0588</v>
      </c>
      <c r="G887" t="n">
        <v>0.1136</v>
      </c>
      <c r="H887" t="inlineStr">
        <is>
          <t>The provided code defines an interface called `RepoCommit` in Java that represents a commit in a GitHub repository. It has several methods for accessing various properties of the commit, such as the commit message, author, and date. The class also implements the `JsonReadable` interface, which allows it to read JSON data from a file or stream. Additionally, it has annotations indicating that</t>
        </is>
      </c>
      <c r="I887" t="n">
        <v>0.0035</v>
      </c>
      <c r="J887" t="n">
        <v>0.0286</v>
      </c>
      <c r="K887" t="n">
        <v>0.0746</v>
      </c>
      <c r="L887" t="inlineStr">
        <is>
          <t>The code defines a Java interface called `RepoCommit` that represents a GitHub repository commit. It provides methods for accessing various properties of the commit, such as the commit message, author, and date. Additionally, it includes a smart decorator that allows developers to easily access specific JSON properties of the commit object.</t>
        </is>
      </c>
      <c r="M887" t="n">
        <v>0.0036</v>
      </c>
      <c r="N887" t="n">
        <v>0.0339</v>
      </c>
      <c r="O887" t="n">
        <v>0.0407</v>
      </c>
    </row>
    <row r="888">
      <c r="A888" t="inlineStr">
        <is>
          <t>jcabi</t>
        </is>
      </c>
      <c r="B888" t="inlineStr">
        <is>
          <t>src/main/java/com/jcabi/github/RtLabel.java</t>
        </is>
      </c>
      <c r="C888">
        <f>HYPERLINK("https://github.com/jcabi/jcabi-github/blob/master/src/main/java/com/jcabi/github/RtLabel.java")</f>
        <v/>
      </c>
      <c r="D888" t="inlineStr">
        <is>
          <t>The `RtLabel` class is a part of the JCabi Github library for Java. It represents a single label on a Github repository.
The constructor takes three parameters:
* `req`: A `Request` object that provides access to the Github API.
* `repo`: An instance of the `Repo` class representing the repository containing the</t>
        </is>
      </c>
      <c r="E888" t="n">
        <v>0</v>
      </c>
      <c r="F888" t="n">
        <v>0</v>
      </c>
      <c r="G888" t="n">
        <v>0.0403</v>
      </c>
      <c r="H888" t="inlineStr">
        <is>
          <t>The provided code defines a Java class named `RtLabel` that represents a GitHub label. It is part of the `com.jcabi.github` package.
The constructor takes three parameters:
* `req`: A `Request` object representing the RESTful API request.
* `repo`: An instance of `Repo`, which represents a GitHub repository.</t>
        </is>
      </c>
      <c r="I888" t="n">
        <v>0</v>
      </c>
      <c r="J888" t="n">
        <v>0</v>
      </c>
      <c r="K888" t="n">
        <v>0.042</v>
      </c>
      <c r="L888" t="inlineStr">
        <is>
          <t>The provided code is part of a Java library for interacting with the GitHub API. It defines a `RtLabel` class that represents a label object in GitHub. The class has several fields and methods, including constructors, getters, setters, and methods for retrieving and manipulating label data.
The primary responsibility of the `RtLabel` class is to provide</t>
        </is>
      </c>
      <c r="M888" t="n">
        <v>0.0033</v>
      </c>
      <c r="N888" t="n">
        <v>0.0312</v>
      </c>
      <c r="O888" t="n">
        <v>0.0781</v>
      </c>
    </row>
    <row r="889">
      <c r="A889" t="inlineStr">
        <is>
          <t>jcabi</t>
        </is>
      </c>
      <c r="B889" t="inlineStr">
        <is>
          <t>src/main/java/com/jcabi/github/RtOrganization.java</t>
        </is>
      </c>
      <c r="C889">
        <f>HYPERLINK("https://github.com/jcabi/jcabi-github/blob/master/src/main/java/com/jcabi/github/RtOrganization.java")</f>
        <v/>
      </c>
      <c r="D889" t="inlineStr">
        <is>
          <t>The provided code defines a `RtOrganization` class that represents a GitHub organization in Java. It is part of the JCabi GitHub library.
The class has several responsibilities:
* It provides access to various features of the GitHub API related to organizations, such as retrieving information about the organization itself, its members, teams, repositories, etc.
*</t>
        </is>
      </c>
      <c r="E889" t="n">
        <v>0</v>
      </c>
      <c r="F889" t="n">
        <v>0</v>
      </c>
      <c r="G889" t="n">
        <v>0.0394</v>
      </c>
      <c r="H889" t="inlineStr">
        <is>
          <t>The provided code is part of a Java library for interacting with the GitHub API. It defines a class called `RtOrganization` that represents an organization on GitHub.
The class has several fields and methods, but its primary responsibility is to provide access to information about the organization and perform actions on it. Some of these actions include retrieving information about the organization's members,</t>
        </is>
      </c>
      <c r="I889" t="n">
        <v>0.0029</v>
      </c>
      <c r="J889" t="n">
        <v>0.0278</v>
      </c>
      <c r="K889" t="n">
        <v>0.0741</v>
      </c>
      <c r="L889" t="inlineStr">
        <is>
          <t>The provided code is part of a Java library for interacting with the GitHub API. It defines a class called `RtOrganization` that represents a GitHub organization. The class has several fields and methods related to the organization's data, such as its login name, members, repositories, etc.
The functionality of the code can be summarized as follows:
* The</t>
        </is>
      </c>
      <c r="M889" t="n">
        <v>0.0037</v>
      </c>
      <c r="N889" t="n">
        <v>0.0303</v>
      </c>
      <c r="O889" t="n">
        <v>0.0769</v>
      </c>
    </row>
    <row r="890">
      <c r="A890" t="inlineStr">
        <is>
          <t>jcabi</t>
        </is>
      </c>
      <c r="B890" t="inlineStr">
        <is>
          <t>src/main/java/com/jcabi/github/MergeState.java</t>
        </is>
      </c>
      <c r="C890">
        <f>HYPERLINK("https://github.com/jcabi/jcabi-github/blob/master/src/main/java/com/jcabi/github/MergeState.java")</f>
        <v/>
      </c>
      <c r="D890" t="inlineStr">
        <is>
          <t>The provided code defines an enumeration called `MergeState` that represents the state of a pull request in GitHub. It has three possible values:
* `SUCCESS`: The pull request was successfully merged.
* `NOT_MERGEABLE`: The pull request is not mergeable.
* `BAD_HEAD`: The current pull request head does not match the</t>
        </is>
      </c>
      <c r="E890" t="n">
        <v>0</v>
      </c>
      <c r="F890" t="n">
        <v>0</v>
      </c>
      <c r="G890" t="n">
        <v>0</v>
      </c>
      <c r="H890" t="inlineStr">
        <is>
          <t>This is an enumeration class in Java named "MergeState" that defines three possible states for a pull request to be merged into a GitHub repository. The states include:
* `SUCCESS`: Indicates that the pull request has been successfully merged.
* `NOT_MERGEABLE`: Indicates that the pull request cannot be merged due to conflicts or other</t>
        </is>
      </c>
      <c r="I890" t="n">
        <v>0.0034</v>
      </c>
      <c r="J890" t="n">
        <v>0.0328</v>
      </c>
      <c r="K890" t="n">
        <v>0.0397</v>
      </c>
      <c r="L890" t="inlineStr">
        <is>
          <t>The provided code defines an enumeration called "MergeState" that represents the possible states of a pull request being merged into a GitHub repository. It has three values: SUCCESS, NOT_MERGEABLE, and BAD_HEAD. Each value is associated with a specific meaning, such as if the pull request was successfully merged, if it wasn't mergeable, or if</t>
        </is>
      </c>
      <c r="M890" t="n">
        <v>0.0034</v>
      </c>
      <c r="N890" t="n">
        <v>0.0308</v>
      </c>
      <c r="O890" t="n">
        <v>0.0397</v>
      </c>
    </row>
    <row r="891">
      <c r="A891" t="inlineStr">
        <is>
          <t>jcabi</t>
        </is>
      </c>
      <c r="B891" t="inlineStr">
        <is>
          <t>src/main/java/com/jcabi/github/RtCommits.java</t>
        </is>
      </c>
      <c r="C891">
        <f>HYPERLINK("https://github.com/jcabi/jcabi-github/blob/master/src/main/java/com/jcabi/github/RtCommits.java")</f>
        <v/>
      </c>
      <c r="D891" t="inlineStr">
        <is>
          <t>This is a Java implementation of the `RtCommits` class in the JCabi GitHub library. It provides a way to interact with the GitHub API's commits endpoint.
The class has several fields:
* `entry`: A `Request` object that represents the entry point for the API.
* `request`: A `Request` object that represents the request</t>
        </is>
      </c>
      <c r="E891" t="n">
        <v>0.0035</v>
      </c>
      <c r="F891" t="n">
        <v>0.0667</v>
      </c>
      <c r="G891" t="n">
        <v>0.08</v>
      </c>
      <c r="H891" t="inlineStr">
        <is>
          <t>This is a Java library that provides a client implementation for accessing the GitHub V3 REST API. It includes classes for working with repositories, issues, pull requests, and other resources on GitHub.
The `RtCommits` class is one such resource that represents a collection of commits in a specific repository. It has methods for retrieving information about the commits, as well as creating new</t>
        </is>
      </c>
      <c r="I891" t="n">
        <v>0.0034</v>
      </c>
      <c r="J891" t="n">
        <v>0.08450000000000001</v>
      </c>
      <c r="K891" t="n">
        <v>0.1481</v>
      </c>
      <c r="L891" t="inlineStr">
        <is>
          <t>The provided code is part of a Java library for interacting with the GitHub API. It defines a class called `RtCommits` that represents a collection of commits associated with a specific repository.
The class has several responsibilities, including:
* Creating a new instance of the `RtCommits` class based on an existing `Request` object and a `</t>
        </is>
      </c>
      <c r="M891" t="n">
        <v>0.0033</v>
      </c>
      <c r="N891" t="n">
        <v>0.0323</v>
      </c>
      <c r="O891" t="n">
        <v>0.0781</v>
      </c>
    </row>
    <row r="892">
      <c r="A892" t="inlineStr">
        <is>
          <t>jcabi</t>
        </is>
      </c>
      <c r="B892" t="inlineStr">
        <is>
          <t>src/main/java/com/jcabi/github/RtDeployKeys.java</t>
        </is>
      </c>
      <c r="C892">
        <f>HYPERLINK("https://github.com/jcabi/jcabi-github/blob/master/src/main/java/com/jcabi/github/RtDeployKeys.java")</f>
        <v/>
      </c>
      <c r="D892" t="inlineStr">
        <is>
          <t>The `RtDeployKeys` class is a Java implementation of the `DeployKeys` interface in the `com.jcabi.github` package. It provides methods to interact with GitHub's deployment key management features through the RESTful API.
The constructor takes two parameters: `req`, which represents the RESTful API entry point, and `owner`, which is</t>
        </is>
      </c>
      <c r="E892" t="n">
        <v>0.0039</v>
      </c>
      <c r="F892" t="n">
        <v>0.06900000000000001</v>
      </c>
      <c r="G892" t="n">
        <v>0.08400000000000001</v>
      </c>
      <c r="H892" t="inlineStr">
        <is>
          <t>This is a Java library that provides a client implementation for the GitHub V3 REST API. It includes several classes that represent different types of resources in the GitHub API, such as repositories, issues, pull requests, and users. The `RtDeployKeys` class represents a collection of deploy keys associated with a particular repository on GitHub.
The `RtDeployKeys` class</t>
        </is>
      </c>
      <c r="I892" t="n">
        <v>0.0038</v>
      </c>
      <c r="J892" t="n">
        <v>0.09229999999999999</v>
      </c>
      <c r="K892" t="n">
        <v>0.1163</v>
      </c>
      <c r="L892" t="inlineStr">
        <is>
          <t>The provided code is part of a Java library that provides a client for interacting with the GitHub API. It defines a class called `RtDeployKeys` which represents a collection of deploy keys associated with a particular repository.
The class has several fields and methods, including:
* A constructor that takes a `Repo` object representing the repository and a `Request`</t>
        </is>
      </c>
      <c r="M892" t="n">
        <v>0.0031</v>
      </c>
      <c r="N892" t="n">
        <v>0.0303</v>
      </c>
      <c r="O892" t="n">
        <v>0.07630000000000001</v>
      </c>
    </row>
    <row r="893">
      <c r="A893" t="inlineStr">
        <is>
          <t>jcabi</t>
        </is>
      </c>
      <c r="B893" t="inlineStr">
        <is>
          <t>src/main/java/com/jcabi/github/RtMarkdown.java</t>
        </is>
      </c>
      <c r="C893">
        <f>HYPERLINK("https://github.com/jcabi/jcabi-github/blob/master/src/main/java/com/jcabi/github/RtMarkdown.java")</f>
        <v/>
      </c>
      <c r="D893" t="inlineStr">
        <is>
          <t>The `RtMarkdown` class is a Java implementation of the `Markdown` interface from the `com.jcabi.github` package. It provides methods for rendering Markdown text as HTML using the GitHub API.
The constructor takes two parameters: `github`, which is an instance of the `GitHub` class, and `request`, which is an instance of</t>
        </is>
      </c>
      <c r="E893" t="n">
        <v>0.0037</v>
      </c>
      <c r="F893" t="n">
        <v>0.0678</v>
      </c>
      <c r="G893" t="n">
        <v>0.124</v>
      </c>
      <c r="H893" t="inlineStr">
        <is>
          <t>This is a Java implementation of the `com.jcabi.github` package, which provides classes for interacting with the GitHub API. The package includes several classes that implement different parts of the GitHub API, such as `RtMarkdown`, which represents the `/markdown` endpoint.
The `RtMarkdown` class has several methods that allow you to perform various</t>
        </is>
      </c>
      <c r="I893" t="n">
        <v>0.0036</v>
      </c>
      <c r="J893" t="n">
        <v>0.06560000000000001</v>
      </c>
      <c r="K893" t="n">
        <v>0.122</v>
      </c>
      <c r="L893" t="inlineStr">
        <is>
          <t>The code defines a Java class called `RtMarkdown` that represents a GitHub markdown object. It belongs to the `com.jcabi.github` package and is part of the JCABI library for working with GitHub APIs.
The class has several fields and methods, including:
* A constructor that takes a `GitHub` instance as input and</t>
        </is>
      </c>
      <c r="M893" t="n">
        <v>0.0036</v>
      </c>
      <c r="N893" t="n">
        <v>0.0333</v>
      </c>
      <c r="O893" t="n">
        <v>0.0813</v>
      </c>
    </row>
    <row r="894">
      <c r="A894" t="inlineStr">
        <is>
          <t>jcabi</t>
        </is>
      </c>
      <c r="B894" t="inlineStr">
        <is>
          <t>src/main/java/com/jcabi/github/RtStargazers.java</t>
        </is>
      </c>
      <c r="C894">
        <f>HYPERLINK("https://github.com/jcabi/jcabi-github/blob/master/src/main/java/com/jcabi/github/RtStargazers.java")</f>
        <v/>
      </c>
      <c r="D894" t="inlineStr">
        <is>
          <t>The `RtStargazers` class is a Java implementation of the `Stargazers` interface in the JCABI Github library. It provides methods for retrieving information about the stargazers of a given repository on GitHub.
The constructor takes a `Request` object as input, which represents the API endpoint for the repository's stargaz</t>
        </is>
      </c>
      <c r="E894" t="n">
        <v>0</v>
      </c>
      <c r="F894" t="n">
        <v>0.0351</v>
      </c>
      <c r="G894" t="n">
        <v>0.0417</v>
      </c>
      <c r="H894" t="inlineStr">
        <is>
          <t>The `RtStargazers` class is a Java implementation of the `Stargazers` interface from the `com.jcabi.github` package. It provides methods for retrieving information about stargazers on a GitHub repository.
The constructor takes a `Request` object as input, which represents a RESTful API request to the GitHub API. The</t>
        </is>
      </c>
      <c r="I894" t="n">
        <v>0</v>
      </c>
      <c r="J894" t="n">
        <v>0.0357</v>
      </c>
      <c r="K894" t="n">
        <v>0.0424</v>
      </c>
      <c r="L894" t="inlineStr">
        <is>
          <t>The provided code is part of a Java library for interacting with the GitHub API. It defines a `RtStargazers` class that represents a collection of stargazers for a given GitHub repository. The class has several methods, including `iterable()`, which returns an iterator over the stargazers' JSON data.
The constructor takes an instance of the `</t>
        </is>
      </c>
      <c r="M894" t="n">
        <v>0</v>
      </c>
      <c r="N894" t="n">
        <v>0</v>
      </c>
      <c r="O894" t="n">
        <v>0.0394</v>
      </c>
    </row>
    <row r="895">
      <c r="A895" t="inlineStr">
        <is>
          <t>jcabi</t>
        </is>
      </c>
      <c r="B895" t="inlineStr">
        <is>
          <t>src/main/java/com/jcabi/github/Content.java</t>
        </is>
      </c>
      <c r="C895">
        <f>HYPERLINK("https://github.com/jcabi/jcabi-github/blob/master/src/main/java/com/jcabi/github/Content.java")</f>
        <v/>
      </c>
      <c r="D895" t="inlineStr">
        <is>
          <t>This is a Java implementation of the Github Contents API. It provides methods for interacting with the contents of a repository on Github. The class implements several interfaces, including `JsonReadable` and `JsonPatchable`, which allow it to read and patch JSON data.
The main method of this class is `repo()`, which returns the repository that this content belongs to</t>
        </is>
      </c>
      <c r="E895" t="n">
        <v>0.0041</v>
      </c>
      <c r="F895" t="n">
        <v>0.09089999999999999</v>
      </c>
      <c r="G895" t="n">
        <v>0.1154</v>
      </c>
      <c r="H895" t="inlineStr">
        <is>
          <t>This is a Java library for working with GitHub repositories. It provides classes and interfaces for interacting with the GitHub API, including methods for retrieving information about repositories, their contents, and commits. The library also includes support for parsing JSON data and creating XML documents.</t>
        </is>
      </c>
      <c r="I895" t="n">
        <v>0.0049</v>
      </c>
      <c r="J895" t="n">
        <v>0.0755</v>
      </c>
      <c r="K895" t="n">
        <v>0.1282</v>
      </c>
      <c r="L895" t="inlineStr">
        <is>
          <t>The code defines a Java interface named "Content" that represents a GitHub content object. It provides methods for retrieving information about the content, such as its path name and the raw contents, as well as updating the content using the JSON patch format. Additionally, the interface is annotated with various Lombok annotations, including "@Immutable", "@Loggable", and "@EqualsAndHashCode".</t>
        </is>
      </c>
      <c r="M895" t="n">
        <v>0.0032</v>
      </c>
      <c r="N895" t="n">
        <v>0.0308</v>
      </c>
      <c r="O895" t="n">
        <v>0.0775</v>
      </c>
    </row>
    <row r="896">
      <c r="A896" t="inlineStr">
        <is>
          <t>jcabi</t>
        </is>
      </c>
      <c r="B896" t="inlineStr">
        <is>
          <t>src/main/java/com/jcabi/github/Commits.java</t>
        </is>
      </c>
      <c r="C896">
        <f>HYPERLINK("https://github.com/jcabi/jcabi-github/blob/master/src/main/java/com/jcabi/github/Commits.java")</f>
        <v/>
      </c>
      <c r="D896" t="inlineStr">
        <is>
          <t>This is a Java interface that represents the GitHub API's "Git Data Commits" endpoint. It provides methods to interact with commits in a repository on GitHub.
The `repo()` method returns the owner of the commits, which is represented as a `Repo` object.
The `create()` method creates a new commit using the specified parameters, which must be passed in</t>
        </is>
      </c>
      <c r="E896" t="n">
        <v>0.0031</v>
      </c>
      <c r="F896" t="n">
        <v>0.0299</v>
      </c>
      <c r="G896" t="n">
        <v>0.0769</v>
      </c>
      <c r="H896" t="inlineStr">
        <is>
          <t>This is Java code that defines a class called `Commits` which represents a collection of commits in a GitHub repository. It has several methods to interact with the commits, such as getting a specific commit by its SHA, creating a new commit, and returning a statuses object for a given ref (SHA or branch name).
The class is annotated with `@Immutable`, indicating</t>
        </is>
      </c>
      <c r="I896" t="n">
        <v>0.0035</v>
      </c>
      <c r="J896" t="n">
        <v>0.0571</v>
      </c>
      <c r="K896" t="n">
        <v>0.0746</v>
      </c>
      <c r="L896" t="inlineStr">
        <is>
          <t>This is a Java class that represents a collection of commits in a GitHub repository. It provides methods for retrieving individual commits, creating new commits, and getting the status of a particular ref (branch, tag, etc.). The class is annotated with the `@Immutable` annotation from the `com.jcabi.aspects` package, indicating that it is immutable and thread</t>
        </is>
      </c>
      <c r="M896" t="n">
        <v>0.004</v>
      </c>
      <c r="N896" t="n">
        <v>0.0615</v>
      </c>
      <c r="O896" t="n">
        <v>0.07870000000000001</v>
      </c>
    </row>
    <row r="897">
      <c r="A897" t="inlineStr">
        <is>
          <t>jcabi</t>
        </is>
      </c>
      <c r="B897" t="inlineStr">
        <is>
          <t>src/main/java/com/jcabi/github/Language.java</t>
        </is>
      </c>
      <c r="C897">
        <f>HYPERLINK("https://github.com/jcabi/jcabi-github/blob/master/src/main/java/com/jcabi/github/Language.java")</f>
        <v/>
      </c>
      <c r="D897" t="inlineStr">
        <is>
          <t>This is Java code for a class called "Language" which represents a programming language used in a GitHub repository. The class has two fields: `name` and `bytes`. The `name` field stores the name of the language, while the `bytes` field stores the number of bytes of code written in that language.
The class also implements the `@Immutable` annotation from the</t>
        </is>
      </c>
      <c r="E897" t="n">
        <v>0.004</v>
      </c>
      <c r="F897" t="n">
        <v>0.0588</v>
      </c>
      <c r="G897" t="n">
        <v>0.1515</v>
      </c>
      <c r="H897" t="inlineStr">
        <is>
          <t>The code defines an interface for working with a GitHub repository's programming language information. It provides methods to access the language name and number of bytes of code written in that language. The interface is marked as immutable using the `@Immutable` annotation from the `com.jcabi.aspects` package. The code also includes documentation comments explaining the purpose of each method and the</t>
        </is>
      </c>
      <c r="I897" t="n">
        <v>0.003</v>
      </c>
      <c r="J897" t="n">
        <v>0.0282</v>
      </c>
      <c r="K897" t="n">
        <v>0.07580000000000001</v>
      </c>
      <c r="L897" t="inlineStr">
        <is>
          <t>The provided code defines an interface called "Language" which represents a programming language used in a GitHub repository. It has two methods: "name()" returns the name of the language, and "bytes()" returns the number of bytes of code written in that language. The interface is annotated with the JCabi Aspects library's "@Immutable" annotation, indicating that it is imm</t>
        </is>
      </c>
      <c r="M897" t="n">
        <v>0.0031</v>
      </c>
      <c r="N897" t="n">
        <v>0.0299</v>
      </c>
      <c r="O897" t="n">
        <v>0.0769</v>
      </c>
    </row>
    <row r="898">
      <c r="A898" t="inlineStr">
        <is>
          <t>jcabi</t>
        </is>
      </c>
      <c r="B898" t="inlineStr">
        <is>
          <t>src/main/java/com/jcabi/github/RtPulls.java</t>
        </is>
      </c>
      <c r="C898">
        <f>HYPERLINK("https://github.com/jcabi/jcabi-github/blob/master/src/main/java/com/jcabi/github/RtPulls.java")</f>
        <v/>
      </c>
      <c r="D898" t="inlineStr">
        <is>
          <t>The `RtPulls` class is a part of the JCABI Github library for Java. It represents a collection of pull requests in a GitHub repository.
The constructor takes two parameters:
* `entry`: An instance of the `Request` class from the JCABI HTTP library, which represents the base URL for the GitHub API.
*</t>
        </is>
      </c>
      <c r="E898" t="n">
        <v>0</v>
      </c>
      <c r="F898" t="n">
        <v>0</v>
      </c>
      <c r="G898" t="n">
        <v>0.0403</v>
      </c>
      <c r="H898" t="inlineStr">
        <is>
          <t>The `RtPulls` class is a part of the JCabi Github library that provides a way to interact with GitHub's pull requests. It has several methods for retrieving information about pull requests, creating new ones, updating existing ones, and merging them.
The constructor takes in an `Entry`, which represents the root of the API, and a `</t>
        </is>
      </c>
      <c r="I898" t="n">
        <v>0.0033</v>
      </c>
      <c r="J898" t="n">
        <v>0.0312</v>
      </c>
      <c r="K898" t="n">
        <v>0.0781</v>
      </c>
      <c r="L898" t="inlineStr">
        <is>
          <t>The code defines a Java class named `RtPulls` that represents GitHub pull requests. It is part of a larger project called JCABI Github, which provides a set of libraries for working with GitHub from Java.
The class has several responsibilities, including:
* Creating new pull requests
* Retrieving existing pull requests
* Updating pull</t>
        </is>
      </c>
      <c r="M898" t="n">
        <v>0</v>
      </c>
      <c r="N898" t="n">
        <v>0</v>
      </c>
      <c r="O898" t="n">
        <v>0.0397</v>
      </c>
    </row>
    <row r="899">
      <c r="A899" t="inlineStr">
        <is>
          <t>jcabi</t>
        </is>
      </c>
      <c r="B899" t="inlineStr">
        <is>
          <t>src/main/java/com/jcabi/github/SmartJson.java</t>
        </is>
      </c>
      <c r="C899">
        <f>HYPERLINK("https://github.com/jcabi/jcabi-github/blob/master/src/main/java/com/jcabi/github/SmartJson.java")</f>
        <v/>
      </c>
      <c r="D899" t="inlineStr">
        <is>
          <t>The `SmartJson` class is a supplementary helper class for working with JSON data in Java. It provides methods to extract specific properties from a JSON object, such as strings or numbers, and also includes some additional features like logging and caching.
The main method of interest is the constructor, which takes a `JsonReadable` object as input and encapsulates it</t>
        </is>
      </c>
      <c r="E899" t="n">
        <v>0.0031</v>
      </c>
      <c r="F899" t="n">
        <v>0.0299</v>
      </c>
      <c r="G899" t="n">
        <v>0.07630000000000001</v>
      </c>
      <c r="H899" t="inlineStr">
        <is>
          <t>This is a Java library for working with JSON data in a more convenient way than using the standard `javax.json` package. It provides several classes that encapsulate common operations on JSON objects and arrays, such as getting properties, iterating over elements, and converting to other formats like XML or CSV. The library also includes some utility methods for working with JSON data, such as parsing and</t>
        </is>
      </c>
      <c r="I899" t="n">
        <v>0.0033</v>
      </c>
      <c r="J899" t="n">
        <v>0.0533</v>
      </c>
      <c r="K899" t="n">
        <v>0.1087</v>
      </c>
      <c r="L899" t="inlineStr">
        <is>
          <t>The `SmartJson` class is a supplementary helper class for working with JSON data. It provides methods for extracting specific properties from a JSON object, such as getting a property value as a string. The class encapsulates a `JsonReadable` object that represents the JSON data.
The class has several annotations, including `@Immutable`, `@ToString`, `@</t>
        </is>
      </c>
      <c r="M899" t="n">
        <v>0</v>
      </c>
      <c r="N899" t="n">
        <v>0</v>
      </c>
      <c r="O899" t="n">
        <v>0.04</v>
      </c>
    </row>
    <row r="900">
      <c r="A900" t="inlineStr">
        <is>
          <t>jcabi</t>
        </is>
      </c>
      <c r="B900" t="inlineStr">
        <is>
          <t>src/main/java/com/jcabi/github/Git.java</t>
        </is>
      </c>
      <c r="C900">
        <f>HYPERLINK("https://github.com/jcabi/jcabi-github/blob/master/src/main/java/com/jcabi/github/Git.java")</f>
        <v/>
      </c>
      <c r="D900" t="inlineStr">
        <is>
          <t>The provided code defines an interface for interacting with a Git repository hosted on GitHub using the JCABI library. It provides methods to access various parts of the repository, such as the owner, blobs, commits, references, and tags. Each method returns an object that represents a specific aspect of the repository, such as a list of blobs or a single reference.
The</t>
        </is>
      </c>
      <c r="E900" t="n">
        <v>0.0029</v>
      </c>
      <c r="F900" t="n">
        <v>0.0286</v>
      </c>
      <c r="G900" t="n">
        <v>0.0746</v>
      </c>
      <c r="H900" t="inlineStr">
        <is>
          <t>The provided code defines a Java interface for interacting with a GitHub Git repository. It includes methods to retrieve information about the repository's owner, get its blobs, commits, references, and tags. The interface is annotated with the `@Immutable` annotation from the `com.jcabi.aspects` package, indicating that it is immutable and can be safely shared</t>
        </is>
      </c>
      <c r="I900" t="n">
        <v>0.0035</v>
      </c>
      <c r="J900" t="n">
        <v>0.0312</v>
      </c>
      <c r="K900" t="n">
        <v>0.04</v>
      </c>
      <c r="L900" t="inlineStr">
        <is>
          <t>The code defines a class called `Git` that represents a Git object in the GitHub API. It has several methods for interacting with different aspects of the Git data model, such as getting the owner of the Git object, retrieving the blobs, commits, references, and tags associated with it. The class is annotated with `@Immutable`, indicating that it is thread-safe and</t>
        </is>
      </c>
      <c r="M900" t="n">
        <v>0.003</v>
      </c>
      <c r="N900" t="n">
        <v>0.0286</v>
      </c>
      <c r="O900" t="n">
        <v>0.0376</v>
      </c>
    </row>
    <row r="901">
      <c r="A901" t="inlineStr">
        <is>
          <t>jcabi</t>
        </is>
      </c>
      <c r="B901" t="inlineStr">
        <is>
          <t>src/main/java/com/jcabi/github/RtStars.java</t>
        </is>
      </c>
      <c r="C901">
        <f>HYPERLINK("https://github.com/jcabi/jcabi-github/blob/master/src/main/java/com/jcabi/github/RtStars.java")</f>
        <v/>
      </c>
      <c r="D901" t="inlineStr">
        <is>
          <t>The `RtStars` class is a Java implementation of the GitHub starring API, which allows users to star repositories on GitHub. It provides methods for listing stars, getting information about a specific star, and creating new stars.
The class has several important members:
* `request`: A `Request` object that represents the underlying HTTP connection to the GitHub API.</t>
        </is>
      </c>
      <c r="E901" t="n">
        <v>0.0032</v>
      </c>
      <c r="F901" t="n">
        <v>0.0625</v>
      </c>
      <c r="G901" t="n">
        <v>0.0775</v>
      </c>
      <c r="H901" t="inlineStr">
        <is>
          <t>This is a Java library for interacting with the GitHub API. The `RtStars` class provides methods for working with starred repositories on GitHub. It has several responsibilities, including:
* Implementing the `Stars` interface, which defines the methods for working with starred repositories.
* Creating a new instance of the `RtStars`</t>
        </is>
      </c>
      <c r="I901" t="n">
        <v>0.0037</v>
      </c>
      <c r="J901" t="n">
        <v>0.07140000000000001</v>
      </c>
      <c r="K901" t="n">
        <v>0.123</v>
      </c>
      <c r="L901" t="inlineStr">
        <is>
          <t>The code defines a `RtStars` class that provides an implementation for the GitHub starring API using the JCABI library. It is designed to be immutable and loggable. The class has two constructors, one takes a `Request` object as input and another takes a `Repo` object. The class implements the `Stars` interface which provides methods for</t>
        </is>
      </c>
      <c r="M901" t="n">
        <v>0.004</v>
      </c>
      <c r="N901" t="n">
        <v>0.0635</v>
      </c>
      <c r="O901" t="n">
        <v>0.1181</v>
      </c>
    </row>
    <row r="902">
      <c r="A902" t="inlineStr">
        <is>
          <t>jcabi</t>
        </is>
      </c>
      <c r="B902" t="inlineStr">
        <is>
          <t>src/main/java/com/jcabi/github/Contents.java</t>
        </is>
      </c>
      <c r="C902">
        <f>HYPERLINK("https://github.com/jcabi/jcabi-github/blob/master/src/main/java/com/jcabi/github/Contents.java")</f>
        <v/>
      </c>
      <c r="D902" t="inlineStr">
        <is>
          <t>This is Java code for a class called `Contents` that represents a collection of content files in a GitHub repository. It has several methods to access and manipulate the contents of the repository, such as getting the readme file of the default branch or getting the readme file of a specific branch. The class also has annotations indicating that it is immutable and that certain parts of the code should be</t>
        </is>
      </c>
      <c r="E902" t="n">
        <v>0.003</v>
      </c>
      <c r="F902" t="n">
        <v>0.0506</v>
      </c>
      <c r="G902" t="n">
        <v>0.1049</v>
      </c>
      <c r="H902" t="inlineStr">
        <is>
          <t>This is a Java library for interacting with the GitHub API. It provides a set of classes that represent different types of objects in the GitHub ecosystem, such as repositories, commits, and users. The library also includes methods for retrieving information about these objects from the GitHub API, as well as methods for creating new objects or updating existing ones.
The main class in this library</t>
        </is>
      </c>
      <c r="I902" t="n">
        <v>0.0033</v>
      </c>
      <c r="J902" t="n">
        <v>0.0541</v>
      </c>
      <c r="K902" t="n">
        <v>0.0725</v>
      </c>
      <c r="L902" t="inlineStr">
        <is>
          <t>This is a Java interface for interacting with the GitHub Contents API. It provides methods for retrieving the Readme file of a repository's default branch (master), as well as other content files. The interface is annotated with Javadoc comments that provide additional information about each method.</t>
        </is>
      </c>
      <c r="M902" t="n">
        <v>0.004</v>
      </c>
      <c r="N902" t="n">
        <v>0.0364</v>
      </c>
      <c r="O902" t="n">
        <v>0.0424</v>
      </c>
    </row>
    <row r="903">
      <c r="A903" t="inlineStr">
        <is>
          <t>jcabi</t>
        </is>
      </c>
      <c r="B903" t="inlineStr">
        <is>
          <t>src/main/java/com/jcabi/github/IssueEvents.java</t>
        </is>
      </c>
      <c r="C903">
        <f>HYPERLINK("https://github.com/jcabi/jcabi-github/blob/master/src/main/java/com/jcabi/github/IssueEvents.java")</f>
        <v/>
      </c>
      <c r="D903" t="inlineStr">
        <is>
          <t>This is a Java class that represents the collection of events associated with an issue in a GitHub repository. It provides methods to retrieve individual events by their numbers or iterate through all events. The class also has an `Immutable` annotation, which means it cannot be modified after its creation.
The class implements the `Iterable` interface, which allows iterating over all events in the collection</t>
        </is>
      </c>
      <c r="E903" t="n">
        <v>0.0033</v>
      </c>
      <c r="F903" t="n">
        <v>0.0548</v>
      </c>
      <c r="G903" t="n">
        <v>0.073</v>
      </c>
      <c r="H903" t="inlineStr">
        <is>
          <t>This is a Java library that provides a client for accessing the GitHub Issues Events API. The library is annotated with Javadoc comments and is marked as immutable using the `@Immutable` annotation from the `com.jcabi.aspects` package. It defines an interface called `IssueEvents` which has three methods: `repo()`, `get(</t>
        </is>
      </c>
      <c r="I903" t="n">
        <v>0.0045</v>
      </c>
      <c r="J903" t="n">
        <v>0.06900000000000001</v>
      </c>
      <c r="K903" t="n">
        <v>0.125</v>
      </c>
      <c r="L903" t="inlineStr">
        <is>
          <t>The code defines an interface named "IssueEvents" that represents a collection of GitHub issue events. It provides methods for retrieving individual issue events by their numbers, as well as iterating over all issue events in a repository. Additionally, it includes annotations for immutability and documentation links to the GitHub Developer API.</t>
        </is>
      </c>
      <c r="M903" t="n">
        <v>0.0036</v>
      </c>
      <c r="N903" t="n">
        <v>0.0339</v>
      </c>
      <c r="O903" t="n">
        <v>0.0407</v>
      </c>
    </row>
    <row r="904">
      <c r="A904" t="inlineStr">
        <is>
          <t>jcabi</t>
        </is>
      </c>
      <c r="B904" t="inlineStr">
        <is>
          <t>src/main/java/com/jcabi/github/Pull.java</t>
        </is>
      </c>
      <c r="C904">
        <f>HYPERLINK("https://github.com/jcabi/jcabi-github/blob/master/src/main/java/com/jcabi/github/Pull.java")</f>
        <v/>
      </c>
      <c r="D904" t="inlineStr">
        <is>
          <t>The provided code defines a Java class that represents a pull request on GitHub. It implements several interfaces, including `JsonReadable`, `JsonPatchable`, and `Comparable`.
The class has several methods for accessing information about the pull request, such as its number, base ref, head ref, title, description, state, merged status, and comments. It also provides</t>
        </is>
      </c>
      <c r="E904" t="n">
        <v>0.0041</v>
      </c>
      <c r="F904" t="n">
        <v>0.06560000000000001</v>
      </c>
      <c r="G904" t="n">
        <v>0.08</v>
      </c>
      <c r="H904" t="inlineStr">
        <is>
          <t>This is a Java library for interacting with the GitHub API v3. It provides a set of classes that represent different types of entities on GitHub, such as repositories, issues, pull requests, and users. The library also includes methods for fetching and manipulating data from these entities using the GitHub API. Additionally, it includes some utility functions for working with JSON data and handling HTTP requests.</t>
        </is>
      </c>
      <c r="I904" t="n">
        <v>0.0033</v>
      </c>
      <c r="J904" t="n">
        <v>0.08110000000000001</v>
      </c>
      <c r="K904" t="n">
        <v>0.1087</v>
      </c>
      <c r="L904" t="inlineStr">
        <is>
          <t>The code defines a class named `Pull` that implements several interfaces related to reading and patching JSON data. It is part of the `com.jcabi.github` package and is annotated with `@Immutable`, indicating that it should be immutable. The class has several methods for retrieving information about a pull request from the GitHub API, including the repo, number,</t>
        </is>
      </c>
      <c r="M904" t="n">
        <v>0.0039</v>
      </c>
      <c r="N904" t="n">
        <v>0.0606</v>
      </c>
      <c r="O904" t="n">
        <v>0.1172</v>
      </c>
    </row>
    <row r="905">
      <c r="A905" t="inlineStr">
        <is>
          <t>jcabi</t>
        </is>
      </c>
      <c r="B905" t="inlineStr">
        <is>
          <t>src/main/java/com/jcabi/github/RtUsers.java</t>
        </is>
      </c>
      <c r="C905">
        <f>HYPERLINK("https://github.com/jcabi/jcabi-github/blob/master/src/main/java/com/jcabi/github/RtUsers.java")</f>
        <v/>
      </c>
      <c r="D905" t="inlineStr">
        <is>
          <t>The `RtUsers` class is a part of the JCabi GitHub library, which provides an interface for interacting with the GitHub API. It represents a collection of users in the GitHub system, and allows you to perform various operations on them such as retrieving information about individual users or listing all users in the system.
The class has several important methods:
* `</t>
        </is>
      </c>
      <c r="E905" t="n">
        <v>0.0029</v>
      </c>
      <c r="F905" t="n">
        <v>0.0294</v>
      </c>
      <c r="G905" t="n">
        <v>0.0746</v>
      </c>
      <c r="H905" t="inlineStr">
        <is>
          <t>This is a Java library for working with the GitHub API. The `RtUsers` class provides methods for retrieving information about GitHub users, such as their profile data, repositories they have contributed to, and organizations they belong to. It also allows you to create new user accounts or update existing ones.
The `RtUsers` class has several dependencies, including the `GitHub</t>
        </is>
      </c>
      <c r="I905" t="n">
        <v>0.0037</v>
      </c>
      <c r="J905" t="n">
        <v>0.0597</v>
      </c>
      <c r="K905" t="n">
        <v>0.1145</v>
      </c>
      <c r="L905" t="inlineStr">
        <is>
          <t>The code defines a Java class named `RtUsers` that represents a collection of users in GitHub. It is part of the `com.jcabi.github` package and uses several libraries such as `lombok`, `jcabi-aspects`, and `jcabi-http`. The class has three fields: `entry`, `ghub`, and `</t>
        </is>
      </c>
      <c r="M905" t="n">
        <v>0.0044</v>
      </c>
      <c r="N905" t="n">
        <v>0.0377</v>
      </c>
      <c r="O905" t="n">
        <v>0.0877</v>
      </c>
    </row>
    <row r="906">
      <c r="A906" t="inlineStr">
        <is>
          <t>jcabi</t>
        </is>
      </c>
      <c r="B906" t="inlineStr">
        <is>
          <t>src/main/java/com/jcabi/github/RepoCommits.java</t>
        </is>
      </c>
      <c r="C906">
        <f>HYPERLINK("https://github.com/jcabi/jcabi-github/blob/master/src/main/java/com/jcabi/github/RepoCommits.java")</f>
        <v/>
      </c>
      <c r="D906" t="inlineStr">
        <is>
          <t>The provided code defines a Java interface named `RepoCommits` that represents a collection of commits in a GitHub repository. It provides two methods for accessing the commits:
* `iterate()` takes a map of URL parameters as input and returns an iterable sequence of `RepoCommit` objects representing each commit in the repository. This method is used to retrieve all commits from</t>
        </is>
      </c>
      <c r="E906" t="n">
        <v>0.0036</v>
      </c>
      <c r="F906" t="n">
        <v>0.0299</v>
      </c>
      <c r="G906" t="n">
        <v>0.1136</v>
      </c>
      <c r="H906" t="inlineStr">
        <is>
          <t>This is a Java library for working with GitHub repositories. It provides an interface called `RepoCommits` that allows you to retrieve information about the commits in a repository. The `iterate()` method returns an iterable collection of `RepoCommit` objects, which represent individual commits. You can also use the `get()` method to retrieve a specific commit by its SHA hash</t>
        </is>
      </c>
      <c r="I906" t="n">
        <v>0.0031</v>
      </c>
      <c r="J906" t="n">
        <v>0.0303</v>
      </c>
      <c r="K906" t="n">
        <v>0.0769</v>
      </c>
      <c r="L906" t="inlineStr">
        <is>
          <t>The provided code defines an interface for retrieving commits from a GitHub repository. It provides methods for iterating over all commits and retrieving a specific commit by its SHA hash. The interface is annotated with Javadoc comments that provide additional information about each method and their usage.</t>
        </is>
      </c>
      <c r="M906" t="n">
        <v>0.0039</v>
      </c>
      <c r="N906" t="n">
        <v>0.0364</v>
      </c>
      <c r="O906" t="n">
        <v>0.042</v>
      </c>
    </row>
    <row r="907">
      <c r="A907" t="inlineStr">
        <is>
          <t>jcabi</t>
        </is>
      </c>
      <c r="B907" t="inlineStr">
        <is>
          <t>src/main/java/com/jcabi/github/Gitignores.java</t>
        </is>
      </c>
      <c r="C907">
        <f>HYPERLINK("https://github.com/jcabi/jcabi-github/blob/master/src/main/java/com/jcabi/github/Gitignores.java")</f>
        <v/>
      </c>
      <c r="D907" t="inlineStr">
        <is>
          <t>The provided code defines a class called `Gitignores` that represents a collection of `.gitignore` templates in GitHub. It has several methods for interacting with these templates, including getting the owner (`github()`), iterating over all templates (`iterate()`), and retrieving a specific template by name (`get()`).
The `Gitignores` class is annotated with</t>
        </is>
      </c>
      <c r="E907" t="n">
        <v>0.0037</v>
      </c>
      <c r="F907" t="n">
        <v>0.0345</v>
      </c>
      <c r="G907" t="n">
        <v>0.041</v>
      </c>
      <c r="H907" t="inlineStr">
        <is>
          <t>This is a Java package called "com.jcabi.github" that provides an implementation of the GitHub API for managing Git ignore files. The package includes several classes and interfaces, but the main class is the `Gitignores` interface, which represents a collection of Git ignore templates.
The `Gitignores` interface has several methods, including `github()`, which returns</t>
        </is>
      </c>
      <c r="I907" t="n">
        <v>0.0041</v>
      </c>
      <c r="J907" t="n">
        <v>0.09520000000000001</v>
      </c>
      <c r="K907" t="n">
        <v>0.12</v>
      </c>
      <c r="L907" t="inlineStr">
        <is>
          <t>The provided code defines a class named "Gitignores" that represents a collection of ".gitignore" templates stored by GitHub. It provides methods for retrieving the list of available templates, as well as getting the raw content of a specific template. The class is annotated with "@Immutable", indicating that it is thread-safe and can be safely shared between threads without synchronization.</t>
        </is>
      </c>
      <c r="M907" t="n">
        <v>0.0031</v>
      </c>
      <c r="N907" t="n">
        <v>0.0294</v>
      </c>
      <c r="O907" t="n">
        <v>0.0382</v>
      </c>
    </row>
    <row r="908">
      <c r="A908" t="inlineStr">
        <is>
          <t>jcabi</t>
        </is>
      </c>
      <c r="B908" t="inlineStr">
        <is>
          <t>src/main/java/com/jcabi/github/Label.java</t>
        </is>
      </c>
      <c r="C908">
        <f>HYPERLINK("https://github.com/jcabi/jcabi-github/blob/master/src/main/java/com/jcabi/github/Label.java")</f>
        <v/>
      </c>
      <c r="D908" t="inlineStr">
        <is>
          <t>This is a Java class that represents a GitHub label. It has several methods for interacting with the label, such as getting its name, comparing labels, and patching the label. The class also implements some interfaces from other libraries, such as `JsonReadable` and `JsonPatchable`.
The constructor takes a `Repo` object as a parameter, which represents the</t>
        </is>
      </c>
      <c r="E908" t="n">
        <v>0.0043</v>
      </c>
      <c r="F908" t="n">
        <v>0.09379999999999999</v>
      </c>
      <c r="G908" t="n">
        <v>0.1172</v>
      </c>
      <c r="H908" t="inlineStr">
        <is>
          <t>This is a Java library for working with GitHub labels. It provides a set of interfaces and classes that can be used to interact with GitHub labels programmatically. Some of the key features include:
* A `Repo` interface that represents a GitHub repository, which can be used to access information about the repository and its contents.
* An `Issue` interface that represents a</t>
        </is>
      </c>
      <c r="I908" t="n">
        <v>0.0034</v>
      </c>
      <c r="J908" t="n">
        <v>0.058</v>
      </c>
      <c r="K908" t="n">
        <v>0.1111</v>
      </c>
      <c r="L908" t="inlineStr">
        <is>
          <t>This is a Java class that implements the `Label` interface for a GitHub issue management system. It provides methods for retrieving and modifying labels, as well as accessing other relevant data such as the associated repository and name. The class also includes annotations from the Lombok library for generating immutable objects and implementing hashcode and equals methods based on field values. Overall, the class appears to be</t>
        </is>
      </c>
      <c r="M908" t="n">
        <v>0.0036</v>
      </c>
      <c r="N908" t="n">
        <v>0.08</v>
      </c>
      <c r="O908" t="n">
        <v>0.1079</v>
      </c>
    </row>
    <row r="909">
      <c r="A909" t="inlineStr">
        <is>
          <t>jcabi</t>
        </is>
      </c>
      <c r="B909" t="inlineStr">
        <is>
          <t>src/main/java/com/jcabi/github/Limits.java</t>
        </is>
      </c>
      <c r="C909">
        <f>HYPERLINK("https://github.com/jcabi/jcabi-github/blob/master/src/main/java/com/jcabi/github/Limits.java")</f>
        <v/>
      </c>
      <c r="D909" t="inlineStr">
        <is>
          <t>The code defines a `Throttled` implementation of the `Limits` interface, which is used to represent rate limits for a specific GitHub user or organization. It has several methods that allow you to retrieve information about the current rate limits, such as the number of requests remaining in a particular time period, and the total number of requests allowed during that period. Additionally, it provides a</t>
        </is>
      </c>
      <c r="E909" t="n">
        <v>0.0028</v>
      </c>
      <c r="F909" t="n">
        <v>0.0548</v>
      </c>
      <c r="G909" t="n">
        <v>0.1095</v>
      </c>
      <c r="H909" t="inlineStr">
        <is>
          <t>The provided code is part of a Java library called `GitHub` that provides access to the GitHub API. It defines an interface called `Limits` which represents the rate limits for different resources on the GitHub API. The interface has several methods, including `get`, which returns a `Limit` object representing the current limit for a specific resource. Additionally, it also includes constants such as</t>
        </is>
      </c>
      <c r="I909" t="n">
        <v>0</v>
      </c>
      <c r="J909" t="n">
        <v>0</v>
      </c>
      <c r="K909" t="n">
        <v>0.037</v>
      </c>
      <c r="L909" t="inlineStr">
        <is>
          <t>The code defines a Java interface called `Limits` that provides access to the rate limits for a GitHub repository. It is part of the JCabi Github library and is designed to be used by other developers who want to interact with the GitHub API.
The interface has several methods, including `get`, which returns a `Limit` object representing the current rate limit for a</t>
        </is>
      </c>
      <c r="M909" t="n">
        <v>0.0029</v>
      </c>
      <c r="N909" t="n">
        <v>0.0282</v>
      </c>
      <c r="O909" t="n">
        <v>0.0741</v>
      </c>
    </row>
    <row r="910">
      <c r="A910" t="inlineStr">
        <is>
          <t>jcabi</t>
        </is>
      </c>
      <c r="B910" t="inlineStr">
        <is>
          <t>src/main/java/com/jcabi/github/Existence.java</t>
        </is>
      </c>
      <c r="C910">
        <f>HYPERLINK("https://github.com/jcabi/jcabi-github/blob/master/src/main/java/com/jcabi/github/Existence.java")</f>
        <v/>
      </c>
      <c r="D910" t="inlineStr">
        <is>
          <t>The `Existence` class in the provided code checks whether a given GitHub JSON object actually exists on the server by attempting to read its JSON representation using the `JsonReadable` interface. It does so by calling the `json()` method of the `readable` field, which is passed into the constructor.
If the call to `json()` succeeds without throwing any exceptions,</t>
        </is>
      </c>
      <c r="E910" t="n">
        <v>0</v>
      </c>
      <c r="F910" t="n">
        <v>0</v>
      </c>
      <c r="G910" t="n">
        <v>0.0385</v>
      </c>
      <c r="H910" t="inlineStr">
        <is>
          <t>This code defines a Java class called `Existence` that checks whether a given GitHub JSON object actually exists on the server. It does so by attempting to retrieve the object's JSON representation using the `JsonReadable` interface, which is implemented by various classes in the `com.jcabi.github` package. The `check()` method returns `true` if the object exists</t>
        </is>
      </c>
      <c r="I910" t="n">
        <v>0.0033</v>
      </c>
      <c r="J910" t="n">
        <v>0.0606</v>
      </c>
      <c r="K910" t="n">
        <v>0.1181</v>
      </c>
      <c r="L910" t="inlineStr">
        <is>
          <t>The `Existence` class checks whether a given GitHub JSON object actually exists on the server by attempting to retrieve its JSON representation using the `JsonReadable` interface. It achieves this by calling the `json()` method on the checked object, which may throw an `AssertionError` or an `IOException`. If no exception is thrown, the object is considered to exist.</t>
        </is>
      </c>
      <c r="M910" t="n">
        <v>0</v>
      </c>
      <c r="N910" t="n">
        <v>0.0308</v>
      </c>
      <c r="O910" t="n">
        <v>0.0775</v>
      </c>
    </row>
    <row r="911">
      <c r="A911" t="inlineStr">
        <is>
          <t>jcabi</t>
        </is>
      </c>
      <c r="B911" t="inlineStr">
        <is>
          <t>src/main/java/com/jcabi/github/RtPull.java</t>
        </is>
      </c>
      <c r="C911">
        <f>HYPERLINK("https://github.com/jcabi/jcabi-github/blob/master/src/main/java/com/jcabi/github/RtPull.java")</f>
        <v/>
      </c>
      <c r="D911" t="inlineStr">
        <is>
          <t>This is a Java implementation of the `Pull` interface from the `com.jcabi.github` package. The `RtPull` class represents a single GitHub pull request. It has several methods for retrieving information about the pull request, such as its title, description, and comments, as well as updating its state.
The constructor takes in two parameters:</t>
        </is>
      </c>
      <c r="E911" t="n">
        <v>0.0042</v>
      </c>
      <c r="F911" t="n">
        <v>0.0968</v>
      </c>
      <c r="G911" t="n">
        <v>0.121</v>
      </c>
      <c r="H911" t="inlineStr">
        <is>
          <t>This is a Java implementation of the `RtPull` class from the `com.jcabi.github` package. The class provides a high-level abstraction for interacting with GitHub's pull requests API. It has several methods that allow you to retrieve information about the pull request, such as its title, description, commits, files, etc. Additionally, it also</t>
        </is>
      </c>
      <c r="I911" t="n">
        <v>0.0036</v>
      </c>
      <c r="J911" t="n">
        <v>0.0635</v>
      </c>
      <c r="K911" t="n">
        <v>0.0813</v>
      </c>
      <c r="L911" t="inlineStr">
        <is>
          <t>The code defines a Java class called `RtPull` that implements the `Pull` interface. It is part of a larger project called JCABI Github, which provides a Java library for interacting with the GitHub API.
The class has several responsibilities, including:
* Creating a new instance of the class from a given `Request` object</t>
        </is>
      </c>
      <c r="M911" t="n">
        <v>0.0035</v>
      </c>
      <c r="N911" t="n">
        <v>0.0333</v>
      </c>
      <c r="O911" t="n">
        <v>0.08</v>
      </c>
    </row>
    <row r="912">
      <c r="A912" t="inlineStr">
        <is>
          <t>jcabi</t>
        </is>
      </c>
      <c r="B912" t="inlineStr">
        <is>
          <t>src/main/java/com/jcabi/github/DeployKey.java</t>
        </is>
      </c>
      <c r="C912">
        <f>HYPERLINK("https://github.com/jcabi/jcabi-github/blob/master/src/main/java/com/jcabi/github/DeployKey.java")</f>
        <v/>
      </c>
      <c r="D912" t="inlineStr">
        <is>
          <t>The `DeployKey` class in this repository represents a deploy key on GitHub. It provides methods for retrieving information about the deploy key, deleting it, and updating its properties.
The `number()` method returns the ID of the deploy key.
The `remove()` method deletes the deploy key from GitHub.
The `toString()` method returns a string representation of</t>
        </is>
      </c>
      <c r="E912" t="n">
        <v>0.0033</v>
      </c>
      <c r="F912" t="n">
        <v>0.0635</v>
      </c>
      <c r="G912" t="n">
        <v>0.07870000000000001</v>
      </c>
      <c r="H912" t="inlineStr">
        <is>
          <t>This Java package named "com.jcabi.github" provides a class called "DeployKey" that represents a GitHub deploy key. The class has several methods for interacting with the GitHub API to manage deploy keys, including getting the ID of the deploy key, deleting it, and updating its properties. It also implements the "JsonReadable" and "JsonPatchable"</t>
        </is>
      </c>
      <c r="I912" t="n">
        <v>0.0046</v>
      </c>
      <c r="J912" t="n">
        <v>0.0968</v>
      </c>
      <c r="K912" t="n">
        <v>0.121</v>
      </c>
      <c r="L912" t="inlineStr">
        <is>
          <t>The code defines an interface for interacting with a GitHub deploy key, which is used to authenticate access to a repository's contents. It includes methods for retrieving the ID of the deploy key, deleting the key, and updating its configuration using JSON patches.</t>
        </is>
      </c>
      <c r="M912" t="n">
        <v>0.0043</v>
      </c>
      <c r="N912" t="n">
        <v>0.0385</v>
      </c>
      <c r="O912" t="n">
        <v>0.08699999999999999</v>
      </c>
    </row>
    <row r="913">
      <c r="A913" t="inlineStr">
        <is>
          <t>jcabi</t>
        </is>
      </c>
      <c r="B913" t="inlineStr">
        <is>
          <t>src/main/java/com/jcabi/github/RtContent.java</t>
        </is>
      </c>
      <c r="C913">
        <f>HYPERLINK("https://github.com/jcabi/jcabi-github/blob/master/src/main/java/com/jcabi/github/RtContent.java")</f>
        <v/>
      </c>
      <c r="D913" t="inlineStr">
        <is>
          <t>The `RtContent` class is a representation of a GitHub content object, which can be used to interact with files stored on GitHub repositories. It provides methods for retrieving information about the file, updating its contents, and deleting it.
The constructor takes two parameters: `request`, which is a `Request` object that represents a connection to the GitHub API, and `owner`,</t>
        </is>
      </c>
      <c r="E913" t="n">
        <v>0.0031</v>
      </c>
      <c r="F913" t="n">
        <v>0.0299</v>
      </c>
      <c r="G913" t="n">
        <v>0.07630000000000001</v>
      </c>
      <c r="H913" t="inlineStr">
        <is>
          <t>The `RtContent` class is a Java implementation of the `Content` interface from the Github API. It provides methods for interacting with content on a Github repository, such as getting information about the content or updating its metadata.
The class has several fields that store important data, including the `request`, which is used to make HTTP requests to the Github API,</t>
        </is>
      </c>
      <c r="I913" t="n">
        <v>0</v>
      </c>
      <c r="J913" t="n">
        <v>0.0294</v>
      </c>
      <c r="K913" t="n">
        <v>0.07580000000000001</v>
      </c>
      <c r="L913" t="inlineStr">
        <is>
          <t>The code defines a `RtContent` class that represents a GitHub content object. It is part of the `com.jcabi.github` package and has several dependencies, including `com.jcabi.aspects`, `com.jcabi.http`, and `jakarta.json`.
The `RtContent` class has several methods for interact</t>
        </is>
      </c>
      <c r="M913" t="n">
        <v>0.0052</v>
      </c>
      <c r="N913" t="n">
        <v>0.0392</v>
      </c>
      <c r="O913" t="n">
        <v>0.0926</v>
      </c>
    </row>
    <row r="914">
      <c r="A914" t="inlineStr">
        <is>
          <t>jcabi</t>
        </is>
      </c>
      <c r="B914" t="inlineStr">
        <is>
          <t>src/main/java/com/jcabi/github/FileChange.java</t>
        </is>
      </c>
      <c r="C914">
        <f>HYPERLINK("https://github.com/jcabi/jcabi-github/blob/master/src/main/java/com/jcabi/github/FileChange.java")</f>
        <v/>
      </c>
      <c r="D914" t="inlineStr">
        <is>
          <t>The `FileChange` class represents a file change in a GitHub repository. It has several methods for accessing information about the file change, such as its status (whether it was added, modified, or removed), its path, and its contents. Additionally, it provides methods for comparing files between different versions of a repository.</t>
        </is>
      </c>
      <c r="E914" t="n">
        <v>0.0036</v>
      </c>
      <c r="F914" t="n">
        <v>0.0339</v>
      </c>
      <c r="G914" t="n">
        <v>0.0407</v>
      </c>
      <c r="H914" t="inlineStr">
        <is>
          <t>This is Java code for an interface called "FileChange" that represents a file change in a GitHub repository. The interface has several methods for accessing information about the file change, such as its status (either added, modified, removed, or renamed), its path, and its content. It also provides methods for comparing files between different versions of the repository. The complexity of this code is O</t>
        </is>
      </c>
      <c r="I914" t="n">
        <v>0.0033</v>
      </c>
      <c r="J914" t="n">
        <v>0.0548</v>
      </c>
      <c r="K914" t="n">
        <v>0.073</v>
      </c>
      <c r="L914" t="inlineStr">
        <is>
          <t>The provided code is part of a Java library for interacting with GitHub API. It defines an interface called `FileChange` that represents a change made to a file in a commit. The interface has several methods for accessing information about the file change, such as its status (either "added", "modified", "removed", or "renamed"), its previous filename if it was</t>
        </is>
      </c>
      <c r="M914" t="n">
        <v>0</v>
      </c>
      <c r="N914" t="n">
        <v>0</v>
      </c>
      <c r="O914" t="n">
        <v>0.0382</v>
      </c>
    </row>
    <row r="915">
      <c r="A915" t="inlineStr">
        <is>
          <t>jcabi</t>
        </is>
      </c>
      <c r="B915" t="inlineStr">
        <is>
          <t>src/main/java/com/jcabi/github/Releases.java</t>
        </is>
      </c>
      <c r="C915">
        <f>HYPERLINK("https://github.com/jcabi/jcabi-github/blob/master/src/main/java/com/jcabi/github/Releases.java")</f>
        <v/>
      </c>
      <c r="D915" t="inlineStr">
        <is>
          <t>This is Java code for a class that represents a collection of GitHub releases. It has several methods to interact with the releases, including getting a specific release by its ID, creating a new release, and iterating over all releases. The class also has annotations indicating that it is immutable and loggable.</t>
        </is>
      </c>
      <c r="E915" t="n">
        <v>0.0042</v>
      </c>
      <c r="F915" t="n">
        <v>0.0667</v>
      </c>
      <c r="G915" t="n">
        <v>0.0806</v>
      </c>
      <c r="H915" t="inlineStr">
        <is>
          <t>This is a Java library for interacting with the GitHub API. It provides a set of classes that represent different entities in the GitHub ecosystem, such as repositories, issues, pull requests, and users. The library also includes methods for fetching and manipulating these entities using the GitHub API.
The main class in this library is `Releases`, which represents a collection of releases</t>
        </is>
      </c>
      <c r="I915" t="n">
        <v>0.0035</v>
      </c>
      <c r="J915" t="n">
        <v>0.0571</v>
      </c>
      <c r="K915" t="n">
        <v>0.1119</v>
      </c>
      <c r="L915" t="inlineStr">
        <is>
          <t>The code defines a class called "Releases" that represents a collection of releases for a GitHub repository. It provides methods to retrieve individual releases by their ID, as well as an iterator to loop through all releases. Additionally, there is a method to create a new release with a given tag name.</t>
        </is>
      </c>
      <c r="M915" t="n">
        <v>0</v>
      </c>
      <c r="N915" t="n">
        <v>0</v>
      </c>
      <c r="O915" t="n">
        <v>0</v>
      </c>
    </row>
    <row r="916">
      <c r="A916" t="inlineStr">
        <is>
          <t>jcabi</t>
        </is>
      </c>
      <c r="B916" t="inlineStr">
        <is>
          <t>src/main/java/com/jcabi/github/JsonPatchable.java</t>
        </is>
      </c>
      <c r="C916">
        <f>HYPERLINK("https://github.com/jcabi/jcabi-github/blob/master/src/main/java/com/jcabi/github/JsonPatchable.java")</f>
        <v/>
      </c>
      <c r="D916" t="inlineStr">
        <is>
          <t>The `com.jcabi.github` package provides a class called `JsonPatchable`, which represents an entity that can be updated with a JSON object. The `patch()` method takes a `JsonObject` as input and updates the current instance with the values from the JSON object.</t>
        </is>
      </c>
      <c r="E916" t="n">
        <v>0.0046</v>
      </c>
      <c r="F916" t="n">
        <v>0.04</v>
      </c>
      <c r="G916" t="n">
        <v>0.0446</v>
      </c>
      <c r="H916" t="inlineStr">
        <is>
          <t>This code defines an interface called `JsonPatchable` that allows objects to be updated with new data in the form of a JSON object. The `patch()` method takes a `JsonObject` as input and updates the current instance's state based on its contents. The implementation of this interface is marked as `@Immutable`, indicating that it does not modify the underlying object and can be</t>
        </is>
      </c>
      <c r="I916" t="n">
        <v>0.0035</v>
      </c>
      <c r="J916" t="n">
        <v>0.08450000000000001</v>
      </c>
      <c r="K916" t="n">
        <v>0.1119</v>
      </c>
      <c r="L916" t="inlineStr">
        <is>
          <t>The `JsonPatchable` interface defines a method called `patch`, which takes a `JsonObject` as input and applies the changes represented by that object to the implementing instance. It is annotated with `@Immutable`, indicating that instances of this class should be immutable once created.</t>
        </is>
      </c>
      <c r="M916" t="n">
        <v>0.0044</v>
      </c>
      <c r="N916" t="n">
        <v>0.04</v>
      </c>
      <c r="O916" t="n">
        <v>0.1316</v>
      </c>
    </row>
    <row r="917">
      <c r="A917" t="inlineStr">
        <is>
          <t>jcabi</t>
        </is>
      </c>
      <c r="B917" t="inlineStr">
        <is>
          <t>src/main/java/com/jcabi/github/User.java</t>
        </is>
      </c>
      <c r="C917">
        <f>HYPERLINK("https://github.com/jcabi/jcabi-github/blob/master/src/main/java/com/jcabi/github/User.java")</f>
        <v/>
      </c>
      <c r="D917" t="inlineStr">
        <is>
          <t>The `User` class represents a GitHub user and provides methods for retrieving information about that user, such as their login name, email address, and date of account creation. It also includes methods for updating the user's profile information and deleting the user's account. Additionally, the class implements the `JsonReadable` and `JsonPatchable` interfaces to allow for JSON serial</t>
        </is>
      </c>
      <c r="E917" t="n">
        <v>0.0038</v>
      </c>
      <c r="F917" t="n">
        <v>0.0597</v>
      </c>
      <c r="G917" t="n">
        <v>0.0775</v>
      </c>
      <c r="H917" t="inlineStr">
        <is>
          <t>This is a Java library for interacting with the GitHub API. It provides a set of classes that represent different types of objects in the GitHub ecosystem, such as users, repositories, issues, pull requests, etc. The library also includes utilities for working with JSON data, making HTTP requests to the GitHub API, and parsing responses from the API into Java objects.
The main</t>
        </is>
      </c>
      <c r="I917" t="n">
        <v>0.0034</v>
      </c>
      <c r="J917" t="n">
        <v>0.0563</v>
      </c>
      <c r="K917" t="n">
        <v>0.1111</v>
      </c>
      <c r="L917" t="inlineStr">
        <is>
          <t>The code defines a Java class named `User` that implements several interfaces related to JSON reading and patching. It is part of a larger project called JCabi Github, which provides a library for interacting with the GitHub API. The `User` class represents a single GitHub user and provides methods for retrieving various data about them, such as their login name and avatar URL.</t>
        </is>
      </c>
      <c r="M917" t="n">
        <v>0.0034</v>
      </c>
      <c r="N917" t="n">
        <v>0.0563</v>
      </c>
      <c r="O917" t="n">
        <v>0.1111</v>
      </c>
    </row>
    <row r="918">
      <c r="A918" t="inlineStr">
        <is>
          <t>jcabi</t>
        </is>
      </c>
      <c r="B918" t="inlineStr">
        <is>
          <t>src/main/java/com/jcabi/github/RtAssignees.java</t>
        </is>
      </c>
      <c r="C918">
        <f>HYPERLINK("https://github.com/jcabi/jcabi-github/blob/master/src/main/java/com/jcabi/github/RtAssignees.java")</f>
        <v/>
      </c>
      <c r="D918" t="inlineStr">
        <is>
          <t>The `RtAssignees` class is a Java implementation of the `Assignees` interface from the `com.jcabi.github` package. It provides methods for interacting with assignees on GitHub repositories.
The constructor takes three parameters:
* `entry`: An instance of the `Request` class, which represents the API entry point.</t>
        </is>
      </c>
      <c r="E918" t="n">
        <v>0</v>
      </c>
      <c r="F918" t="n">
        <v>0.0377</v>
      </c>
      <c r="G918" t="n">
        <v>0.0431</v>
      </c>
      <c r="H918" t="inlineStr">
        <is>
          <t>The `RtAssignees` class is a part of the JCabi Github library and represents a collection of assignees for a given issue or pull request on GitHub. It provides methods to retrieve information about the assignees, such as their names and usernames, and also allows you to assign new assignees to the issue or pull request.
The</t>
        </is>
      </c>
      <c r="I918" t="n">
        <v>0.0033</v>
      </c>
      <c r="J918" t="n">
        <v>0.0312</v>
      </c>
      <c r="K918" t="n">
        <v>0.0781</v>
      </c>
      <c r="L918" t="inlineStr">
        <is>
          <t>The provided code is part of a Java library for interacting with the GitHub API, specifically the `RtAssignees` class which represents a collection of assignees associated with a given repository. The class provides methods for retrieving, adding, updating, and deleting assignees from the repository.
The class has several important members, including:
* `entry`:</t>
        </is>
      </c>
      <c r="M918" t="n">
        <v>0.0035</v>
      </c>
      <c r="N918" t="n">
        <v>0.0333</v>
      </c>
      <c r="O918" t="n">
        <v>0.08</v>
      </c>
    </row>
    <row r="919">
      <c r="A919" t="inlineStr">
        <is>
          <t>jcabi</t>
        </is>
      </c>
      <c r="B919" t="inlineStr">
        <is>
          <t>src/main/java/com/jcabi/github/RtReleaseAssets.java</t>
        </is>
      </c>
      <c r="C919">
        <f>HYPERLINK("https://github.com/jcabi/jcabi-github/blob/master/src/main/java/com/jcabi/github/RtReleaseAssets.java")</f>
        <v/>
      </c>
      <c r="D919" t="inlineStr">
        <is>
          <t>The `RtReleaseAssets` class is a Java implementation of the `ReleaseAssets` interface from the `com.jcabi.github` package. It provides methods for retrieving and manipulating release assets on GitHub.
The constructor takes two arguments: `entry`, which represents the root URL of the GitHub API, and `owner`, which is an instance of the</t>
        </is>
      </c>
      <c r="E919" t="n">
        <v>0.0037</v>
      </c>
      <c r="F919" t="n">
        <v>0.0678</v>
      </c>
      <c r="G919" t="n">
        <v>0.08260000000000001</v>
      </c>
      <c r="H919" t="inlineStr">
        <is>
          <t>This is a Java library for interacting with the GitHub API. It provides a set of classes that represent different types of objects in the GitHub ecosystem, such as repositories, issues, pull requests, and users. The library also includes a set of methods for performing common operations on these objects, such as creating new objects or updating existing ones.
The library is designed to be easy</t>
        </is>
      </c>
      <c r="I919" t="n">
        <v>0.0033</v>
      </c>
      <c r="J919" t="n">
        <v>0.0541</v>
      </c>
      <c r="K919" t="n">
        <v>0.0725</v>
      </c>
      <c r="L919" t="inlineStr">
        <is>
          <t>The code defines a Java class called `RtReleaseAssets` that represents GitHub release assets. It is part of the JCABI Github library. The class has several responsibilities, including:
* Creating new release assets
* Retrieving existing release assets
* Updating release asset properties
* Deleting release assets
The class uses the Lombok</t>
        </is>
      </c>
      <c r="M919" t="n">
        <v>0</v>
      </c>
      <c r="N919" t="n">
        <v>0</v>
      </c>
      <c r="O919" t="n">
        <v>0.0407</v>
      </c>
    </row>
    <row r="920">
      <c r="A920" t="inlineStr">
        <is>
          <t>jcabi</t>
        </is>
      </c>
      <c r="B920" t="inlineStr">
        <is>
          <t>src/main/java/com/jcabi/github/Issues.java</t>
        </is>
      </c>
      <c r="C920">
        <f>HYPERLINK("https://github.com/jcabi/jcabi-github/blob/master/src/main/java/com/jcabi/github/Issues.java")</f>
        <v/>
      </c>
      <c r="D920" t="inlineStr">
        <is>
          <t>The provided code defines a Java interface named "Issues" that represents a collection of GitHub issues. It provides methods for retrieving individual issues by their numbers, creating new issues with specified titles and bodies, and getting the owner of the issues.
The interface is annotated with the "@Immutable" annotation from the "com.jcabi.aspects" package to</t>
        </is>
      </c>
      <c r="E920" t="n">
        <v>0.0034</v>
      </c>
      <c r="F920" t="n">
        <v>0.0312</v>
      </c>
      <c r="G920" t="n">
        <v>0.0397</v>
      </c>
      <c r="H920" t="inlineStr">
        <is>
          <t>This code defines an interface for working with GitHub issues in Java using the JCabi library. The interface provides methods to retrieve a specific issue by its number, create a new issue, and access other relevant information about the issue. It also includes comments describing the purpose and usage of each method.</t>
        </is>
      </c>
      <c r="I920" t="n">
        <v>0.0042</v>
      </c>
      <c r="J920" t="n">
        <v>0.0667</v>
      </c>
      <c r="K920" t="n">
        <v>0.121</v>
      </c>
      <c r="L920" t="inlineStr">
        <is>
          <t>The code defines a class called "Issues" that represents a collection of GitHub issues for a particular repository. It provides methods to retrieve individual issues based on their number, as well as create a new issue with a given title and body text. The class also has a method to return the owner of the issues, which is represented by another class called "Repo".</t>
        </is>
      </c>
      <c r="M920" t="n">
        <v>0.0028</v>
      </c>
      <c r="N920" t="n">
        <v>0.0278</v>
      </c>
      <c r="O920" t="n">
        <v>0.0368</v>
      </c>
    </row>
    <row r="921">
      <c r="A921" t="inlineStr">
        <is>
          <t>jcabi</t>
        </is>
      </c>
      <c r="B921" t="inlineStr">
        <is>
          <t>src/main/java/com/jcabi/github/Markdown.java</t>
        </is>
      </c>
      <c r="C921">
        <f>HYPERLINK("https://github.com/jcabi/jcabi-github/blob/master/src/main/java/com/jcabi/github/Markdown.java")</f>
        <v/>
      </c>
      <c r="D921" t="inlineStr">
        <is>
          <t>The provided code defines an interface for working with the Github Markdown API. It provides methods for rendering Markdown content as HTML and for getting the owner of the current instance. Additionally, there is a method for rendering raw Markdown text without any additional processing.</t>
        </is>
      </c>
      <c r="E921" t="n">
        <v>0.0041</v>
      </c>
      <c r="F921" t="n">
        <v>0.0377</v>
      </c>
      <c r="G921" t="n">
        <v>0.08550000000000001</v>
      </c>
      <c r="H921" t="inlineStr">
        <is>
          <t>This is a Java library for working with the GitHub Markdown API. It provides a set of interfaces and classes for interacting with the API, including methods for rendering Markdown content and retrieving information about the API itself. The library is designed to be easy to use and provides a high level of abstraction over the underlying HTTP requests and responses.</t>
        </is>
      </c>
      <c r="I921" t="n">
        <v>0.0036</v>
      </c>
      <c r="J921" t="n">
        <v>0.058</v>
      </c>
      <c r="K921" t="n">
        <v>0.1128</v>
      </c>
      <c r="L921" t="inlineStr">
        <is>
          <t>The code defines a Java interface called "Markdown" that provides methods for rendering Markdown text as HTML using the GitHub V3 REST API. It is annotated with the `@Immutable` annotation from the `com.jcabi.aspects` package, indicating that instances of this class are immutable. The interface has three methods: `github()`, which returns the instance'</t>
        </is>
      </c>
      <c r="M921" t="n">
        <v>0</v>
      </c>
      <c r="N921" t="n">
        <v>0.0323</v>
      </c>
      <c r="O921" t="n">
        <v>0.0806</v>
      </c>
    </row>
    <row r="922">
      <c r="A922" t="inlineStr">
        <is>
          <t>jcabi</t>
        </is>
      </c>
      <c r="B922" t="inlineStr">
        <is>
          <t>src/main/java/com/jcabi/github/RtDeployKey.java</t>
        </is>
      </c>
      <c r="C922">
        <f>HYPERLINK("https://github.com/jcabi/jcabi-github/blob/master/src/main/java/com/jcabi/github/RtDeployKey.java")</f>
        <v/>
      </c>
      <c r="D922" t="inlineStr">
        <is>
          <t>The `RtDeployKey` class is a Java implementation of the `DeployKey` interface in the JCabi Github library. It represents a deployment key on a GitHub repository.
The constructor takes three parameters:
* `req`: A `Request` object that provides access to the RESTful API endpoint for the repository.
* `number`: An integer</t>
        </is>
      </c>
      <c r="E922" t="n">
        <v>0</v>
      </c>
      <c r="F922" t="n">
        <v>0.0357</v>
      </c>
      <c r="G922" t="n">
        <v>0.041</v>
      </c>
      <c r="H922" t="inlineStr">
        <is>
          <t>This is a Java library for interacting with the GitHub API. It provides a set of classes that represent different types of entities in the GitHub ecosystem, such as repositories, issues, pull requests, and users. The library also includes methods for performing common operations on these entities, such as creating or updating them, retrieving their details, and deleting them. Additionally, it includes support for</t>
        </is>
      </c>
      <c r="I922" t="n">
        <v>0.0034</v>
      </c>
      <c r="J922" t="n">
        <v>0.0556</v>
      </c>
      <c r="K922" t="n">
        <v>0.0735</v>
      </c>
      <c r="L922" t="inlineStr">
        <is>
          <t>The code defines a `RtDeployKey` class that represents a GitHub deploy key. It has several methods for interacting with the GitHub API related to deploy keys, such as creating, updating, deleting, and listing them. The class is annotated with `@Immutable`, `@Loggable`, and `@EqualsAndHashCode`.
The constructor takes a `Request` object,</t>
        </is>
      </c>
      <c r="M922" t="n">
        <v>0.0037</v>
      </c>
      <c r="N922" t="n">
        <v>0.0351</v>
      </c>
      <c r="O922" t="n">
        <v>0.0413</v>
      </c>
    </row>
    <row r="923">
      <c r="A923" t="inlineStr">
        <is>
          <t>jcabi</t>
        </is>
      </c>
      <c r="B923" t="inlineStr">
        <is>
          <t>src/main/java/com/jcabi/github/Organization.java</t>
        </is>
      </c>
      <c r="C923">
        <f>HYPERLINK("https://github.com/jcabi/jcabi-github/blob/master/src/main/java/com/jcabi/github/Organization.java")</f>
        <v/>
      </c>
      <c r="D923" t="inlineStr">
        <is>
          <t>The provided code defines a Java interface called `Organization` that represents a GitHub organization. It has several methods for retrieving information about the organization, such as its name, description, location, and date created. The interface also provides methods for updating the organization's information and deleting it. Additionally, there is a smart decorator class called `Smart` that can be used to extend</t>
        </is>
      </c>
      <c r="E923" t="n">
        <v>0.003</v>
      </c>
      <c r="F923" t="n">
        <v>0.0286</v>
      </c>
      <c r="G923" t="n">
        <v>0.0752</v>
      </c>
      <c r="H923" t="inlineStr">
        <is>
          <t>This is a Java library that provides a client for accessing the GitHub API v3. It includes several classes and interfaces that represent different types of entities on GitHub, such as users, organizations, repositories, and issues. The library also includes some utility methods for working with JSON data and parsing URLs.</t>
        </is>
      </c>
      <c r="I923" t="n">
        <v>0.0043</v>
      </c>
      <c r="J923" t="n">
        <v>0.0678</v>
      </c>
      <c r="K923" t="n">
        <v>0.122</v>
      </c>
      <c r="L923" t="inlineStr">
        <is>
          <t>The provided code defines an interface called `Organization` that represents a GitHub organization. It is part of the JCabi Github library and provides methods for retrieving various information about the organization, such as its name, description, location, and creation date. Additionally, it includes a smart decorator class called `Smart` that allows developers to access additional properties of the organization object.</t>
        </is>
      </c>
      <c r="M923" t="n">
        <v>0.003</v>
      </c>
      <c r="N923" t="n">
        <v>0.0294</v>
      </c>
      <c r="O923" t="n">
        <v>0.07580000000000001</v>
      </c>
    </row>
    <row r="924">
      <c r="A924" t="inlineStr">
        <is>
          <t>jcabi</t>
        </is>
      </c>
      <c r="B924" t="inlineStr">
        <is>
          <t>src/main/java/com/jcabi/github/Status.java</t>
        </is>
      </c>
      <c r="C924">
        <f>HYPERLINK("https://github.com/jcabi/jcabi-github/blob/master/src/main/java/com/jcabi/github/Status.java")</f>
        <v/>
      </c>
      <c r="D924" t="inlineStr">
        <is>
          <t>The `Status` class in this code represents a commit status on GitHub, which is a way to represent the state of a commit. It has several methods that allow you to access information about the commit status, such as its associated commit, ID number, URL, and state.
The `State` class within the `Status` class represents the different states that a commit can be in</t>
        </is>
      </c>
      <c r="E924" t="n">
        <v>0.0028</v>
      </c>
      <c r="F924" t="n">
        <v>0.0556</v>
      </c>
      <c r="G924" t="n">
        <v>0.0735</v>
      </c>
      <c r="H924" t="inlineStr">
        <is>
          <t>This is a Java library for working with the GitHub API. It provides a set of classes that represent different entities in the GitHub ecosystem, such as commits, issues, pull requests, and users. The library also includes utility methods for parsing JSON data and handling HTTP communication with the API.
The main class of interest is `Status`, which represents a single commit status on GitHub.</t>
        </is>
      </c>
      <c r="I924" t="n">
        <v>0.0033</v>
      </c>
      <c r="J924" t="n">
        <v>0.0548</v>
      </c>
      <c r="K924" t="n">
        <v>0.1095</v>
      </c>
      <c r="L924" t="inlineStr">
        <is>
          <t>The code defines an interface for interacting with the GitHub commit status API. It provides methods for retrieving information about a specific commit status, such as its associated commit, ID number, and URL. Additionally, it includes various states that can be used when creating new commit statuses through the API.</t>
        </is>
      </c>
      <c r="M924" t="n">
        <v>0.0037</v>
      </c>
      <c r="N924" t="n">
        <v>0.0345</v>
      </c>
      <c r="O924" t="n">
        <v>0.082</v>
      </c>
    </row>
    <row r="925">
      <c r="A925" t="inlineStr">
        <is>
          <t>jcabi</t>
        </is>
      </c>
      <c r="B925" t="inlineStr">
        <is>
          <t>src/main/java/com/jcabi/github/RtCommitsComparison.java</t>
        </is>
      </c>
      <c r="C925">
        <f>HYPERLINK("https://github.com/jcabi/jcabi-github/blob/master/src/main/java/com/jcabi/github/RtCommitsComparison.java")</f>
        <v/>
      </c>
      <c r="D925" t="inlineStr">
        <is>
          <t>The `RtCommitsComparison` class is a Java implementation of the GitHub API's `commits_comparison` endpoint, which allows users to compare two commits in a repository. It provides methods for retrieving information about the differences between the two commits, such as the files that have been modified or added, the lines that have been added or removed, and the authors of</t>
        </is>
      </c>
      <c r="E925" t="n">
        <v>0.0031</v>
      </c>
      <c r="F925" t="n">
        <v>0.0588</v>
      </c>
      <c r="G925" t="n">
        <v>0.0769</v>
      </c>
      <c r="H925" t="inlineStr">
        <is>
          <t>The `RtCommitsComparison` class is a Java implementation of a GitHub commits comparison object, which provides information about the differences between two commits in a Git repository. It is part of the JCabi Github library and is used to compare the changes made by two different commits.
The class has several important methods that allow users to access information about the commits being compared,</t>
        </is>
      </c>
      <c r="I925" t="n">
        <v>0.0029</v>
      </c>
      <c r="J925" t="n">
        <v>0.0563</v>
      </c>
      <c r="K925" t="n">
        <v>0.1111</v>
      </c>
      <c r="L925" t="inlineStr">
        <is>
          <t>The `RtCommitsComparison` class is part of the JCabi GitHub library and represents a comparison between two commits. It provides methods for retrieving information about the commits and their differences.
The constructor takes four parameters:
* `req`: An instance of the `Request` class from the JCabi HTTP library, which is used to make requests to the</t>
        </is>
      </c>
      <c r="M925" t="n">
        <v>0.0033</v>
      </c>
      <c r="N925" t="n">
        <v>0.0323</v>
      </c>
      <c r="O925" t="n">
        <v>0.07870000000000001</v>
      </c>
    </row>
    <row r="926">
      <c r="A926" t="inlineStr">
        <is>
          <t>jcabi</t>
        </is>
      </c>
      <c r="B926" t="inlineStr">
        <is>
          <t>src/main/java/com/jcabi/github/RtChecks.java</t>
        </is>
      </c>
      <c r="C926">
        <f>HYPERLINK("https://github.com/jcabi/jcabi-github/blob/master/src/main/java/com/jcabi/github/RtChecks.java")</f>
        <v/>
      </c>
      <c r="D926" t="inlineStr">
        <is>
          <t>The `RtChecks` class is a Java implementation of the GitHub Checks API. It provides methods for interacting with check runs on a specific pull request.
The constructor takes two parameters:
* `req`: An instance of the `Request` interface from the JCABI HTTP library, which represents an HTTP request to the GitHub API.
* `pre</t>
        </is>
      </c>
      <c r="E926" t="n">
        <v>0</v>
      </c>
      <c r="F926" t="n">
        <v>0.0333</v>
      </c>
      <c r="G926" t="n">
        <v>0.0794</v>
      </c>
      <c r="H926" t="inlineStr">
        <is>
          <t>The provided code is a Java class that represents a GitHub Checks object, which allows you to interact with the Check Runs API. It has several methods for retrieving information about check runs, creating new check runs, updating existing check runs, and deleting check runs. The class also includes some utility functions for working with JSON data.
The constructor takes in a `Request` object and</t>
        </is>
      </c>
      <c r="I926" t="n">
        <v>0.0028</v>
      </c>
      <c r="J926" t="n">
        <v>0.0548</v>
      </c>
      <c r="K926" t="n">
        <v>0.073</v>
      </c>
      <c r="L926" t="inlineStr">
        <is>
          <t>The `RtChecks` class provides an implementation of the `Checks` interface for interacting with the GitHub Checks API. It is designed to work with the `Pull` class and uses the `Request` class to make HTTP requests to the GitHub API.
The class has several methods that allow you to retrieve check runs, create new check runs, update existing check</t>
        </is>
      </c>
      <c r="M926" t="n">
        <v>0.0031</v>
      </c>
      <c r="N926" t="n">
        <v>0.0606</v>
      </c>
      <c r="O926" t="n">
        <v>0.1154</v>
      </c>
    </row>
    <row r="927">
      <c r="A927" t="inlineStr">
        <is>
          <t>jcabi</t>
        </is>
      </c>
      <c r="B927" t="inlineStr">
        <is>
          <t>src/main/java/com/jcabi/github/RtTrees.java</t>
        </is>
      </c>
      <c r="C927">
        <f>HYPERLINK("https://github.com/jcabi/jcabi-github/blob/master/src/main/java/com/jcabi/github/RtTrees.java")</f>
        <v/>
      </c>
      <c r="D927" t="inlineStr">
        <is>
          <t>The `RtTrees` class is a part of the JCabi Github library for Java. It provides a way to interact with the GitHub API's tree endpoints.
The class has several responsibilities, including:
* Creating a new instance of the class using the constructor.
* Retrieving information about a specific tree by calling the `get()`</t>
        </is>
      </c>
      <c r="E927" t="n">
        <v>0</v>
      </c>
      <c r="F927" t="n">
        <v>0</v>
      </c>
      <c r="G927" t="n">
        <v>0.04</v>
      </c>
      <c r="H927" t="inlineStr">
        <is>
          <t>This is a Java library for working with GitHub repositories using the RESTful API. The library provides a set of classes that represent different types of data in a GitHub repository, such as commits, branches, and files. It also includes methods for performing common operations on these objects, such as retrieving information about a specific commit or creating a new branch. The library uses Lombok annotations to generate get</t>
        </is>
      </c>
      <c r="I927" t="n">
        <v>0.0031</v>
      </c>
      <c r="J927" t="n">
        <v>0.0519</v>
      </c>
      <c r="K927" t="n">
        <v>0.1064</v>
      </c>
      <c r="L927" t="inlineStr">
        <is>
          <t>The code defines a `RtTrees` class that represents a collection of tree objects in a GitHub repository. It is part of the JCabi Github library. The class has several responsibilities, including:
* Creating and managing tree objects
* Retrieving tree objects from the API
* Manipulating tree properties (e.g., name, description)</t>
        </is>
      </c>
      <c r="M927" t="n">
        <v>0.0036</v>
      </c>
      <c r="N927" t="n">
        <v>0.0351</v>
      </c>
      <c r="O927" t="n">
        <v>0.0813</v>
      </c>
    </row>
    <row r="928">
      <c r="A928" t="inlineStr">
        <is>
          <t>jcabi</t>
        </is>
      </c>
      <c r="B928" t="inlineStr">
        <is>
          <t>src/main/java/com/jcabi/github/RtUserOrganizations.java</t>
        </is>
      </c>
      <c r="C928">
        <f>HYPERLINK("https://github.com/jcabi/jcabi-github/blob/master/src/main/java/com/jcabi/github/RtUserOrganizations.java")</f>
        <v/>
      </c>
      <c r="D928" t="inlineStr">
        <is>
          <t>The `RtUserOrganizations` class is a part of the JCabi GitHub library for Java. It provides an implementation of the `UserOrganizations` interface, which represents a collection of organizations that a particular user belongs to on GitHub.
The `RtUserOrganizations` class has several important methods, including:
* `iterate()`: Returns an iterator</t>
        </is>
      </c>
      <c r="E928" t="n">
        <v>0</v>
      </c>
      <c r="F928" t="n">
        <v>0.0364</v>
      </c>
      <c r="G928" t="n">
        <v>0.0833</v>
      </c>
      <c r="H928" t="inlineStr">
        <is>
          <t>This is Java code for implementing the `RtUserOrganizations` interface, which represents a collection of organizations that a particular user belongs to on GitHub. The implementation uses Lombok annotations to generate getters, setters, equals(), hashcode() methods, and constructors based on the fields declared in the class. It also includes comments describing the purpose of each method and field.</t>
        </is>
      </c>
      <c r="I928" t="n">
        <v>0.0038</v>
      </c>
      <c r="J928" t="n">
        <v>0.09229999999999999</v>
      </c>
      <c r="K928" t="n">
        <v>0.155</v>
      </c>
      <c r="L928" t="inlineStr">
        <is>
          <t>The code defines a Java class called `RtUserOrganizations` that represents a collection of organizations associated with a specific GitHub user. It is part of the JCabi GitHub library.
The class has several responsibilities, including:
* Creating instances of itself from a request object and a GitHub instance
* Retrieving the list of organizations associated with the specified user</t>
        </is>
      </c>
      <c r="M928" t="n">
        <v>0.0031</v>
      </c>
      <c r="N928" t="n">
        <v>0.0312</v>
      </c>
      <c r="O928" t="n">
        <v>0.0769</v>
      </c>
    </row>
    <row r="929">
      <c r="A929" t="inlineStr">
        <is>
          <t>jcabi</t>
        </is>
      </c>
      <c r="B929" t="inlineStr">
        <is>
          <t>src/main/java/com/jcabi/github/RtRelease.java</t>
        </is>
      </c>
      <c r="C929">
        <f>HYPERLINK("https://github.com/jcabi/jcabi-github/blob/master/src/main/java/com/jcabi/github/RtRelease.java")</f>
        <v/>
      </c>
      <c r="D929" t="inlineStr">
        <is>
          <t>The `RtRelease` class is a Java implementation of a GitHub release, which provides methods for retrieving information about a specific release in a GitHub repository. It is part of the JCABI Github library.
The constructor takes two parameters: `req`, which represents the RESTful API entry point, and `repo`, which represents the repository that the release belongs to.</t>
        </is>
      </c>
      <c r="E929" t="n">
        <v>0.0032</v>
      </c>
      <c r="F929" t="n">
        <v>0.0615</v>
      </c>
      <c r="G929" t="n">
        <v>0.1163</v>
      </c>
      <c r="H929" t="inlineStr">
        <is>
          <t>The `RtRelease` class is a Java implementation of the `Release` interface from the `com.jcabi.github` package. It provides a way to interact with GitHub releases through its RESTful API.
The constructor takes in three parameters:
* `req`: An instance of the `Request` class, which represents the RESTful API entry point for the</t>
        </is>
      </c>
      <c r="I929" t="n">
        <v>0</v>
      </c>
      <c r="J929" t="n">
        <v>0.0333</v>
      </c>
      <c r="K929" t="n">
        <v>0.0407</v>
      </c>
      <c r="L929" t="inlineStr">
        <is>
          <t>The provided code is part of a Java library for interacting with the GitHub API. It defines a class called `RtRelease` that represents a single release within a repository.
The class has several fields and methods, including:
* `entry`: An instance of the `Request` interface from the `com.jcabi.http` package, which provides access to</t>
        </is>
      </c>
      <c r="M929" t="n">
        <v>0.0035</v>
      </c>
      <c r="N929" t="n">
        <v>0.0323</v>
      </c>
      <c r="O929" t="n">
        <v>0.08</v>
      </c>
    </row>
    <row r="930">
      <c r="A930" t="inlineStr">
        <is>
          <t>jcabi</t>
        </is>
      </c>
      <c r="B930" t="inlineStr">
        <is>
          <t>src/main/java/com/jcabi/github/RtReferences.java</t>
        </is>
      </c>
      <c r="C930">
        <f>HYPERLINK("https://github.com/jcabi/jcabi-github/blob/master/src/main/java/com/jcabi/github/RtReferences.java")</f>
        <v/>
      </c>
      <c r="D930" t="inlineStr">
        <is>
          <t>The `RtReferences` class is a Java implementation of the `References` interface from the `com.jcabi.github` package. It provides methods to interact with GitHub's reference objects, which represent pointers to specific points in Git history.
The `RtReferences` class has several responsibilities, including:
* Creating new reference objects</t>
        </is>
      </c>
      <c r="E930" t="n">
        <v>0</v>
      </c>
      <c r="F930" t="n">
        <v>0.0364</v>
      </c>
      <c r="G930" t="n">
        <v>0.0427</v>
      </c>
      <c r="H930" t="inlineStr">
        <is>
          <t>This is a Java implementation of the `RtReferences` class from the `com.jcabi.github` package. The class provides methods to interact with the GitHub API's reference endpoints. It has several fields and methods that are used to perform operations such as creating new references, updating existing ones, and deleting them.
The constructor takes three parameters: `entry</t>
        </is>
      </c>
      <c r="I930" t="n">
        <v>0.004</v>
      </c>
      <c r="J930" t="n">
        <v>0.09229999999999999</v>
      </c>
      <c r="K930" t="n">
        <v>0.1587</v>
      </c>
      <c r="L930" t="inlineStr">
        <is>
          <t>The provided code is part of a Java library that provides a client for accessing the GitHub API. It defines a class called `RtReferences` that represents a collection of references (e.g., branches, tags) associated with a specific GitHub repository.
The class has several fields and methods, including:
* A constructor that takes an instance of `Request`, which is</t>
        </is>
      </c>
      <c r="M930" t="n">
        <v>0.0031</v>
      </c>
      <c r="N930" t="n">
        <v>0.0303</v>
      </c>
      <c r="O930" t="n">
        <v>0.0769</v>
      </c>
    </row>
    <row r="931">
      <c r="A931" t="inlineStr">
        <is>
          <t>jcabi</t>
        </is>
      </c>
      <c r="B931" t="inlineStr">
        <is>
          <t>src/main/java/com/jcabi/github/RtBranches.java</t>
        </is>
      </c>
      <c r="C931">
        <f>HYPERLINK("https://github.com/jcabi/jcabi-github/blob/master/src/main/java/com/jcabi/github/RtBranches.java")</f>
        <v/>
      </c>
      <c r="D931" t="inlineStr">
        <is>
          <t>The `RtBranches` class is a Java implementation of the GitHub API's branch endpoint. It provides methods to retrieve information about the branches in a given repository.
The constructor takes two parameters:
* `req`: An instance of the `Request` class that represents the base URL for the API.
* `repo`: An instance of the `Repo</t>
        </is>
      </c>
      <c r="E931" t="n">
        <v>0</v>
      </c>
      <c r="F931" t="n">
        <v>0.0328</v>
      </c>
      <c r="G931" t="n">
        <v>0.0397</v>
      </c>
      <c r="H931" t="inlineStr">
        <is>
          <t>The `RtBranches` class is a Java implementation of the GitHub API's branch endpoint. It provides methods to retrieve information about the branches in a given repository.
The constructor takes two parameters:
* `req`: An instance of the `Request` class from the `jcabi-http` library, which represents the base URL for the API requests.</t>
        </is>
      </c>
      <c r="I931" t="n">
        <v>0</v>
      </c>
      <c r="J931" t="n">
        <v>0.0328</v>
      </c>
      <c r="K931" t="n">
        <v>0.0403</v>
      </c>
      <c r="L931" t="inlineStr">
        <is>
          <t>The code provides an implementation of the `RtBranches` class, which is part of the `com.jcabi.github` package. It appears to be responsible for managing GitHub repositories' branches using the GitHub V3 API.
The class has several important methods that allow users to interact with the branch data, such as `list()`, `create()`, `get</t>
        </is>
      </c>
      <c r="M931" t="n">
        <v>0</v>
      </c>
      <c r="N931" t="n">
        <v>0.0328</v>
      </c>
      <c r="O931" t="n">
        <v>0.0813</v>
      </c>
    </row>
    <row r="932">
      <c r="A932" t="inlineStr">
        <is>
          <t>jcabi</t>
        </is>
      </c>
      <c r="B932" t="inlineStr">
        <is>
          <t>src/main/java/com/jcabi/github/UserAgent.java</t>
        </is>
      </c>
      <c r="C932">
        <f>HYPERLINK("https://github.com/jcabi/jcabi-github/blob/master/src/main/java/com/jcabi/github/UserAgent.java")</f>
        <v/>
      </c>
      <c r="D932" t="inlineStr">
        <is>
          <t>The code defines an interface called `UserAgent` with a single method called `format()` that returns a string representation of the user-agent HTTP header value.</t>
        </is>
      </c>
      <c r="E932" t="n">
        <v>0</v>
      </c>
      <c r="F932" t="n">
        <v>0</v>
      </c>
      <c r="G932" t="n">
        <v>0</v>
      </c>
      <c r="H932" t="inlineStr">
        <is>
          <t>This is a Java interface named `UserAgent` that represents user agent data in a GitHub project. The interface has only one method called `format()` which returns a string representing the formatted user-agent HTTP header value. The class implements this interface.</t>
        </is>
      </c>
      <c r="I932" t="n">
        <v>0.0055</v>
      </c>
      <c r="J932" t="n">
        <v>0.08160000000000001</v>
      </c>
      <c r="K932" t="n">
        <v>0.0893</v>
      </c>
      <c r="L932" t="inlineStr">
        <is>
          <t>The code defines an interface for generating user-agent HTTP header values used by the JCabi GitHub library. It provides a single method, `format()`, which returns a string representation of the user-agent value.</t>
        </is>
      </c>
      <c r="M932" t="n">
        <v>0</v>
      </c>
      <c r="N932" t="n">
        <v>0</v>
      </c>
      <c r="O932" t="n">
        <v>0.0481</v>
      </c>
    </row>
    <row r="933">
      <c r="A933" t="inlineStr">
        <is>
          <t>jcabi</t>
        </is>
      </c>
      <c r="B933" t="inlineStr">
        <is>
          <t>src/main/java/com/jcabi/github/RtStatuses.java</t>
        </is>
      </c>
      <c r="C933">
        <f>HYPERLINK("https://github.com/jcabi/jcabi-github/blob/master/src/main/java/com/jcabi/github/RtStatuses.java")</f>
        <v/>
      </c>
      <c r="D933" t="inlineStr">
        <is>
          <t>The `RtStatuses` class is a Java implementation of the `Statuses` interface from the JCabi Github library. It provides methods to interact with the GitHub API related to statuses (e.g., getting the list of statuses for a specific commit).
The constructor takes two parameters: `req`, which is an instance of the `Request` class representing</t>
        </is>
      </c>
      <c r="E933" t="n">
        <v>0</v>
      </c>
      <c r="F933" t="n">
        <v>0.0323</v>
      </c>
      <c r="G933" t="n">
        <v>0.04</v>
      </c>
      <c r="H933" t="inlineStr">
        <is>
          <t>The provided code is part of a Java library that provides a client for interacting with the GitHub API. It defines a `RtStatuses` class that represents a collection of statuses associated with a specific commit in a GitHub repository. The class has several methods to retrieve information about the statuses, such as getting the list of all statuses or retrieving a single status by its ID</t>
        </is>
      </c>
      <c r="I933" t="n">
        <v>0</v>
      </c>
      <c r="J933" t="n">
        <v>0</v>
      </c>
      <c r="K933" t="n">
        <v>0.0362</v>
      </c>
      <c r="L933" t="inlineStr">
        <is>
          <t>The provided code is part of a Java library that provides a client interface for interacting with the GitHub API. It defines a `RtStatuses` class that represents an instance of a collection of statuses associated with a specific commit.
The class has several responsibilities, including:
* Creating a new instance of the `RtStatuses` class based on a</t>
        </is>
      </c>
      <c r="M933" t="n">
        <v>0</v>
      </c>
      <c r="N933" t="n">
        <v>0</v>
      </c>
      <c r="O933" t="n">
        <v>0.0388</v>
      </c>
    </row>
    <row r="934">
      <c r="A934" t="inlineStr">
        <is>
          <t>jcabi</t>
        </is>
      </c>
      <c r="B934" t="inlineStr">
        <is>
          <t>src/main/java/com/jcabi/github/References.java</t>
        </is>
      </c>
      <c r="C934">
        <f>HYPERLINK("https://github.com/jcabi/jcabi-github/blob/master/src/main/java/com/jcabi/github/References.java")</f>
        <v/>
      </c>
      <c r="D934" t="inlineStr">
        <is>
          <t>This is a Java class that represents a collection of references in a GitHub repository. It provides methods for creating new references, getting existing references, and deleting references. The class is annotated with `@Immutable` which means it cannot be modified after creation. It also has a `repo()` method that returns the owner of the references, which is represented as a `Repo` object.</t>
        </is>
      </c>
      <c r="E934" t="n">
        <v>0.0035</v>
      </c>
      <c r="F934" t="n">
        <v>0.0571</v>
      </c>
      <c r="G934" t="n">
        <v>0.0746</v>
      </c>
      <c r="H934" t="inlineStr">
        <is>
          <t>This is a Java package called "com.jcabi.github" that provides an implementation of the GitHub RESTful API for interacting with Git data references. It includes classes such as `Reference`, `Ref`, and `Repo` which represent different types of references in a Git repository. The package also includes methods for creating and retrieving references, as well as other operations related to</t>
        </is>
      </c>
      <c r="I934" t="n">
        <v>0.0037</v>
      </c>
      <c r="J934" t="n">
        <v>0.0882</v>
      </c>
      <c r="K934" t="n">
        <v>0.1154</v>
      </c>
      <c r="L934" t="inlineStr">
        <is>
          <t>The provided code defines a Java class named "References" that represents a collection of references in a GitHub repository. It is part of the JCabi Github library.
The class has several methods for working with references, including creating new ones and retrieving existing ones. It also provides access to the owner of the references, which is represented as a "Repo" object.</t>
        </is>
      </c>
      <c r="M934" t="n">
        <v>0.003</v>
      </c>
      <c r="N934" t="n">
        <v>0.029</v>
      </c>
      <c r="O934" t="n">
        <v>0.0752</v>
      </c>
    </row>
    <row r="935">
      <c r="A935" t="inlineStr">
        <is>
          <t>jcabi</t>
        </is>
      </c>
      <c r="B935" t="inlineStr">
        <is>
          <t>src/main/java/com/jcabi/github/Milestones.java</t>
        </is>
      </c>
      <c r="C935">
        <f>HYPERLINK("https://github.com/jcabi/jcabi-github/blob/master/src/main/java/com/jcabi/github/Milestones.java")</f>
        <v/>
      </c>
      <c r="D935" t="inlineStr">
        <is>
          <t>This code defines an interface called `Milestones` that represents a collection of milestones in a GitHub repository. The interface has several methods, including `repo()`, which returns the owner of the milestones, `create()` which creates a new milestone with the given title, and `get()` which retrieves a specific milestone by its number.
The implementation of this</t>
        </is>
      </c>
      <c r="E935" t="n">
        <v>0.004</v>
      </c>
      <c r="F935" t="n">
        <v>0.0635</v>
      </c>
      <c r="G935" t="n">
        <v>0.1181</v>
      </c>
      <c r="H935" t="inlineStr">
        <is>
          <t>This code defines an interface for working with GitHub Milestones in Java using the JCabi library. It provides methods to retrieve information about the owner of the milestones, create new milestones, and get specific milestones based on their number. The complexity of this implementation is O(N), where N is the number of milestones. There are also comments explaining each</t>
        </is>
      </c>
      <c r="I935" t="n">
        <v>0.0037</v>
      </c>
      <c r="J935" t="n">
        <v>0.0588</v>
      </c>
      <c r="K935" t="n">
        <v>0.1527</v>
      </c>
      <c r="L935" t="inlineStr">
        <is>
          <t>The provided code defines a Java interface for interacting with the GitHub Milestones API. It provides methods for creating new milestones, retrieving existing ones, and updating their properties. The interface is annotated with Javadoc comments that provide additional information about each method's parameters and return types.
The `repo()` method returns the owner of the milestones,</t>
        </is>
      </c>
      <c r="M935" t="n">
        <v>0.0033</v>
      </c>
      <c r="N935" t="n">
        <v>0.0312</v>
      </c>
      <c r="O935" t="n">
        <v>0.0394</v>
      </c>
    </row>
    <row r="936">
      <c r="A936" t="inlineStr">
        <is>
          <t>jcabi</t>
        </is>
      </c>
      <c r="B936" t="inlineStr">
        <is>
          <t>src/main/java/com/jcabi/github/RtGistComment.java</t>
        </is>
      </c>
      <c r="C936">
        <f>HYPERLINK("https://github.com/jcabi/jcabi-github/blob/master/src/main/java/com/jcabi/github/RtGistComment.java")</f>
        <v/>
      </c>
      <c r="D936" t="inlineStr">
        <is>
          <t>The `RtGistComment` class is a Java implementation of a GitHub Gist comment. It provides methods for retrieving information about the comment, updating its content, and deleting it.
The constructor takes a `Request` object, which represents a RESTful request to the GitHub API, a `Gist` object representing the parent Gist, and an integer representing the comment</t>
        </is>
      </c>
      <c r="E936" t="n">
        <v>0.0033</v>
      </c>
      <c r="F936" t="n">
        <v>0.0635</v>
      </c>
      <c r="G936" t="n">
        <v>0.1181</v>
      </c>
      <c r="H936" t="inlineStr">
        <is>
          <t>The provided code defines a Java class called `RtGistComment` that represents a GitHub Gist comment. It is part of the `com.jcabi.github` package and extends the `GistComment` interface from the same package.
The class has several fields and methods, but here's a high-level overview of its functionality:
*</t>
        </is>
      </c>
      <c r="I936" t="n">
        <v>0.0039</v>
      </c>
      <c r="J936" t="n">
        <v>0.0345</v>
      </c>
      <c r="K936" t="n">
        <v>0.1261</v>
      </c>
      <c r="L936" t="inlineStr">
        <is>
          <t>The provided code is a Java implementation of a `RtGistComment` class that represents a GitHub Gist comment. It provides methods for retrieving and manipulating the comment data.
The class has several important responsibilities:
* It encapsulates the RESTful API request object (`request`) used to interact with the GitHub API.
* It holds a</t>
        </is>
      </c>
      <c r="M936" t="n">
        <v>0.0035</v>
      </c>
      <c r="N936" t="n">
        <v>0.0678</v>
      </c>
      <c r="O936" t="n">
        <v>0.16</v>
      </c>
    </row>
    <row r="937">
      <c r="A937" t="inlineStr">
        <is>
          <t>jcabi</t>
        </is>
      </c>
      <c r="B937" t="inlineStr">
        <is>
          <t>src/main/java/com/jcabi/github/RtTags.java</t>
        </is>
      </c>
      <c r="C937">
        <f>HYPERLINK("https://github.com/jcabi/jcabi-github/blob/master/src/main/java/com/jcabi/github/RtTags.java")</f>
        <v/>
      </c>
      <c r="D937" t="inlineStr">
        <is>
          <t>This is a Java class that represents a collection of tags in a Git repository on GitHub. It provides methods to retrieve information about the tags and their associated commits.
The `RtTags` class has several fields:
* `entry`: A `Request` object representing the entry point for making requests to the GitHub API.
* `request`: A `Request` object representing</t>
        </is>
      </c>
      <c r="E937" t="n">
        <v>0.0037</v>
      </c>
      <c r="F937" t="n">
        <v>0.0625</v>
      </c>
      <c r="G937" t="n">
        <v>0.0769</v>
      </c>
      <c r="H937" t="inlineStr">
        <is>
          <t>This is a Java library that provides a client for accessing the GitHub API. It consists of several classes, including `RtTags`, which represents a collection of tags in a GitHub repository. The `RtTags` class has the following responsibilities:
* It maintains a reference to the RESTful API entry point (`entry`) and the HTTP request object used to make requests</t>
        </is>
      </c>
      <c r="I937" t="n">
        <v>0.0037</v>
      </c>
      <c r="J937" t="n">
        <v>0.0606</v>
      </c>
      <c r="K937" t="n">
        <v>0.1145</v>
      </c>
      <c r="L937" t="inlineStr">
        <is>
          <t>The code defines the `RtTags` class, which represents a collection of tags in a GitHub repository. It is part of the JCabi Github library.
The class has several responsibilities, including:
* Providing access to the list of tags in the repository through the `iterate()` method.
* Creating new tag objects using the `create()`</t>
        </is>
      </c>
      <c r="M937" t="n">
        <v>0</v>
      </c>
      <c r="N937" t="n">
        <v>0</v>
      </c>
      <c r="O937" t="n">
        <v>0.04</v>
      </c>
    </row>
    <row r="938">
      <c r="A938" t="inlineStr">
        <is>
          <t>jcabi</t>
        </is>
      </c>
      <c r="B938" t="inlineStr">
        <is>
          <t>src/main/java/com/jcabi/github/RtValuePagination.java</t>
        </is>
      </c>
      <c r="C938">
        <f>HYPERLINK("https://github.com/jcabi/jcabi-github/blob/master/src/main/java/com/jcabi/github/RtValuePagination.java")</f>
        <v/>
      </c>
      <c r="D938" t="inlineStr">
        <is>
          <t>The `RtValuePagination` class is a utility class that provides a way to iterate over a collection of values in a GitHub API response, handling pagination automatically. It takes two type parameters: `T`, which represents the type of the iterated values, and `P`, which represents the type of the parent object containing the paginated data.
The class has</t>
        </is>
      </c>
      <c r="E938" t="n">
        <v>0.0032</v>
      </c>
      <c r="F938" t="n">
        <v>0.0308</v>
      </c>
      <c r="G938" t="n">
        <v>0.0388</v>
      </c>
      <c r="H938" t="inlineStr">
        <is>
          <t>The `RtValuePagination` class is a Java implementation of GitHub's API pagination mechanism for values. It provides an iterator over a collection of items that can be retrieved from multiple pages in a single request.
The class takes two type parameters:
* `T`: The type of the iterated elements.
* `P`: The type of the parent</t>
        </is>
      </c>
      <c r="I938" t="n">
        <v>0</v>
      </c>
      <c r="J938" t="n">
        <v>0.0323</v>
      </c>
      <c r="K938" t="n">
        <v>0.0394</v>
      </c>
      <c r="L938" t="inlineStr">
        <is>
          <t>The provided Java code represents a class called `RtValuePagination` that provides a way to iterate over a collection of values returned by the GitHub API in response to a request for data that is too large to be returned in a single response. The class takes two type parameters: `T`, which represents the type of object being iterated over, and `P`, which represents the</t>
        </is>
      </c>
      <c r="M938" t="n">
        <v>0.0028</v>
      </c>
      <c r="N938" t="n">
        <v>0.0278</v>
      </c>
      <c r="O938" t="n">
        <v>0.0368</v>
      </c>
    </row>
    <row r="939">
      <c r="A939" t="inlineStr">
        <is>
          <t>jcabi</t>
        </is>
      </c>
      <c r="B939" t="inlineStr">
        <is>
          <t>src/main/java/com/jcabi/github/Event.java</t>
        </is>
      </c>
      <c r="C939">
        <f>HYPERLINK("https://github.com/jcabi/jcabi-github/blob/master/src/main/java/com/jcabi/github/Event.java")</f>
        <v/>
      </c>
      <c r="D939" t="inlineStr">
        <is>
          <t>This is Java code for implementing the `Event` interface in the `com.jcabi.github` package. The `Event` interface represents a GitHub issue event, which can be one of several types, such as `CLOSED`, `ASSIGNED`, or `COMMENTED`. It also includes methods to retrieve information about the event, such as its ID,</t>
        </is>
      </c>
      <c r="E939" t="n">
        <v>0.0038</v>
      </c>
      <c r="F939" t="n">
        <v>0.06900000000000001</v>
      </c>
      <c r="G939" t="n">
        <v>0.0833</v>
      </c>
      <c r="H939" t="inlineStr">
        <is>
          <t>This is a Java library for working with GitHub events. It provides a set of classes that represent different types of GitHub events, such as issues, pull requests, commits, and more. The library also includes methods for fetching and parsing these events from the GitHub API.
The main class in this library is `Event`, which represents a single GitHub event. This class has several subclasses</t>
        </is>
      </c>
      <c r="I939" t="n">
        <v>0.0033</v>
      </c>
      <c r="J939" t="n">
        <v>0.0548</v>
      </c>
      <c r="K939" t="n">
        <v>0.1095</v>
      </c>
      <c r="L939" t="inlineStr">
        <is>
          <t>The provided code defines an interface for interacting with GitHub events. It provides methods for retrieving and manipulating event data, as well as constants representing common event types.</t>
        </is>
      </c>
      <c r="M939" t="n">
        <v>0.0067</v>
      </c>
      <c r="N939" t="n">
        <v>0.0556</v>
      </c>
      <c r="O939" t="n">
        <v>0.05</v>
      </c>
    </row>
    <row r="940">
      <c r="A940" t="inlineStr">
        <is>
          <t>jcabi</t>
        </is>
      </c>
      <c r="B940" t="inlineStr">
        <is>
          <t>src/main/java/com/jcabi/github/Blob.java</t>
        </is>
      </c>
      <c r="C940">
        <f>HYPERLINK("https://github.com/jcabi/jcabi-github/blob/master/src/main/java/com/jcabi/github/Blob.java")</f>
        <v/>
      </c>
      <c r="D940" t="inlineStr">
        <is>
          <t>The `Smart` class is a decorator for the `Blob` interface that provides additional features such as logging and caching. It encapsulates a `Blob` instance and adds some convenience methods to parse JSON data.
The `sha()` method returns the SHA of the underlying `Blob`.
The `toString()` method returns a string representation of the</t>
        </is>
      </c>
      <c r="E940" t="n">
        <v>0.0035</v>
      </c>
      <c r="F940" t="n">
        <v>0.0333</v>
      </c>
      <c r="G940" t="n">
        <v>0.0403</v>
      </c>
      <c r="H940" t="inlineStr">
        <is>
          <t>This is Java code that defines an interface called `Blob` in the package `com.jcabi.github`. The `Blob` interface has one method called `sha()` which returns a string representing the SHA of the blob.
The `Smart` inner class inside the `Blob` interface is annotated with several Lombok annotations such as `@Immutable</t>
        </is>
      </c>
      <c r="I940" t="n">
        <v>0.0037</v>
      </c>
      <c r="J940" t="n">
        <v>0.0339</v>
      </c>
      <c r="K940" t="n">
        <v>0.0413</v>
      </c>
      <c r="L940" t="inlineStr">
        <is>
          <t>The code defines a `Smart` class that extends the `Blob` interface and adds some additional features such as logging and caching. It also uses Lombok annotations to simplify the code.
The `Smart` class has two constructors, one that takes a `Blob` instance and another that takes both a `Blob` and a `JsonObject`. The `</t>
        </is>
      </c>
      <c r="M940" t="n">
        <v>0.0034</v>
      </c>
      <c r="N940" t="n">
        <v>0.0328</v>
      </c>
      <c r="O940" t="n">
        <v>0.0794</v>
      </c>
    </row>
    <row r="941">
      <c r="A941" t="inlineStr">
        <is>
          <t>jcabi</t>
        </is>
      </c>
      <c r="B941" t="inlineStr">
        <is>
          <t>src/main/java/com/jcabi/github/RtPullComments.java</t>
        </is>
      </c>
      <c r="C941">
        <f>HYPERLINK("https://github.com/jcabi/jcabi-github/blob/master/src/main/java/com/jcabi/github/RtPullComments.java")</f>
        <v/>
      </c>
      <c r="D941" t="inlineStr">
        <is>
          <t>The `RtPullComments` class is a Java implementation of the `PullComments` interface in the JCabi Github library. It provides methods for interacting with pull requests on GitHub through its REST API.
The constructor takes a `Request` object as input, which represents the HTTP connection to the GitHub API. It also takes a `Pull`</t>
        </is>
      </c>
      <c r="E941" t="n">
        <v>0</v>
      </c>
      <c r="F941" t="n">
        <v>0.0333</v>
      </c>
      <c r="G941" t="n">
        <v>0.0403</v>
      </c>
      <c r="H941" t="inlineStr">
        <is>
          <t>This is a Java library for interacting with the GitHub API. The `RtPullComments` class represents a single pull request comment in the GitHub API. It has several fields and methods that allow you to access information about the comment and perform actions on it, such as updating its body or deleting it.
The constructor takes three parameters:
* `entry`: An</t>
        </is>
      </c>
      <c r="I941" t="n">
        <v>0.0036</v>
      </c>
      <c r="J941" t="n">
        <v>0.0597</v>
      </c>
      <c r="K941" t="n">
        <v>0.07580000000000001</v>
      </c>
      <c r="L941" t="inlineStr">
        <is>
          <t>The provided code is part of a Java library for interacting with the GitHub API. It defines a class called `RtPullComments` that represents a collection of comments associated with a specific pull request on GitHub.
The class has several responsibilities, including:
* Creating new comments and updating existing ones
* Retrieving a list of all comments associated with a</t>
        </is>
      </c>
      <c r="M941" t="n">
        <v>0.0031</v>
      </c>
      <c r="N941" t="n">
        <v>0.0308</v>
      </c>
      <c r="O941" t="n">
        <v>0.07630000000000001</v>
      </c>
    </row>
    <row r="942">
      <c r="A942" t="inlineStr">
        <is>
          <t>jcabi</t>
        </is>
      </c>
      <c r="B942" t="inlineStr">
        <is>
          <t>src/main/java/com/jcabi/github/RtIssues.java</t>
        </is>
      </c>
      <c r="C942">
        <f>HYPERLINK("https://github.com/jcabi/jcabi-github/blob/master/src/main/java/com/jcabi/github/RtIssues.java")</f>
        <v/>
      </c>
      <c r="D942" t="inlineStr">
        <is>
          <t>The `RtIssues` class is a Java implementation of the `Issues` interface from the `com.jcabi.github` package. It provides methods for interacting with GitHub issues through its REST API.
The constructor takes three parameters:
* `entry`: An instance of the `Request` class representing the API entry point.
* `</t>
        </is>
      </c>
      <c r="E942" t="n">
        <v>0</v>
      </c>
      <c r="F942" t="n">
        <v>0.037</v>
      </c>
      <c r="G942" t="n">
        <v>0.042</v>
      </c>
      <c r="H942" t="inlineStr">
        <is>
          <t>This is a Java library for working with GitHub APIs. It provides a set of classes that can be used to interact with different parts of the GitHub platform, such as repositories, issues, pull requests, and more. The library uses the JCABI HTTP client to make RESTful requests to the GitHub API.
The `RtIssues` class in this library represents a</t>
        </is>
      </c>
      <c r="I942" t="n">
        <v>0.0036</v>
      </c>
      <c r="J942" t="n">
        <v>0.0588</v>
      </c>
      <c r="K942" t="n">
        <v>0.1136</v>
      </c>
      <c r="L942" t="inlineStr">
        <is>
          <t>The provided code is part of a Java library for interacting with the GitHub API. It defines a class called `RtIssues` that represents a collection of issues associated with a specific repository.
The class has several important methods, including:
* `RtIssues`: Constructor method that initializes the object with an API entry point, a RESTful</t>
        </is>
      </c>
      <c r="M942" t="n">
        <v>0</v>
      </c>
      <c r="N942" t="n">
        <v>0</v>
      </c>
      <c r="O942" t="n">
        <v>0.0397</v>
      </c>
    </row>
    <row r="943">
      <c r="A943" t="inlineStr">
        <is>
          <t>jcabi</t>
        </is>
      </c>
      <c r="B943" t="inlineStr">
        <is>
          <t>src/main/java/com/jcabi/github/wire/package-info.java</t>
        </is>
      </c>
      <c r="C943">
        <f>HYPERLINK("https://github.com/jcabi/jcabi-github/blob/master/src/main/java/com/jcabi/github/wire/package-info.java")</f>
        <v/>
      </c>
      <c r="D943" t="inlineStr">
        <is>
          <t>The provided code is part of a Java library for interacting with GitHub API. It defines a `Wire` class that encapsulates the logic for making HTTP requests to the GitHub API.
The `Wire` class has several methods that perform different operations on the API endpoints, such as `fetch()`, `post()`, and `patch()`. These methods make use of the</t>
        </is>
      </c>
      <c r="E943" t="n">
        <v>0.0032</v>
      </c>
      <c r="F943" t="n">
        <v>0.0308</v>
      </c>
      <c r="G943" t="n">
        <v>0.0775</v>
      </c>
      <c r="H943" t="inlineStr">
        <is>
          <t>This is a Java package called "Wires" that implements the core algorithms for a backend system. It has a complexity of O(N), with N being the number of elements in the input data structure. The package includes comments explaining how the code works, as well as a license header indicating that it is licensed under the MIT License. The README file describes the purpose of</t>
        </is>
      </c>
      <c r="I943" t="n">
        <v>0.0037</v>
      </c>
      <c r="J943" t="n">
        <v>0.08110000000000001</v>
      </c>
      <c r="K943" t="n">
        <v>0.1095</v>
      </c>
      <c r="L943" t="inlineStr">
        <is>
          <t>The provided code is part of a Java library for interacting with GitHub API. It defines a class named "Wires" that provides methods for sending requests to the API and receiving responses. The class appears to be responsible for implementing the core algorithms for communicating with the GitHub API.</t>
        </is>
      </c>
      <c r="M943" t="n">
        <v>0.0045</v>
      </c>
      <c r="N943" t="n">
        <v>0.0702</v>
      </c>
      <c r="O943" t="n">
        <v>0.1653</v>
      </c>
    </row>
    <row r="944">
      <c r="A944" t="inlineStr">
        <is>
          <t>jcabi</t>
        </is>
      </c>
      <c r="B944" t="inlineStr">
        <is>
          <t>src/main/java/com/jcabi/github/wire/RetryCarefulWire.java</t>
        </is>
      </c>
      <c r="C944">
        <f>HYPERLINK("https://github.com/jcabi/jcabi-github/blob/master/src/main/java/com/jcabi/github/wire/RetryCarefulWire.java")</f>
        <v/>
      </c>
      <c r="D944" t="inlineStr">
        <is>
          <t>The `RetryCarefulWire` class provides a customizable implementation of the `Wire` interface that wraps another `Wire` instance and adds additional functionality to handle errors and retries. It does this by using two other classes: `RetryWire`, which handles retries on failed requests, and `CarefulWire`, which handles errors by waiting</t>
        </is>
      </c>
      <c r="E944" t="n">
        <v>0.0046</v>
      </c>
      <c r="F944" t="n">
        <v>0.1091</v>
      </c>
      <c r="G944" t="n">
        <v>0.1681</v>
      </c>
      <c r="H944" t="inlineStr">
        <is>
          <t>This code defines a custom `Wire` implementation called `RetryCarefulWire`. It extends the `RetryWire` class to provide additional functionality by wrapping it with a `CarefulWire` instance. The `CarefulWire` instance provides error handling capabilities, such as retrying failed requests and ignoring certain types of errors. The `</t>
        </is>
      </c>
      <c r="I944" t="n">
        <v>0.0054</v>
      </c>
      <c r="J944" t="n">
        <v>0.1538</v>
      </c>
      <c r="K944" t="n">
        <v>0.1709</v>
      </c>
      <c r="L944" t="inlineStr">
        <is>
          <t>The provided code defines a custom implementation of the `Wire` interface from the JCABI library. It extends the `RetryWire` class and adds additional functionality by wrapping a `CarefulWire` instance. The resulting implementation is designed to handle rate limiting issues by waiting until the number of remaining requests per hour falls below a certain threshold before making further requests.</t>
        </is>
      </c>
      <c r="M944" t="n">
        <v>0.0037</v>
      </c>
      <c r="N944" t="n">
        <v>0.0606</v>
      </c>
      <c r="O944" t="n">
        <v>0.1154</v>
      </c>
    </row>
    <row r="945">
      <c r="A945" t="inlineStr">
        <is>
          <t>jcabi</t>
        </is>
      </c>
      <c r="B945" t="inlineStr">
        <is>
          <t>src/main/java/com/jcabi/github/wire/CarefulWire.java</t>
        </is>
      </c>
      <c r="C945">
        <f>HYPERLINK("https://github.com/jcabi/jcabi-github/blob/master/src/main/java/com/jcabi/github/wire/CarefulWire.java")</f>
        <v/>
      </c>
      <c r="D945" t="inlineStr">
        <is>
          <t>The `CarefulWire` class extends the `Wire` class from the JCABI library to add rate limiting behavior. It overrides the `send()` method to check the value of the `X-RateLimit-Remaining` header in the response object. If the value is below a certain threshold, it sleeps for the amount of time specified by the</t>
        </is>
      </c>
      <c r="E945" t="n">
        <v>0</v>
      </c>
      <c r="F945" t="n">
        <v>0</v>
      </c>
      <c r="G945" t="n">
        <v>0</v>
      </c>
      <c r="H945" t="inlineStr">
        <is>
          <t>This Java class implements a custom wire for making HTTP requests to the GitHub API. It extends the `com.jcabi.http.Wire` class and adds some additional features such as waiting if the number of remaining requests per hour is below a certain threshold. The implementation uses Lombok annotations to generate getters and setters for the fields.
The constructor takes a `com</t>
        </is>
      </c>
      <c r="I945" t="n">
        <v>0.0041</v>
      </c>
      <c r="J945" t="n">
        <v>0.0857</v>
      </c>
      <c r="K945" t="n">
        <v>0.1527</v>
      </c>
      <c r="L945" t="inlineStr">
        <is>
          <t>The provided code defines a custom implementation of the `Wire` class from the `com.jcabi.http` package, which extends the default `Wire` class by adding a new method called `fetch()` that takes into account the current rate limit status when making HTTP requests to the GitHub API.
The `CarefulWire` class uses the `X-</t>
        </is>
      </c>
      <c r="M945" t="n">
        <v>0</v>
      </c>
      <c r="N945" t="n">
        <v>0.0328</v>
      </c>
      <c r="O945" t="n">
        <v>0.0813</v>
      </c>
    </row>
    <row r="946">
      <c r="A946" t="inlineStr">
        <is>
          <t>jcabi</t>
        </is>
      </c>
      <c r="B946" t="inlineStr">
        <is>
          <t>src/main/java/com/jcabi/github/mock/MkStatuses.java</t>
        </is>
      </c>
      <c r="C946">
        <f>HYPERLINK("https://github.com/jcabi/jcabi-github/blob/master/src/main/java/com/jcabi/github/mock/MkStatuses.java")</f>
        <v/>
      </c>
      <c r="D946" t="inlineStr">
        <is>
          <t>The `MkStatuses` class is a mock implementation of the `Statuses` interface from the `com.jcabi.github` package. It provides a way to interact with a set of statuses for a specific commit in a GitHub repository.
The constructor takes a single argument, which is the `Commit` object that this instance will represent.
The</t>
        </is>
      </c>
      <c r="E946" t="n">
        <v>0</v>
      </c>
      <c r="F946" t="n">
        <v>0.0328</v>
      </c>
      <c r="G946" t="n">
        <v>0.0813</v>
      </c>
      <c r="H946" t="inlineStr">
        <is>
          <t>This is a Java implementation of the `Statuses` interface from the `com.jcabi.github` package, which provides a mock implementation of GitHub's commit statuses. The class has several annotations, including `@Immutable`, `@Loggable`, and `@EqualsAndHashCode`. It also includes a constructor that takes in a `Commit` object as a parameter.</t>
        </is>
      </c>
      <c r="I946" t="n">
        <v>0.0048</v>
      </c>
      <c r="J946" t="n">
        <v>0.1053</v>
      </c>
      <c r="K946" t="n">
        <v>0.1271</v>
      </c>
      <c r="L946" t="inlineStr">
        <is>
          <t>The code defines a class called `MkStatuses` that is a mock implementation of the `Statuses` interface from the `com.jcabi.github` package. It takes a `Commit` object as input in its constructor and provides methods for retrieving and manipulating the statuses associated with that commit.
The `MkStatuses` class has several</t>
        </is>
      </c>
      <c r="M946" t="n">
        <v>0.0038</v>
      </c>
      <c r="N946" t="n">
        <v>0.06900000000000001</v>
      </c>
      <c r="O946" t="n">
        <v>0.0833</v>
      </c>
    </row>
    <row r="947">
      <c r="A947" t="inlineStr">
        <is>
          <t>jcabi</t>
        </is>
      </c>
      <c r="B947" t="inlineStr">
        <is>
          <t>src/main/java/com/jcabi/github/mock/MkGist.java</t>
        </is>
      </c>
      <c r="C947">
        <f>HYPERLINK("https://github.com/jcabi/jcabi-github/blob/master/src/main/java/com/jcabi/github/mock/MkGist.java")</f>
        <v/>
      </c>
      <c r="D947" t="inlineStr">
        <is>
          <t>This is a Java implementation of a mock GitHub gist. It provides a simple interface to create, update, and delete gists on a mock GitHub server. The `MkGist` class has several methods that allow you to interact with the gist, such as `create()`, `update()`, and `delete()`. These methods take in a JSON object representing the gist and return the</t>
        </is>
      </c>
      <c r="E947" t="n">
        <v>0.0037</v>
      </c>
      <c r="F947" t="n">
        <v>0.0896</v>
      </c>
      <c r="G947" t="n">
        <v>0.1527</v>
      </c>
      <c r="H947" t="inlineStr">
        <is>
          <t>This is a Java library that provides a mock implementation of the GitHub API. It includes several classes that represent different types of objects in the GitHub API, such as users, repositories, and gists. The main class of interest is `MkGist`, which represents a single gist object in the GitHub API.
The `MkGist` class has several methods that allow</t>
        </is>
      </c>
      <c r="I947" t="n">
        <v>0.0037</v>
      </c>
      <c r="J947" t="n">
        <v>0.0896</v>
      </c>
      <c r="K947" t="n">
        <v>0.1527</v>
      </c>
      <c r="L947" t="inlineStr">
        <is>
          <t>The provided code is part of a Java project that uses the Lombok library to simplify object creation and logging. It defines a custom implementation of the `Gist` interface from the `com.jcabi.github` package, which provides methods for interacting with GitHub gists.
The `MkGist` class has several responsibilities, including:
*</t>
        </is>
      </c>
      <c r="M947" t="n">
        <v>0.0037</v>
      </c>
      <c r="N947" t="n">
        <v>0.0345</v>
      </c>
      <c r="O947" t="n">
        <v>0.124</v>
      </c>
    </row>
    <row r="948">
      <c r="A948" t="inlineStr">
        <is>
          <t>jcabi</t>
        </is>
      </c>
      <c r="B948" t="inlineStr">
        <is>
          <t>src/main/java/com/jcabi/github/mock/MkRelease.java</t>
        </is>
      </c>
      <c r="C948">
        <f>HYPERLINK("https://github.com/jcabi/jcabi-github/blob/master/src/main/java/com/jcabi/github/mock/MkRelease.java")</f>
        <v/>
      </c>
      <c r="D948" t="inlineStr">
        <is>
          <t>The `MkRelease` class is a mock implementation of the `Release` interface from the `com.jcabi.github` package. It provides a simple way to create a new release for a given repository.
The constructor takes three parameters:
* `stg`: An instance of `MkStorage`, which represents the underlying storage used by this object.</t>
        </is>
      </c>
      <c r="E948" t="n">
        <v>0</v>
      </c>
      <c r="F948" t="n">
        <v>0.0345</v>
      </c>
      <c r="G948" t="n">
        <v>0.124</v>
      </c>
      <c r="H948" t="inlineStr">
        <is>
          <t>This is a Java package that provides a mock implementation of the Github API for testing purposes. It includes several classes that implement different aspects of the Github API, such as repositories, releases, and assets. The main class of interest is `MkRelease`, which represents a mock release object. It has methods to retrieve information about the release, update its state, and delete it. Additionally</t>
        </is>
      </c>
      <c r="I948" t="n">
        <v>0.0034</v>
      </c>
      <c r="J948" t="n">
        <v>0.0833</v>
      </c>
      <c r="K948" t="n">
        <v>0.1103</v>
      </c>
      <c r="L948" t="inlineStr">
        <is>
          <t>The provided code is part of a Java library for interacting with GitHub API. It defines a `MkRelease` class that represents a mock implementation of the `Release` interface from the library. The class has several responsibilities, including:
* Storing data about the release (e.g., release ID, owner login, repository coordinates, etc.)
* Implement</t>
        </is>
      </c>
      <c r="M948" t="n">
        <v>0</v>
      </c>
      <c r="N948" t="n">
        <v>0.0333</v>
      </c>
      <c r="O948" t="n">
        <v>0.08</v>
      </c>
    </row>
    <row r="949">
      <c r="A949" t="inlineStr">
        <is>
          <t>jcabi</t>
        </is>
      </c>
      <c r="B949" t="inlineStr">
        <is>
          <t>src/main/java/com/jcabi/github/mock/MkPublicMembers.java</t>
        </is>
      </c>
      <c r="C949">
        <f>HYPERLINK("https://github.com/jcabi/jcabi-github/blob/master/src/main/java/com/jcabi/github/mock/MkPublicMembers.java")</f>
        <v/>
      </c>
      <c r="D949" t="inlineStr">
        <is>
          <t>The `MkPublicMembers` class is a mock implementation of the `PublicMembers` interface in the JCabi Github library. It provides a way to retrieve information about the public members of a GitHub organization.
The constructor takes two arguments: a `MkStorage` object representing the underlying storage mechanism, and an `Organization` object representing the organization whose public</t>
        </is>
      </c>
      <c r="E949" t="n">
        <v>0.0035</v>
      </c>
      <c r="F949" t="n">
        <v>0.06560000000000001</v>
      </c>
      <c r="G949" t="n">
        <v>0.08</v>
      </c>
      <c r="H949" t="inlineStr">
        <is>
          <t>This is a Java library that provides a mock implementation of the GitHub "Public Members" API. It allows developers to easily create test environments for their applications without having to make real API calls to GitHub. The library includes a number of classes and interfaces related to managing organizations, users, and their relationships with each other.</t>
        </is>
      </c>
      <c r="I949" t="n">
        <v>0.0039</v>
      </c>
      <c r="J949" t="n">
        <v>0.09379999999999999</v>
      </c>
      <c r="K949" t="n">
        <v>0.1172</v>
      </c>
      <c r="L949" t="inlineStr">
        <is>
          <t>The code defines a mock implementation of the `PublicMembers` interface from the `com.jcabi.github` package. It provides a simplified representation of the GitHub organization's public members, allowing for easy manipulation of the data.
The main purpose of the code is to provide a convenient way to work with the GitHub organization's public members, without having to interact</t>
        </is>
      </c>
      <c r="M949" t="n">
        <v>0</v>
      </c>
      <c r="N949" t="n">
        <v>0.0294</v>
      </c>
      <c r="O949" t="n">
        <v>0.0781</v>
      </c>
    </row>
    <row r="950">
      <c r="A950" t="inlineStr">
        <is>
          <t>jcabi</t>
        </is>
      </c>
      <c r="B950" t="inlineStr">
        <is>
          <t>src/main/java/com/jcabi/github/mock/MkUserEmails.java</t>
        </is>
      </c>
      <c r="C950">
        <f>HYPERLINK("https://github.com/jcabi/jcabi-github/blob/master/src/main/java/com/jcabi/github/mock/MkUserEmails.java")</f>
        <v/>
      </c>
      <c r="D950" t="inlineStr">
        <is>
          <t>This is a mock implementation of the `UserEmails` interface from the `com.jcabi.github` package. It provides a simple in-memory representation of a list of email addresses associated with a GitHub user account. The implementation uses a custom mapping function to convert XML data into Java objects, and it exposes several methods for retrieving and manipulating the list of emails.</t>
        </is>
      </c>
      <c r="E950" t="n">
        <v>0.0037</v>
      </c>
      <c r="F950" t="n">
        <v>0.1159</v>
      </c>
      <c r="G950" t="n">
        <v>0.1538</v>
      </c>
      <c r="H950" t="inlineStr">
        <is>
          <t>The provided code is part of a Java library for mocking the GitHub API. It defines a class called `MkUserEmails` that implements the `UserEmails` interface from the same package. This class provides a mock implementation of the GitHub API's `/user/emails` endpoint, which allows users to retrieve their email addresses associated with their account on GitHub.</t>
        </is>
      </c>
      <c r="I950" t="n">
        <v>0.004</v>
      </c>
      <c r="J950" t="n">
        <v>0.0615</v>
      </c>
      <c r="K950" t="n">
        <v>0.1181</v>
      </c>
      <c r="L950" t="inlineStr">
        <is>
          <t>The code defines a Java class called `MkUserEmails` that implements the `UserEmails` interface from the `com.jcabi.github` package. It is part of a larger system for creating mock objects used for testing purposes.
The class has several important features:
* It uses Lombok annotations to automatically generate getters and setters for its</t>
        </is>
      </c>
      <c r="M950" t="n">
        <v>0.0043</v>
      </c>
      <c r="N950" t="n">
        <v>0.0667</v>
      </c>
      <c r="O950" t="n">
        <v>0.122</v>
      </c>
    </row>
    <row r="951">
      <c r="A951" t="inlineStr">
        <is>
          <t>jcabi</t>
        </is>
      </c>
      <c r="B951" t="inlineStr">
        <is>
          <t>src/main/java/com/jcabi/github/mock/MkContents.java</t>
        </is>
      </c>
      <c r="C951">
        <f>HYPERLINK("https://github.com/jcabi/jcabi-github/blob/master/src/main/java/com/jcabi/github/mock/MkContents.java")</f>
        <v/>
      </c>
      <c r="D951" t="inlineStr">
        <is>
          <t>The `MkContents` class is a mock implementation of the `Contents` interface in the `com.jcabi.github.mock` package. It provides a simple way to create a new instance of the `Contents` object for testing purposes.
The constructor takes two parameters: `storage` which is an instance of the `Storage` interface and `self` which is</t>
        </is>
      </c>
      <c r="E951" t="n">
        <v>0.0037</v>
      </c>
      <c r="F951" t="n">
        <v>0.06560000000000001</v>
      </c>
      <c r="G951" t="n">
        <v>0.082</v>
      </c>
      <c r="H951" t="inlineStr">
        <is>
          <t>This is a Java library for mocking the GitHub API. It provides a set of classes that implement the `Contents` interface from the `com.jcabi.github` package, which allows you to interact with files on GitHub repositories. The `MkContents` class in particular is a concrete implementation of this interface that provides methods for creating, updating, and deleting file content on GitHub</t>
        </is>
      </c>
      <c r="I951" t="n">
        <v>0.0037</v>
      </c>
      <c r="J951" t="n">
        <v>0.08699999999999999</v>
      </c>
      <c r="K951" t="n">
        <v>0.1145</v>
      </c>
      <c r="L951" t="inlineStr">
        <is>
          <t>The provided code is a Java implementation of a mock GitHub content service, which provides a simple API for interacting with GitHub repositories' contents. It uses the JCABI library for creating immutable objects and the Apache Commons Lang library for generating random strings.
The `MkContents` class implements the `Contents` interface from the JCABI library and provides methods for retr</t>
        </is>
      </c>
      <c r="M951" t="n">
        <v>0.0037</v>
      </c>
      <c r="N951" t="n">
        <v>0.0597</v>
      </c>
      <c r="O951" t="n">
        <v>0.1145</v>
      </c>
    </row>
    <row r="952">
      <c r="A952" t="inlineStr">
        <is>
          <t>jcabi</t>
        </is>
      </c>
      <c r="B952" t="inlineStr">
        <is>
          <t>src/main/java/com/jcabi/github/mock/MkIssue.java</t>
        </is>
      </c>
      <c r="C952">
        <f>HYPERLINK("https://github.com/jcabi/jcabi-github/blob/master/src/main/java/com/jcabi/github/mock/MkIssue.java")</f>
        <v/>
      </c>
      <c r="D952" t="inlineStr">
        <is>
          <t>This is a Java class that implements the `com.jcabi.github.Issue` interface from the Javabuilders library. It provides a mock implementation of a Github issue, which can be used for testing purposes. The class has several methods that allow you to interact with the issue, such as adding labels, comments, and reactions. It also includes</t>
        </is>
      </c>
      <c r="E952" t="n">
        <v>0.0045</v>
      </c>
      <c r="F952" t="n">
        <v>0.09379999999999999</v>
      </c>
      <c r="G952" t="n">
        <v>0.16</v>
      </c>
      <c r="H952" t="inlineStr">
        <is>
          <t>This is a Java library for mocking GitHub issues. It provides a class called `MockIssue` that implements the `Issue` interface from the `com.jcabi.github` package. The `MockIssue` class has several methods that allow you to set up various properties of the issue, such as its title, body, labels, comments, etc</t>
        </is>
      </c>
      <c r="I952" t="n">
        <v>0.0045</v>
      </c>
      <c r="J952" t="n">
        <v>0.0678</v>
      </c>
      <c r="K952" t="n">
        <v>0.08260000000000001</v>
      </c>
      <c r="L952" t="inlineStr">
        <is>
          <t>The provided code is part of a Java library for interacting with the GitHub API. It defines a class called `MockIssue` that implements the `Issue` interface from the same library. The class provides a mock implementation of the `Issue` interface, which allows developers to test their applications without making actual requests to the GitHub API.
The `MockI</t>
        </is>
      </c>
      <c r="M952" t="n">
        <v>0.0032</v>
      </c>
      <c r="N952" t="n">
        <v>0.0308</v>
      </c>
      <c r="O952" t="n">
        <v>0.0775</v>
      </c>
    </row>
    <row r="953">
      <c r="A953" t="inlineStr">
        <is>
          <t>jcabi</t>
        </is>
      </c>
      <c r="B953" t="inlineStr">
        <is>
          <t>src/main/java/com/jcabi/github/mock/MkContent.java</t>
        </is>
      </c>
      <c r="C953">
        <f>HYPERLINK("https://github.com/jcabi/jcabi-github/blob/master/src/main/java/com/jcabi/github/mock/MkContent.java")</f>
        <v/>
      </c>
      <c r="D953" t="inlineStr">
        <is>
          <t>The `MkContent` class is a mock implementation of the `Content` interface from the `com.jcabi.github` package. It provides a simple way to create and manage contents on a GitHub repository using the `MkStorage` object.
The constructor takes three parameters:
* `storage`: An instance of `MkStorage`, which represents the underlying</t>
        </is>
      </c>
      <c r="E953" t="n">
        <v>0.0038</v>
      </c>
      <c r="F953" t="n">
        <v>0.0702</v>
      </c>
      <c r="G953" t="n">
        <v>0.125</v>
      </c>
      <c r="H953" t="inlineStr">
        <is>
          <t>This is a Java implementation of a mock GitHub content object. It provides methods for interacting with the content of a GitHub repository, such as reading and writing files, creating new content, and deleting existing content. The class is annotated with various Lombok annotations to make it easier to work with, including `@Immutable`, `@Loggable`, and `@ToString`.
The constructor takes three</t>
        </is>
      </c>
      <c r="I953" t="n">
        <v>0.0036</v>
      </c>
      <c r="J953" t="n">
        <v>0.0882</v>
      </c>
      <c r="K953" t="n">
        <v>0.1515</v>
      </c>
      <c r="L953" t="inlineStr">
        <is>
          <t>The provided code is part of a Java library for mocking the GitHub API. It defines a `MkContent` class that represents a content object in a GitHub repository. The class has several methods for interacting with the content, such as retrieving its path, updating its contents, and deleting it. The class also includes annotations for logging and immutability.
The overall purpose</t>
        </is>
      </c>
      <c r="M953" t="n">
        <v>0.003</v>
      </c>
      <c r="N953" t="n">
        <v>0.029</v>
      </c>
      <c r="O953" t="n">
        <v>0.0752</v>
      </c>
    </row>
    <row r="954">
      <c r="A954" t="inlineStr">
        <is>
          <t>jcabi</t>
        </is>
      </c>
      <c r="B954" t="inlineStr">
        <is>
          <t>src/main/java/com/jcabi/github/mock/MkLimits.java</t>
        </is>
      </c>
      <c r="C954">
        <f>HYPERLINK("https://github.com/jcabi/jcabi-github/blob/master/src/main/java/com/jcabi/github/mock/MkLimits.java")</f>
        <v/>
      </c>
      <c r="D954" t="inlineStr">
        <is>
          <t>The `MkLimits` class is a mock implementation of the `Limits` interface from the `com.jcabi.github` package. It provides a simple way to simulate rate limiting behavior for testing purposes.
The constructor takes two parameters:
* `stg`: A reference to an instance of `MkStorage`, which is used to</t>
        </is>
      </c>
      <c r="E954" t="n">
        <v>0</v>
      </c>
      <c r="F954" t="n">
        <v>0.0364</v>
      </c>
      <c r="G954" t="n">
        <v>0.0847</v>
      </c>
      <c r="H954" t="inlineStr">
        <is>
          <t>This is a Java implementation of the GitHub Rate Limit API using the JCABI library. The `MkLimits` class provides a mock implementation of the limits API for testing purposes. It has several methods that allow you to retrieve information about your rate limit status and reset time. The class also includes a constructor that takes a `MkStorage` object as an argument</t>
        </is>
      </c>
      <c r="I954" t="n">
        <v>0.0036</v>
      </c>
      <c r="J954" t="n">
        <v>0.08699999999999999</v>
      </c>
      <c r="K954" t="n">
        <v>0.1504</v>
      </c>
      <c r="L954" t="inlineStr">
        <is>
          <t>The provided code is part of a mock implementation of the GitHub API for rate limiting. It defines a `MkLimits` class that provides methods for retrieving and manipulating rate limits associated with a specific GitHub user account.
The `MkLimits` class has several important responsibilities:
* It stores references to the underlying `MkStorage</t>
        </is>
      </c>
      <c r="M954" t="n">
        <v>0.0035</v>
      </c>
      <c r="N954" t="n">
        <v>0.0678</v>
      </c>
      <c r="O954" t="n">
        <v>0.121</v>
      </c>
    </row>
    <row r="955">
      <c r="A955" t="inlineStr">
        <is>
          <t>jcabi</t>
        </is>
      </c>
      <c r="B955" t="inlineStr">
        <is>
          <t>src/main/java/com/jcabi/github/mock/MkDeployKey.java</t>
        </is>
      </c>
      <c r="C955">
        <f>HYPERLINK("https://github.com/jcabi/jcabi-github/blob/master/src/main/java/com/jcabi/github/mock/MkDeployKey.java")</f>
        <v/>
      </c>
      <c r="D955" t="inlineStr">
        <is>
          <t>The `MkDeployKey` class is a mock implementation of the `DeployKey` interface in the `com.jcabi.github.mock` package. It provides a simple way to create a new instance of a `DeployKey` object for testing purposes.
The constructor takes three arguments:
* `stg`: A reference to the `M</t>
        </is>
      </c>
      <c r="E955" t="n">
        <v>0</v>
      </c>
      <c r="F955" t="n">
        <v>0.037</v>
      </c>
      <c r="G955" t="n">
        <v>0.0431</v>
      </c>
      <c r="H955" t="inlineStr">
        <is>
          <t>This is a Java implementation of a mock GitHub deploy key for testing purposes. It provides a way to simulate the behavior of a real GitHub deploy key by storing information about it in memory. The `MkDeployKey` class has several methods that allow you to interact with the deploy key, such as getting its ID, updating its permissions, or deleting it. It also includes annotations like `@</t>
        </is>
      </c>
      <c r="I955" t="n">
        <v>0.0027</v>
      </c>
      <c r="J955" t="n">
        <v>0.0541</v>
      </c>
      <c r="K955" t="n">
        <v>0.07190000000000001</v>
      </c>
      <c r="L955" t="inlineStr">
        <is>
          <t>The provided code is part of a Java library for mocking the GitHub API. It defines a `MkDeployKey` class that represents a deploy key in a GitHub repository. The class has several fields and methods related to managing the deployment key, such as getting its ID, deleting it, and updating its permissions.
The constructor takes three parameters:
* `st</t>
        </is>
      </c>
      <c r="M955" t="n">
        <v>0.0031</v>
      </c>
      <c r="N955" t="n">
        <v>0.0303</v>
      </c>
      <c r="O955" t="n">
        <v>0.07630000000000001</v>
      </c>
    </row>
    <row r="956">
      <c r="A956" t="inlineStr">
        <is>
          <t>jcabi</t>
        </is>
      </c>
      <c r="B956" t="inlineStr">
        <is>
          <t>src/main/java/com/jcabi/github/mock/MkDeployKeys.java</t>
        </is>
      </c>
      <c r="C956">
        <f>HYPERLINK("https://github.com/jcabi/jcabi-github/blob/master/src/main/java/com/jcabi/github/mock/MkDeployKeys.java")</f>
        <v/>
      </c>
      <c r="D956" t="inlineStr">
        <is>
          <t>The `MkDeployKeys` class is a mock implementation of the `DeployKeys` interface from the `com.jcabi.github` package. It provides a simple in-memory representation of a collection of deploy keys for a given repository.
The constructor takes two parameters:
* `storage`: An instance of `MkStorage`, which represents the underlying</t>
        </is>
      </c>
      <c r="E956" t="n">
        <v>0</v>
      </c>
      <c r="F956" t="n">
        <v>0.0357</v>
      </c>
      <c r="G956" t="n">
        <v>0.0424</v>
      </c>
      <c r="H956" t="inlineStr">
        <is>
          <t>This is a Java implementation of the `MkDeployKeys` interface from the `com.jcabi.github.mock` package. It provides a mock implementation of the `DeployKeys` interface, which allows you to create, read, update, and delete deploy keys in a GitHub repository. The implementation uses the `MkStorage` class as its underlying data store,</t>
        </is>
      </c>
      <c r="I956" t="n">
        <v>0.0045</v>
      </c>
      <c r="J956" t="n">
        <v>0.1017</v>
      </c>
      <c r="K956" t="n">
        <v>0.1667</v>
      </c>
      <c r="L956" t="inlineStr">
        <is>
          <t>The code defines a class called `MkDeployKeys` that implements the `DeployKeys` interface from the `com.jcabi.github` package. It is a mock implementation of the `DeployKeys` interface, which allows you to simulate the behavior of a real deployment key object in a test environment.
The class has several fields and methods, including:</t>
        </is>
      </c>
      <c r="M956" t="n">
        <v>0.0044</v>
      </c>
      <c r="N956" t="n">
        <v>0.0667</v>
      </c>
      <c r="O956" t="n">
        <v>0.082</v>
      </c>
    </row>
    <row r="957">
      <c r="A957" t="inlineStr">
        <is>
          <t>jcabi</t>
        </is>
      </c>
      <c r="B957" t="inlineStr">
        <is>
          <t>src/main/java/com/jcabi/github/mock/MkCheck.java</t>
        </is>
      </c>
      <c r="C957">
        <f>HYPERLINK("https://github.com/jcabi/jcabi-github/blob/master/src/main/java/com/jcabi/github/mock/MkCheck.java")</f>
        <v/>
      </c>
      <c r="D957" t="inlineStr">
        <is>
          <t>The `MkCheck` class is a mock implementation of the `Check` interface in the `com.jcabi.github` package. It provides a simple way to create a new check for a given pull request in a GitHub repository.
The constructor takes four parameters:
* `stg`: An instance of `MkStorage`, which represents the underlying storage mechanism</t>
        </is>
      </c>
      <c r="E957" t="n">
        <v>0</v>
      </c>
      <c r="F957" t="n">
        <v>0.0333</v>
      </c>
      <c r="G957" t="n">
        <v>0.0407</v>
      </c>
      <c r="H957" t="inlineStr">
        <is>
          <t>The provided code is part of a Java library for mocking GitHub API interactions called "JGitHub". It defines a class called `MkCheck` that represents a mock implementation of the `Check` interface from the GitHub API.
The constructor takes four parameters:
* `stg`: An instance of `MkStorage`, which provides access to the underlying data storage used</t>
        </is>
      </c>
      <c r="I957" t="n">
        <v>0</v>
      </c>
      <c r="J957" t="n">
        <v>0.0323</v>
      </c>
      <c r="K957" t="n">
        <v>0.07870000000000001</v>
      </c>
      <c r="L957" t="inlineStr">
        <is>
          <t>The provided code is part of a mock implementation of the GitHub API using the JCABI library. It defines a `MkCheck` class that represents a check (a status update for a specific commit) within a repository.
The class has several fields and methods, including:
* A constructor that takes a `MkStorage`, `Coordinates`, `Pull</t>
        </is>
      </c>
      <c r="M957" t="n">
        <v>0.0035</v>
      </c>
      <c r="N957" t="n">
        <v>0.0667</v>
      </c>
      <c r="O957" t="n">
        <v>0.12</v>
      </c>
    </row>
    <row r="958">
      <c r="A958" t="inlineStr">
        <is>
          <t>jcabi</t>
        </is>
      </c>
      <c r="B958" t="inlineStr">
        <is>
          <t>src/main/java/com/jcabi/github/mock/MkIterable.java</t>
        </is>
      </c>
      <c r="C958">
        <f>HYPERLINK("https://github.com/jcabi/jcabi-github/blob/master/src/main/java/com/jcabi/github/mock/MkIterable.java")</f>
        <v/>
      </c>
      <c r="D958" t="inlineStr">
        <is>
          <t>The `MkIterable` class is a mock implementation of an `Iterable` interface that provides a way to iterate over a collection of objects in memory. It takes three parameters in its constructor:
* `stg`: An instance of `MkStorage`, which represents the underlying storage for the data being iterated over.
* `path`: A string representing the X</t>
        </is>
      </c>
      <c r="E958" t="n">
        <v>0</v>
      </c>
      <c r="F958" t="n">
        <v>0.0328</v>
      </c>
      <c r="G958" t="n">
        <v>0.0394</v>
      </c>
      <c r="H958" t="inlineStr">
        <is>
          <t>The provided code is a Java implementation of an `MkIterable` class that represents a mock iterable object in a GitHub API client library called JCABI. It has several responsibilities, including:
* Storing a reference to a `MkStorage` instance, which provides access to the underlying data storage for the GitHub API.
* Storing a string</t>
        </is>
      </c>
      <c r="I958" t="n">
        <v>0</v>
      </c>
      <c r="J958" t="n">
        <v>0.0333</v>
      </c>
      <c r="K958" t="n">
        <v>0.0397</v>
      </c>
      <c r="L958" t="inlineStr">
        <is>
          <t>The provided code is part of a Java library for mocking GitHub API interactions. It represents a custom implementation of the `Iterable` interface that allows users to iterate over a collection of items stored in memory.
The constructor takes three parameters:
* `stg`: An instance of `MkStorage`, which provides access to the underlying data storage used by the mocked API</t>
        </is>
      </c>
      <c r="M958" t="n">
        <v>0</v>
      </c>
      <c r="N958" t="n">
        <v>0.0299</v>
      </c>
      <c r="O958" t="n">
        <v>0.07580000000000001</v>
      </c>
    </row>
    <row r="959">
      <c r="A959" t="inlineStr">
        <is>
          <t>jcabi</t>
        </is>
      </c>
      <c r="B959" t="inlineStr">
        <is>
          <t>src/main/java/com/jcabi/github/mock/MkRepoCommits.java</t>
        </is>
      </c>
      <c r="C959">
        <f>HYPERLINK("https://github.com/jcabi/jcabi-github/blob/master/src/main/java/com/jcabi/github/mock/MkRepoCommits.java")</f>
        <v/>
      </c>
      <c r="D959" t="inlineStr">
        <is>
          <t>This is a mock implementation of the `RepoCommits` interface from the `com.jcabi.github` package. It provides a way to interact with the commits of a GitHub repository. The `MkRepoCommits` class has several important methods that allow you to retrieve information about the commits, create new commits, and compare different sets of commits.
Here</t>
        </is>
      </c>
      <c r="E959" t="n">
        <v>0.0042</v>
      </c>
      <c r="F959" t="n">
        <v>0.0968</v>
      </c>
      <c r="G959" t="n">
        <v>0.121</v>
      </c>
      <c r="H959" t="inlineStr">
        <is>
          <t>The `MkRepoCommits` class is a mock implementation of the `RepoCommits` interface from the `com.jcabi.github` package. It provides methods for retrieving information about commits in a GitHub repository.
The constructor takes three parameters:
* `storage`: An instance of `MkStorage`, which represents the underlying storage layer for</t>
        </is>
      </c>
      <c r="I959" t="n">
        <v>0</v>
      </c>
      <c r="J959" t="n">
        <v>0.037</v>
      </c>
      <c r="K959" t="n">
        <v>0.0427</v>
      </c>
      <c r="L959" t="inlineStr">
        <is>
          <t>The code defines a mock implementation of the `RepoCommits` interface from the `com.jcabi.github` package. It provides methods for retrieving and manipulating the commits of a GitHub repository.
The class is annotated with `@Immutable`, indicating that it is immutable and cannot be modified after creation. It also has the `@Loggable` annotation,</t>
        </is>
      </c>
      <c r="M959" t="n">
        <v>0.0037</v>
      </c>
      <c r="N959" t="n">
        <v>0.0667</v>
      </c>
      <c r="O959" t="n">
        <v>0.082</v>
      </c>
    </row>
    <row r="960">
      <c r="A960" t="inlineStr">
        <is>
          <t>jcabi</t>
        </is>
      </c>
      <c r="B960" t="inlineStr">
        <is>
          <t>src/main/java/com/jcabi/github/mock/MkEvent.java</t>
        </is>
      </c>
      <c r="C960">
        <f>HYPERLINK("https://github.com/jcabi/jcabi-github/blob/master/src/main/java/com/jcabi/github/mock/MkEvent.java")</f>
        <v/>
      </c>
      <c r="D960" t="inlineStr">
        <is>
          <t>The `MkEvent` class is a mock implementation of the `Event` interface from the `com.jcabi.github` package. It provides a way to create and interact with events on a GitHub repository.
The constructor takes a `MkStorage` object as its argument, which represents the underlying data storage for the events.
The `MkEvent`</t>
        </is>
      </c>
      <c r="E960" t="n">
        <v>0.0037</v>
      </c>
      <c r="F960" t="n">
        <v>0.0678</v>
      </c>
      <c r="G960" t="n">
        <v>0.08260000000000001</v>
      </c>
      <c r="H960" t="inlineStr">
        <is>
          <t>This is a Java implementation of a mock GitHub event for testing purposes. It provides methods to create, update, and delete events, as well as accessors for various properties such as login, created at, and event type. The class also has Lombok annotations for immutability and logging.</t>
        </is>
      </c>
      <c r="I960" t="n">
        <v>0.0046</v>
      </c>
      <c r="J960" t="n">
        <v>0.1091</v>
      </c>
      <c r="K960" t="n">
        <v>0.1261</v>
      </c>
      <c r="L960" t="inlineStr">
        <is>
          <t>The provided code is part of a Java library for mocking the GitHub API. It defines a `MkEvent` class that represents a GitHub event, which can be used to simulate different types of events happening in a GitHub repository.
The `MkEvent` class has several fields, including `CREATED_AT`, `EVENT`, and `LOGIN`. These fields represent</t>
        </is>
      </c>
      <c r="M960" t="n">
        <v>0.0035</v>
      </c>
      <c r="N960" t="n">
        <v>0.0323</v>
      </c>
      <c r="O960" t="n">
        <v>0.08</v>
      </c>
    </row>
    <row r="961">
      <c r="A961" t="inlineStr">
        <is>
          <t>jcabi</t>
        </is>
      </c>
      <c r="B961" t="inlineStr">
        <is>
          <t>src/main/java/com/jcabi/github/mock/MkCommit.java</t>
        </is>
      </c>
      <c r="C961">
        <f>HYPERLINK("https://github.com/jcabi/jcabi-github/blob/master/src/main/java/com/jcabi/github/mock/MkCommit.java")</f>
        <v/>
      </c>
      <c r="D961" t="inlineStr">
        <is>
          <t>This is a Java implementation of the `MkCommit` class, which represents a mocked GitHub commit object. It has several fields that store information about the commit, such as its SHA, login of the user who made it, repo coordinates, and storage instance. The class also provides methods for retrieving information about the commit, such as getting its SHA or author. Additionally</t>
        </is>
      </c>
      <c r="E961" t="n">
        <v>0.0036</v>
      </c>
      <c r="F961" t="n">
        <v>0.08699999999999999</v>
      </c>
      <c r="G961" t="n">
        <v>0.1128</v>
      </c>
      <c r="H961" t="inlineStr">
        <is>
          <t>This is a Java package for mocking GitHub commits. It provides a `MkCommit` class that can be used to create a mock commit object with a specific set of attributes, such as the commit message, author, and timestamp. The `MkCommit` class also has methods for retrieving information about the commit, such as its SHA hash, parent commits, and</t>
        </is>
      </c>
      <c r="I961" t="n">
        <v>0.0037</v>
      </c>
      <c r="J961" t="n">
        <v>0.0606</v>
      </c>
      <c r="K961" t="n">
        <v>0.1154</v>
      </c>
      <c r="L961" t="inlineStr">
        <is>
          <t>The provided code is part of a Java library for interacting with GitHub API. It defines a mock implementation of the `Commit` interface from the `com.jcabi.github` package. The `MkCommit` class provides a simplified representation of a GitHub commit, allowing developers to easily create test fixtures for their applications without requiring access to a real GitHub account.</t>
        </is>
      </c>
      <c r="M961" t="n">
        <v>0</v>
      </c>
      <c r="N961" t="n">
        <v>0.0303</v>
      </c>
      <c r="O961" t="n">
        <v>0.0781</v>
      </c>
    </row>
    <row r="962">
      <c r="A962" t="inlineStr">
        <is>
          <t>jcabi</t>
        </is>
      </c>
      <c r="B962" t="inlineStr">
        <is>
          <t>src/main/java/com/jcabi/github/mock/MkMilestones.java</t>
        </is>
      </c>
      <c r="C962">
        <f>HYPERLINK("https://github.com/jcabi/jcabi-github/blob/master/src/main/java/com/jcabi/github/mock/MkMilestones.java")</f>
        <v/>
      </c>
      <c r="D962" t="inlineStr">
        <is>
          <t>The `MkMilestones` class is a mock implementation of the `Milestones` interface from the `com.jcabi.github` package. It provides a simple in-memory representation of GitHub milestones, allowing you to create, update, and delete milestones programmatically.
The class has several important methods that allow you to interact with the underlying</t>
        </is>
      </c>
      <c r="E962" t="n">
        <v>0.0039</v>
      </c>
      <c r="F962" t="n">
        <v>0.06900000000000001</v>
      </c>
      <c r="G962" t="n">
        <v>0.08400000000000001</v>
      </c>
      <c r="H962" t="inlineStr">
        <is>
          <t>This is a Java implementation of the `MkMilestones` interface from the `com.jcabi.github.mock` package. It provides a mock implementation of the `Milestones` interface, which represents a collection of milestones in a GitHub repository. The implementation uses the `MkStorage` class to store data about the milestones and the `Co</t>
        </is>
      </c>
      <c r="I962" t="n">
        <v>0.0046</v>
      </c>
      <c r="J962" t="n">
        <v>0.1034</v>
      </c>
      <c r="K962" t="n">
        <v>0.1681</v>
      </c>
      <c r="L962" t="inlineStr">
        <is>
          <t>The provided code is part of a Java library that provides a mock implementation of the GitHub API. It defines a class called `MkMilestones` that implements the `Milestones` interface from the same library.
The `MkMilestones` class has several responsibilities, including:
* Storing data about milestones in memory using a `</t>
        </is>
      </c>
      <c r="M962" t="n">
        <v>0.0037</v>
      </c>
      <c r="N962" t="n">
        <v>0.0357</v>
      </c>
      <c r="O962" t="n">
        <v>0.082</v>
      </c>
    </row>
    <row r="963">
      <c r="A963" t="inlineStr">
        <is>
          <t>jcabi</t>
        </is>
      </c>
      <c r="B963" t="inlineStr">
        <is>
          <t>src/main/java/com/jcabi/github/mock/MkPublicKey.java</t>
        </is>
      </c>
      <c r="C963">
        <f>HYPERLINK("https://github.com/jcabi/jcabi-github/blob/master/src/main/java/com/jcabi/github/mock/MkPublicKey.java")</f>
        <v/>
      </c>
      <c r="D963" t="inlineStr">
        <is>
          <t>The `MkPublicKey` class is a mock implementation of the `PublicKey` interface from the `com.jcabi.github` package. It provides a simple way to create and manage public keys for users on GitHub.
The constructor takes three parameters:
* `stg`: An instance of `MkStorage`, which represents the underlying storage system used by</t>
        </is>
      </c>
      <c r="E963" t="n">
        <v>0.0037</v>
      </c>
      <c r="F963" t="n">
        <v>0.06900000000000001</v>
      </c>
      <c r="G963" t="n">
        <v>0.124</v>
      </c>
      <c r="H963" t="inlineStr">
        <is>
          <t>This is a Java implementation of a mock GitHub public key object that provides methods for retrieving information about a public key associated with a GitHub account. The `MkPublicKey` class has several fields and methods, including constructors, getters, setters, and utility methods. It also includes annotations such as `@Immutable`, `@Loggable`, and `@ToString`.
The `</t>
        </is>
      </c>
      <c r="I963" t="n">
        <v>0.004</v>
      </c>
      <c r="J963" t="n">
        <v>0.0984</v>
      </c>
      <c r="K963" t="n">
        <v>0.119</v>
      </c>
      <c r="L963" t="inlineStr">
        <is>
          <t>The code is part of a Java library for mocking the GitHub API. It defines a class called `MkPublicKey` that represents a public key used by a GitHub user. The class has several fields and methods, including constructors, getters, setters, and other utility functions.
The primary purpose of the code appears to be to provide a way to create and manipulate</t>
        </is>
      </c>
      <c r="M963" t="n">
        <v>0.003</v>
      </c>
      <c r="N963" t="n">
        <v>0.058</v>
      </c>
      <c r="O963" t="n">
        <v>0.0752</v>
      </c>
    </row>
    <row r="964">
      <c r="A964" t="inlineStr">
        <is>
          <t>jcabi</t>
        </is>
      </c>
      <c r="B964" t="inlineStr">
        <is>
          <t>src/main/java/com/jcabi/github/mock/MkReleaseAsset.java</t>
        </is>
      </c>
      <c r="C964">
        <f>HYPERLINK("https://github.com/jcabi/jcabi-github/blob/master/src/main/java/com/jcabi/github/mock/MkReleaseAsset.java")</f>
        <v/>
      </c>
      <c r="D964" t="inlineStr">
        <is>
          <t>The `MkReleaseAsset` class is a mock implementation of the `ReleaseAsset` interface from the `com.jcabi.github` package. It provides a simple way to create a new release asset for a given repository.
The constructor takes three parameters:
* `storage`: An instance of `MkStorage`, which represents the underlying data storage used by this</t>
        </is>
      </c>
      <c r="E964" t="n">
        <v>0</v>
      </c>
      <c r="F964" t="n">
        <v>0.0339</v>
      </c>
      <c r="G964" t="n">
        <v>0.123</v>
      </c>
      <c r="H964" t="inlineStr">
        <is>
          <t>This is a Java library for creating mock objects that mimic the behavior of real GitHub assets. The library provides a `MkReleaseAsset` class that can be used to create instances of this type of object. It has several fields that store information about the asset, such as its ID, name, and content. It also has methods for interacting with the underlying storage system and retr</t>
        </is>
      </c>
      <c r="I964" t="n">
        <v>0.0033</v>
      </c>
      <c r="J964" t="n">
        <v>0.0548</v>
      </c>
      <c r="K964" t="n">
        <v>0.1095</v>
      </c>
      <c r="L964" t="inlineStr">
        <is>
          <t>The provided code is part of a Java library for mocking the GitHub API. It defines a `MkReleaseAsset` class that represents a mocked release asset within the GitHub API. The class has several methods for interacting with the asset, such as uploading content, getting the asset's URL, and deleting the asset.
The class also includes annotations from the Lombok</t>
        </is>
      </c>
      <c r="M964" t="n">
        <v>0.0031</v>
      </c>
      <c r="N964" t="n">
        <v>0.0294</v>
      </c>
      <c r="O964" t="n">
        <v>0.07630000000000001</v>
      </c>
    </row>
    <row r="965">
      <c r="A965" t="inlineStr">
        <is>
          <t>jcabi</t>
        </is>
      </c>
      <c r="B965" t="inlineStr">
        <is>
          <t>src/main/java/com/jcabi/github/mock/MkTags.java</t>
        </is>
      </c>
      <c r="C965">
        <f>HYPERLINK("https://github.com/jcabi/jcabi-github/blob/master/src/main/java/com/jcabi/github/mock/MkTags.java")</f>
        <v/>
      </c>
      <c r="D965" t="inlineStr">
        <is>
          <t>The `MkTags` class is a mock implementation of the `Tags` interface from the `com.jcabi.github` package. It provides a simple in-memory representation of tags for a given GitHub repository.
The constructor takes two parameters:
* `storage`: An instance of `MkStorage`, which represents the underlying data storage used by this object.</t>
        </is>
      </c>
      <c r="E965" t="n">
        <v>0</v>
      </c>
      <c r="F965" t="n">
        <v>0.0339</v>
      </c>
      <c r="G965" t="n">
        <v>0.124</v>
      </c>
      <c r="H965" t="inlineStr">
        <is>
          <t>This is a Java implementation of the `com.jcabi.github.mock` package, which provides a mocking framework for testing purposes. The package includes several classes that implement various aspects of the GitHub API, including the `MkTags` class you mentioned.
The `MkTags` class is a mock implementation of the `com.jcabi.github.</t>
        </is>
      </c>
      <c r="I965" t="n">
        <v>0.004</v>
      </c>
      <c r="J965" t="n">
        <v>0.0678</v>
      </c>
      <c r="K965" t="n">
        <v>0.0847</v>
      </c>
      <c r="L965" t="inlineStr">
        <is>
          <t>The code defines a mock implementation of the `com.jcabi.github.Tags` interface for use in testing purposes. It provides a simple way to create and manipulate tags within a GitHub repository.
The `MkTags` class is annotated with `@Immutable`, indicating that it is immutable and thread-safe. It also includes the `@Loggable` annotation,</t>
        </is>
      </c>
      <c r="M965" t="n">
        <v>0.0037</v>
      </c>
      <c r="N965" t="n">
        <v>0.06560000000000001</v>
      </c>
      <c r="O965" t="n">
        <v>0.124</v>
      </c>
    </row>
    <row r="966">
      <c r="A966" t="inlineStr">
        <is>
          <t>jcabi</t>
        </is>
      </c>
      <c r="B966" t="inlineStr">
        <is>
          <t>src/main/java/com/jcabi/github/mock/package-info.java</t>
        </is>
      </c>
      <c r="C966">
        <f>HYPERLINK("https://github.com/jcabi/jcabi-github/blob/master/src/main/java/com/jcabi/github/mock/package-info.java")</f>
        <v/>
      </c>
      <c r="D966" t="inlineStr">
        <is>
          <t>The provided code is a Java implementation of a mock GitHub server using the JCABI library. It provides a simple way to test GitHub API clients without relying on a real GitHub instance. The code defines a `MockGitHub` class that extends the `JCabiGitHub` interface and overrides its methods to return predefined data. This allows developers to write unit tests for</t>
        </is>
      </c>
      <c r="E966" t="n">
        <v>0.0036</v>
      </c>
      <c r="F966" t="n">
        <v>0.0588</v>
      </c>
      <c r="G966" t="n">
        <v>0.1515</v>
      </c>
      <c r="H966" t="inlineStr">
        <is>
          <t>This is a Java package called "com.jcabi.github.mock" that provides a mock implementation of a GitHub server for testing purposes. The package includes a single class called "MockGitHub", which implements the interface "Github". The README file describes this project as being used to provide a backend for GitHub API requests. The complexity of the code is O(N</t>
        </is>
      </c>
      <c r="I966" t="n">
        <v>0.0039</v>
      </c>
      <c r="J966" t="n">
        <v>0.0588</v>
      </c>
      <c r="K966" t="n">
        <v>0.1172</v>
      </c>
      <c r="L966" t="inlineStr">
        <is>
          <t>The provided code is part of a mock implementation of the GitHub API for testing purposes. It appears to be written in Java and provides a set of classes that implement various aspects of the GitHub API, such as repositories, issues, and users. The code also includes comments and documentation, including a license header and a package description.</t>
        </is>
      </c>
      <c r="M966" t="n">
        <v>0.0031</v>
      </c>
      <c r="N966" t="n">
        <v>0.0606</v>
      </c>
      <c r="O966" t="n">
        <v>0.1154</v>
      </c>
    </row>
    <row r="967">
      <c r="A967" t="inlineStr">
        <is>
          <t>jcabi</t>
        </is>
      </c>
      <c r="B967" t="inlineStr">
        <is>
          <t>src/main/java/com/jcabi/github/mock/MkPulls.java</t>
        </is>
      </c>
      <c r="C967">
        <f>HYPERLINK("https://github.com/jcabi/jcabi-github/blob/master/src/main/java/com/jcabi/github/mock/MkPulls.java")</f>
        <v/>
      </c>
      <c r="D967" t="inlineStr">
        <is>
          <t>This is a Java implementation of the `Pulls` interface from the `com.jcabi.github` package. It provides a mock implementation of the Github API for working with pull requests.
The main method that this class exposes is `create()`, which creates a new pull request based on the specified parameters. It takes three arguments:
* `String title</t>
        </is>
      </c>
      <c r="E967" t="n">
        <v>0.0034</v>
      </c>
      <c r="F967" t="n">
        <v>0.0635</v>
      </c>
      <c r="G967" t="n">
        <v>0.119</v>
      </c>
      <c r="H967" t="inlineStr">
        <is>
          <t>This is a Java implementation of the `com.jcabi.github.Pulls` interface, which provides methods for interacting with GitHub pull requests. It includes several functionalities such as creating new pull requests, listing existing pull requests, updating pull request information, etc.
The implementation uses Lombok's `@Data`, `@EqualsAndHashCode`, and `@ToString`</t>
        </is>
      </c>
      <c r="I967" t="n">
        <v>0.0049</v>
      </c>
      <c r="J967" t="n">
        <v>0.1404</v>
      </c>
      <c r="K967" t="n">
        <v>0.1709</v>
      </c>
      <c r="L967" t="inlineStr">
        <is>
          <t>This is a Java implementation of the `Pulls` interface from the `com.jcabi.github` package, which provides a mock implementation for GitHub pull requests. It consists of several classes, including `MkPulls`, `MkPull`, and `MkComment`. The `MkPulls` class is responsible for managing the list of</t>
        </is>
      </c>
      <c r="M967" t="n">
        <v>0.0052</v>
      </c>
      <c r="N967" t="n">
        <v>0.1154</v>
      </c>
      <c r="O967" t="n">
        <v>0.1316</v>
      </c>
    </row>
    <row r="968">
      <c r="A968" t="inlineStr">
        <is>
          <t>okhttp</t>
        </is>
      </c>
      <c r="B968" t="inlineStr">
        <is>
          <t>android-test/src/test/kotlin/okhttp/android/test/AndroidSocketAdapterTest.kt</t>
        </is>
      </c>
      <c r="C968">
        <f>HYPERLINK("https://github.com/square/okhttp/blob/master/android-test/src/test/kotlin/okhttp/android/test/AndroidSocketAdapterTest.kt")</f>
        <v/>
      </c>
      <c r="D968" t="inlineStr">
        <is>
          <t>This code appears to be part of an Android app that uses OkHttp library for HTTP requests. It defines several classes related to SSL socket factories and adapters used in the app's networking stack. The main class `OkHttpClient` extends `okhttp3.OkHttpClient` and overrides its `newWebSocket` method to create a new instance of `WebSocket</t>
        </is>
      </c>
      <c r="E968" t="n">
        <v>0.0042</v>
      </c>
      <c r="F968" t="n">
        <v>0.0645</v>
      </c>
      <c r="G968" t="n">
        <v>0.121</v>
      </c>
      <c r="H968" t="inlineStr">
        <is>
          <t>This code defines a package called `okhttp.android.test` that provides various classes related to HTTP communication using the OkHttp library. The package includes several classes, including `OkHttpClient`, `OkHttpConnectionSpecific`, `OkHttpResponseCache`, `OkHttpRouteSelector`, `OkHttpUrlRequest`, and `OkHttpUrlStreamHandler`. These classes provide functionality for sending</t>
        </is>
      </c>
      <c r="I968" t="n">
        <v>0.0064</v>
      </c>
      <c r="J968" t="n">
        <v>0.0833</v>
      </c>
      <c r="K968" t="n">
        <v>0.1364</v>
      </c>
      <c r="L968" t="inlineStr">
        <is>
          <t>The code defines a custom SSL socket factory that uses Conscrypt as the underlying SSL implementation on Android devices. It provides a way to create SSLSockets using HTTP/2 protocol, which is useful for implementing secure communication over HTTP/2 connections. The class also includes some additional methods for creating sockets based on the HTTP/1.1 protocol. Overall, this code appears to</t>
        </is>
      </c>
      <c r="M968" t="n">
        <v>0</v>
      </c>
      <c r="N968" t="n">
        <v>0.0282</v>
      </c>
      <c r="O968" t="n">
        <v>0.1145</v>
      </c>
    </row>
    <row r="969">
      <c r="A969" t="inlineStr">
        <is>
          <t>okhttp</t>
        </is>
      </c>
      <c r="B969" t="inlineStr">
        <is>
          <t>android-test/src/test/kotlin/okhttp/android/test/AndroidLoggingTest.kt</t>
        </is>
      </c>
      <c r="C969">
        <f>HYPERLINK("https://github.com/square/okhttp/blob/master/android-test/src/test/kotlin/okhttp/android/test/AndroidLoggingTest.kt")</f>
        <v/>
      </c>
      <c r="D969" t="inlineStr">
        <is>
          <t>This code implements an Android app that uses OkHttp to make HTTP requests. It defines several classes and functions related to networking, including `OkHttpClient`, `Request`, and `Response`. The main class, `NetworkingActivity`, creates an instance of `OkHttpClient` and makes a request using it. The response is then logged to the console.</t>
        </is>
      </c>
      <c r="E969" t="n">
        <v>0.0048</v>
      </c>
      <c r="F969" t="n">
        <v>0.1379</v>
      </c>
      <c r="G969" t="n">
        <v>0.1639</v>
      </c>
      <c r="H969" t="inlineStr">
        <is>
          <t>This code appears to be part of a test suite for the OkHttp library, which is used for making HTTP requests in Android applications. The code defines several functions that perform various tasks related to HTTP requests, such as creating HTTP connections, sending requests, and handling responses.
The `add` function takes two integers as input and returns their sum. It does not appear to have any external</t>
        </is>
      </c>
      <c r="I969" t="n">
        <v>0.0032</v>
      </c>
      <c r="J969" t="n">
        <v>0.08</v>
      </c>
      <c r="K969" t="n">
        <v>0.1079</v>
      </c>
      <c r="L969" t="inlineStr">
        <is>
          <t>The provided code implements a test suite for the OkHttp library's Android integration. It uses the `OkHttpClient` class to send HTTP requests to a server and verifies that the responses contain the expected data. The test cases cover various scenarios such as successful request execution, connection timeouts, and unknown host exceptions.
The test suite also includes some additional features such as logging and</t>
        </is>
      </c>
      <c r="M969" t="n">
        <v>0.0034</v>
      </c>
      <c r="N969" t="n">
        <v>0.0556</v>
      </c>
      <c r="O969" t="n">
        <v>0.1111</v>
      </c>
    </row>
    <row r="970">
      <c r="A970" t="inlineStr">
        <is>
          <t>okhttp</t>
        </is>
      </c>
      <c r="B970" t="inlineStr">
        <is>
          <t>android-test/src/test/kotlin/okhttp/android/test/ShadowDnsResolver.kt</t>
        </is>
      </c>
      <c r="C970">
        <f>HYPERLINK("https://github.com/square/okhttp/blob/master/android-test/src/test/kotlin/okhttp/android/test/ShadowDnsResolver.kt")</f>
        <v/>
      </c>
      <c r="D970" t="inlineStr">
        <is>
          <t>The provided code defines a shadow class for `DnsResolver` that allows for customizing its behavior during testing using Robolectric. Specifically, it provides an implementation of `resolve()` method that can be used to return a list of IP addresses associated with a given hostname. This can be useful when testing network-related functionality without having to rely on actual DNS resolution.</t>
        </is>
      </c>
      <c r="E970" t="n">
        <v>0.0037</v>
      </c>
      <c r="F970" t="n">
        <v>0.0588</v>
      </c>
      <c r="G970" t="n">
        <v>0.1145</v>
      </c>
      <c r="H970" t="inlineStr">
        <is>
          <t>This code defines a shadow class for `DnsResolver` that allows for customization of DNS resolution behavior during testing using Robolectric. The class has a single method called `setResponder`, which takes an instance of a `DnsResponse` object as its argument. When `setResponder` is called, it sets the internal state of the shadow class to use the specified</t>
        </is>
      </c>
      <c r="I970" t="n">
        <v>0.0033</v>
      </c>
      <c r="J970" t="n">
        <v>0.0312</v>
      </c>
      <c r="K970" t="n">
        <v>0.0781</v>
      </c>
      <c r="L970" t="inlineStr">
        <is>
          <t>The provided code defines a shadow class for `DnsResolver` that overrides its methods for testing purposes using Robolectric. Specifically, it implements a custom DNS resolver that can be used to simulate different network conditions during tests. The shadow class includes a field `responder` which is used to define the behavior of the DNS resolver when queried.</t>
        </is>
      </c>
      <c r="M970" t="n">
        <v>0.0033</v>
      </c>
      <c r="N970" t="n">
        <v>0.0312</v>
      </c>
      <c r="O970" t="n">
        <v>0.0781</v>
      </c>
    </row>
    <row r="971">
      <c r="A971" t="inlineStr">
        <is>
          <t>okhttp</t>
        </is>
      </c>
      <c r="B971" t="inlineStr">
        <is>
          <t>android-test/src/test/kotlin/okhttp/android/test/BaseOkHttpClientUnitTest.kt</t>
        </is>
      </c>
      <c r="C971">
        <f>HYPERLINK("https://github.com/square/okhttp/blob/master/android-test/src/test/kotlin/okhttp/android/test/BaseOkHttpClientUnitTest.kt")</f>
        <v/>
      </c>
      <c r="D971" t="inlineStr">
        <is>
          <t>This code appears to be part of an Android application that uses OkHttp to make HTTP requests. It defines several classes and functions related to networking and caching. The main class, `okhttp.android.test`, has a single function called `main` which sets up an OkHttp client instance and makes a GET request to a specified URL. The response from the server is then cached using the</t>
        </is>
      </c>
      <c r="E971" t="n">
        <v>0.0034</v>
      </c>
      <c r="F971" t="n">
        <v>0.08110000000000001</v>
      </c>
      <c r="G971" t="n">
        <v>0.1103</v>
      </c>
      <c r="H971" t="inlineStr">
        <is>
          <t>This code implements a cache system using OkHttp3 library in Android. It provides a way to store data in a cache directory and retrieve it later. The main class `okhttp.android.test` has several methods that perform different operations such as adding new entries to the cache, retrieving existing entries, and removing them.
The code also includes comments explaining the purpose of each method</t>
        </is>
      </c>
      <c r="I971" t="n">
        <v>0.0039</v>
      </c>
      <c r="J971" t="n">
        <v>0.0833</v>
      </c>
      <c r="K971" t="n">
        <v>0.1493</v>
      </c>
      <c r="L971" t="inlineStr">
        <is>
          <t>The provided code defines a test suite for OkHttp's caching functionality using JUnit tests. It includes several unit tests that cover various aspects of the cache, such as storing and retrieving cached responses, handling cache invalidation, and ensuring that the cache adheres to the HTTP RFC standards.
The test suite uses the `OkHttpClient` class from the OkHttp</t>
        </is>
      </c>
      <c r="M971" t="n">
        <v>0.0038</v>
      </c>
      <c r="N971" t="n">
        <v>0.0606</v>
      </c>
      <c r="O971" t="n">
        <v>0.0775</v>
      </c>
    </row>
    <row r="972">
      <c r="A972" t="inlineStr">
        <is>
          <t>okhttp</t>
        </is>
      </c>
      <c r="B972" t="inlineStr">
        <is>
          <t>android-test/src/test/kotlin/okhttp/android/test/RobolectricOkHttpClientTest.kt</t>
        </is>
      </c>
      <c r="C972">
        <f>HYPERLINK("https://github.com/square/okhttp/blob/master/android-test/src/test/kotlin/okhttp/android/test/RobolectricOkHttpClientTest.kt")</f>
        <v/>
      </c>
      <c r="D972" t="inlineStr">
        <is>
          <t>This code defines a unit test class for testing the OkHttp client using Robolectric. The `BaseOkHttpClientUnitTest` class provides a base implementation for the tests, which can be extended by other classes that need to perform similar tests.
The `@Before` method sets up the test environment by initializing the OkHttp client and setting up some mock data.</t>
        </is>
      </c>
      <c r="E972" t="n">
        <v>0.0039</v>
      </c>
      <c r="F972" t="n">
        <v>0.09379999999999999</v>
      </c>
      <c r="G972" t="n">
        <v>0.1563</v>
      </c>
      <c r="H972" t="inlineStr">
        <is>
          <t>This code defines a test suite for the OkHttp library using Robolectric. It imports various dependencies such as AndroidX Test Core and OkHttp, sets up a configuration for different SDK versions, and defines a test class called `RobolectricOkHttpClientTest` that extends from `BaseOkHttpClientUnitTest`. The `@Before` annotation indicates that some setup code should be</t>
        </is>
      </c>
      <c r="I972" t="n">
        <v>0.0042</v>
      </c>
      <c r="J972" t="n">
        <v>0.1</v>
      </c>
      <c r="K972" t="n">
        <v>0.1613</v>
      </c>
      <c r="L972" t="inlineStr">
        <is>
          <t>The provided code is a JUnit test class for testing OkHttp client using Robolectric framework. It sets up an Android application provider, initializes an instance of OkHttp client, and runs tests against it. The test class is annotated with `@RunWith` and `@Config` annotations, which indicate that it should be run using Robolectric runner and specify the SDK versions</t>
        </is>
      </c>
      <c r="M972" t="n">
        <v>0.0031</v>
      </c>
      <c r="N972" t="n">
        <v>0.0303</v>
      </c>
      <c r="O972" t="n">
        <v>0.0769</v>
      </c>
    </row>
    <row r="973">
      <c r="A973" t="inlineStr">
        <is>
          <t>okhttp</t>
        </is>
      </c>
      <c r="B973" t="inlineStr">
        <is>
          <t>android-test/src/test/kotlin/okhttp/android/test/NonRobolectricOkHttpClientTest.kt</t>
        </is>
      </c>
      <c r="C973">
        <f>HYPERLINK("https://github.com/square/okhttp/blob/master/android-test/src/test/kotlin/okhttp/android/test/NonRobolectricOkHttpClientTest.kt")</f>
        <v/>
      </c>
      <c r="D973" t="inlineStr">
        <is>
          <t>This code appears to be part of an Android project written in Java. It defines a JUnit test class named `OkHttpAndroidTest` that extends the `JUnit4` runner. The class contains a single method named `testStubbedRequest`, which makes a request using OkHttp and asserts that it fails with an IOException. The assertion checks that the exception has a certain</t>
        </is>
      </c>
      <c r="E973" t="n">
        <v>0.0038</v>
      </c>
      <c r="F973" t="n">
        <v>0.0615</v>
      </c>
      <c r="G973" t="n">
        <v>0.1163</v>
      </c>
      <c r="H973" t="inlineStr">
        <is>
          <t>This code defines a JUnit test suite for testing the functionality of the `okhttp` library's Android implementation. The tests cover various aspects of the library's behavior, including error handling, input validation, and network communication.
The test cases are defined using the `@Test` annotation from the JUnit framework, which indicates that each method should be executed as a separate unit test</t>
        </is>
      </c>
      <c r="I973" t="n">
        <v>0.004</v>
      </c>
      <c r="J973" t="n">
        <v>0.0857</v>
      </c>
      <c r="K973" t="n">
        <v>0.1136</v>
      </c>
      <c r="L973" t="inlineStr">
        <is>
          <t>The provided code defines a JUnit test class named `OkHttpAndroidTest` that runs tests using OkHttp library on an Android device. It imports various classes from the OkHttp package and uses them to perform HTTP requests. The test class also includes some basic assertions to verify the response status and content type.</t>
        </is>
      </c>
      <c r="M973" t="n">
        <v>0.0036</v>
      </c>
      <c r="N973" t="n">
        <v>0.0339</v>
      </c>
      <c r="O973" t="n">
        <v>0.0813</v>
      </c>
    </row>
    <row r="974">
      <c r="A974" t="inlineStr">
        <is>
          <t>okhttp</t>
        </is>
      </c>
      <c r="B974" t="inlineStr">
        <is>
          <t>android-test/src/test/kotlin/okhttp/android/test/DisabledInitialiserTest.kt</t>
        </is>
      </c>
      <c r="C974">
        <f>HYPERLINK("https://github.com/square/okhttp/blob/master/android-test/src/test/kotlin/okhttp/android/test/DisabledInitialiserTest.kt")</f>
        <v/>
      </c>
      <c r="D974" t="inlineStr">
        <is>
          <t>This code appears to be part of an Android application written in Java using the OkHttp library. The code defines several classes related to HTTP requests and responses, including `Request`, `Response`, and `OkHttpClient`. It also includes some test cases that use JUnit and AssertJ to verify the behavior of these classes.
The main class of interest seems to be `OkHttpClient</t>
        </is>
      </c>
      <c r="E974" t="n">
        <v>0.0036</v>
      </c>
      <c r="F974" t="n">
        <v>0.0588</v>
      </c>
      <c r="G974" t="n">
        <v>0.1136</v>
      </c>
      <c r="H974" t="inlineStr">
        <is>
          <t>This code appears to be part of an Android application that uses OkHttp library to make HTTP requests. The code defines a test class named `OkHttpTest` that extends JUnit's `TestCase` class. It includes several tests that verify various aspects of the OkHttp library's behavior.
The first test checks if the `toHttpUrl()` method works correctly when given</t>
        </is>
      </c>
      <c r="I974" t="n">
        <v>0.0033</v>
      </c>
      <c r="J974" t="n">
        <v>0.0303</v>
      </c>
      <c r="K974" t="n">
        <v>0.0781</v>
      </c>
      <c r="L974" t="inlineStr">
        <is>
          <t>The provided code implements an HTTP client using the OkHttp library. It provides a simple API for making HTTP requests and handling responses. The code is well-documented, with comments explaining the purpose of each method and class. The code also includes unit tests that demonstrate how to use the client.</t>
        </is>
      </c>
      <c r="M974" t="n">
        <v>0.0044</v>
      </c>
      <c r="N974" t="n">
        <v>0.0678</v>
      </c>
      <c r="O974" t="n">
        <v>0.123</v>
      </c>
    </row>
    <row r="975">
      <c r="A975" t="inlineStr">
        <is>
          <t>okhttp</t>
        </is>
      </c>
      <c r="B975" t="inlineStr">
        <is>
          <t>android-test/src/androidTest/java/okhttp/android/test/OkHttpTest.kt</t>
        </is>
      </c>
      <c r="C975">
        <f>HYPERLINK("https://github.com/square/okhttp/blob/master/android-test/src/androidTest/java/okhttp/android/test/OkHttpTest.kt")</f>
        <v/>
      </c>
      <c r="D975" t="inlineStr">
        <is>
          <t>This code appears to be part of an Android application that uses OkHttp library for network requests and Moshi library for JSON parsing. The code defines a class called `Test` which has several methods related to testing the app's functionality. It also includes some utility functions for working with the Android platform and Google Play Services.
The `Test` class seems to have two main responsib</t>
        </is>
      </c>
      <c r="E975" t="n">
        <v>0.0033</v>
      </c>
      <c r="F975" t="n">
        <v>0.08110000000000001</v>
      </c>
      <c r="G975" t="n">
        <v>0.1095</v>
      </c>
      <c r="H975" t="inlineStr">
        <is>
          <t>This code defines a package called `okhttp.android.test` that provides various utility functions for testing purposes. The package includes classes for working with Moshi, a JSON serialization library, as well as classes for interacting with Google Play services. It also includes a class for installing security providers using ProviderInstaller from Google Play services. The package has a README file</t>
        </is>
      </c>
      <c r="I975" t="n">
        <v>0.0031</v>
      </c>
      <c r="J975" t="n">
        <v>0.0588</v>
      </c>
      <c r="K975" t="n">
        <v>0.0769</v>
      </c>
      <c r="L975" t="inlineStr">
        <is>
          <t>The provided code defines a class named `OkHttpTest` that provides methods for testing OkHttp connections. It uses Moshi library for JSON parsing and ProviderInstaller from Google Play Services to install security providers on Android devices. The class also has a constructor that takes a `Context` object as input and initializes some fields based on the device's version.</t>
        </is>
      </c>
      <c r="M975" t="n">
        <v>0.0032</v>
      </c>
      <c r="N975" t="n">
        <v>0.0303</v>
      </c>
      <c r="O975" t="n">
        <v>0.0775</v>
      </c>
    </row>
    <row r="976">
      <c r="A976" t="inlineStr">
        <is>
          <t>okhttp</t>
        </is>
      </c>
      <c r="B976" t="inlineStr">
        <is>
          <t>android-test/src/androidTest/java/okhttp/android/test/StrictModeTest.kt</t>
        </is>
      </c>
      <c r="C976">
        <f>HYPERLINK("https://github.com/square/okhttp/blob/master/android-test/src/androidTest/java/okhttp/android/test/StrictModeTest.kt")</f>
        <v/>
      </c>
      <c r="D976" t="inlineStr">
        <is>
          <t>This code appears to be part of an Android application that uses OkHttp to make HTTP requests. It defines a class called `Test` that has several methods related to testing the app's network connections. The main method `run()` makes a GET request using OkHttp and checks the response status code. The `getRequest()` method creates a new OkHttp client and sets up a strict mode</t>
        </is>
      </c>
      <c r="E976" t="n">
        <v>0.0034</v>
      </c>
      <c r="F976" t="n">
        <v>0.0548</v>
      </c>
      <c r="G976" t="n">
        <v>0.1103</v>
      </c>
      <c r="H976" t="inlineStr">
        <is>
          <t>This code defines a package called `okhttp.android.test` that provides various utility functions for testing purposes. The package imports several other packages, including `android.os`, `androidx.test`, `okhttp3`, and `assertk`. It also includes a few constants defined using the `const val` keyword.
The main function of the package appears to be to</t>
        </is>
      </c>
      <c r="I976" t="n">
        <v>0.0045</v>
      </c>
      <c r="J976" t="n">
        <v>0.0984</v>
      </c>
      <c r="K976" t="n">
        <v>0.124</v>
      </c>
      <c r="L976" t="inlineStr">
        <is>
          <t>The provided code defines a test suite for Android applications using OkHttp client library. It includes several tests that verify the correctness of HTTP requests and responses, as well as the handling of various error scenarios. The code also demonstrates how to configure strict mode violation policies and handle strict mode violations. Overall, the code appears to be well-structured and easy to understand, with</t>
        </is>
      </c>
      <c r="M976" t="n">
        <v>0.0028</v>
      </c>
      <c r="N976" t="n">
        <v>0.0274</v>
      </c>
      <c r="O976" t="n">
        <v>0.0735</v>
      </c>
    </row>
    <row r="977">
      <c r="A977" t="inlineStr">
        <is>
          <t>okhttp</t>
        </is>
      </c>
      <c r="B977" t="inlineStr">
        <is>
          <t>android-test/src/androidTest/java/okhttp/android/test/SingleAndroidTest.kt</t>
        </is>
      </c>
      <c r="C977">
        <f>HYPERLINK("https://github.com/square/okhttp/blob/master/android-test/src/androidTest/java/okhttp/android/test/SingleAndroidTest.kt")</f>
        <v/>
      </c>
      <c r="D977" t="inlineStr">
        <is>
          <t>The provided code is a unit test written in Java using the JUnit framework. It tests the behavior of the `okhttp` library's `OkHttpClient` class when making HTTP requests. Specifically, it sets up a local server using the `MockWebServer` class from the same library and sends a request to the server using the `OkHttpClient` instance. The test then</t>
        </is>
      </c>
      <c r="E977" t="n">
        <v>0.0032</v>
      </c>
      <c r="F977" t="n">
        <v>0.0303</v>
      </c>
      <c r="G977" t="n">
        <v>0.0775</v>
      </c>
      <c r="H977" t="inlineStr">
        <is>
          <t>The provided code is a Java unit test written using JUnit 4 that tests the functionality of an OkHttp client. It uses MockWebServer from the MockWebServer library to create a local web server and send requests to it. The test verifies that the response returned by the server matches what was expected.
The test first sets up a new instance of the OkHttpClient class</t>
        </is>
      </c>
      <c r="I977" t="n">
        <v>0.0034</v>
      </c>
      <c r="J977" t="n">
        <v>0.0556</v>
      </c>
      <c r="K977" t="n">
        <v>0.0735</v>
      </c>
      <c r="L977" t="inlineStr">
        <is>
          <t>The provided code is a JUnit 4 test case that tests the functionality of the OkHttp library's connection pooling feature. It uses the MockWebServer library to simulate a web server and send requests to it. The test verifies that the connection pool is properly used to reduce the number of connections made to the server.
The test first sets up a MockWebServer instance</t>
        </is>
      </c>
      <c r="M977" t="n">
        <v>0.0034</v>
      </c>
      <c r="N977" t="n">
        <v>0.0556</v>
      </c>
      <c r="O977" t="n">
        <v>0.0741</v>
      </c>
    </row>
    <row r="978">
      <c r="A978" t="inlineStr">
        <is>
          <t>okhttp</t>
        </is>
      </c>
      <c r="B978" t="inlineStr">
        <is>
          <t>android-test/src/androidTest/java/okhttp/android/test/sni/SniOverrideTest.kt</t>
        </is>
      </c>
      <c r="C978">
        <f>HYPERLINK("https://github.com/square/okhttp/blob/master/android-test/src/androidTest/java/okhttp/android/test/sni/SniOverrideTest.kt")</f>
        <v/>
      </c>
      <c r="D978" t="inlineStr">
        <is>
          <t>This code appears to be a part of an Android application that uses OkHttp library to make HTTP requests. The code defines a custom `SSLSocketFactory` class that extends the default `SSLSocketFactory` class from OkHttp. It overrides the `createSocket()` method to create a new `SSLSocket` instance that supports SNI (Server Name Indication).</t>
        </is>
      </c>
      <c r="E978" t="n">
        <v>0.0036</v>
      </c>
      <c r="F978" t="n">
        <v>0.0339</v>
      </c>
      <c r="G978" t="n">
        <v>0.0813</v>
      </c>
      <c r="H978" t="inlineStr">
        <is>
          <t>This code defines a custom SSLSocketFactory that can be used to configure SSL sockets with SNI hostnames. It includes several classes and methods related to SSL socket configuration, certificate validation, and logging. The main class, `OkHttpSslSocketFactory`, extends `DelegatingSSLSocketFactory` and overrides its `createSocket()` method to create a new `SSLS</t>
        </is>
      </c>
      <c r="I978" t="n">
        <v>0.0045</v>
      </c>
      <c r="J978" t="n">
        <v>0.07140000000000001</v>
      </c>
      <c r="K978" t="n">
        <v>0.125</v>
      </c>
      <c r="L978" t="inlineStr">
        <is>
          <t>The provided code defines a custom `SSLSocketFactory` that allows the user to specify a SNI hostname when creating an SSL socket connection. It achieves this by overriding the `createSocket()` method of the original `SSLSocketFactory` class and setting the SNI server name before returning the created socket. The code also includes some additional logic to handle different Android versions and</t>
        </is>
      </c>
      <c r="M978" t="n">
        <v>0.0031</v>
      </c>
      <c r="N978" t="n">
        <v>0.0896</v>
      </c>
      <c r="O978" t="n">
        <v>0.07630000000000001</v>
      </c>
    </row>
    <row r="979">
      <c r="A979" t="inlineStr">
        <is>
          <t>okhttp</t>
        </is>
      </c>
      <c r="B979" t="inlineStr">
        <is>
          <t>android-test/src/androidTest/java/okhttp/android/test/letsencrypt/LetsEncryptClientTest.kt</t>
        </is>
      </c>
      <c r="C979">
        <f>HYPERLINK("https://github.com/square/okhttp/blob/master/android-test/src/androidTest/java/okhttp/android/test/letsencrypt/LetsEncryptClientTest.kt")</f>
        <v/>
      </c>
      <c r="D979" t="inlineStr">
        <is>
          <t>This code appears to be part of an Android app that uses OkHttp to make HTTP requests. The `OkHttpClient` class is used to create an instance of the client, which can then be used to send HTTP requests. The `HandshakeCertificates` class is also imported, which seems to be related to SSL/TLS certificate handling.
The `main()`</t>
        </is>
      </c>
      <c r="E979" t="n">
        <v>0.0033</v>
      </c>
      <c r="F979" t="n">
        <v>0.0312</v>
      </c>
      <c r="G979" t="n">
        <v>0.07870000000000001</v>
      </c>
      <c r="H979" t="inlineStr">
        <is>
          <t>This code implements an OkHttp client that can handle Let's Encrypt certificates. It uses the `HandshakeCertificates` class from the OkHttp library to load the certificate chain and key, and then creates a new instance of the `OkHttpClient` class using these credentials. The `add()` function takes two arguments, `a` and `b`, which are</t>
        </is>
      </c>
      <c r="I979" t="n">
        <v>0.0046</v>
      </c>
      <c r="J979" t="n">
        <v>0.1311</v>
      </c>
      <c r="K979" t="n">
        <v>0.1613</v>
      </c>
      <c r="L979" t="inlineStr">
        <is>
          <t>The provided code implements a test suite for validating Let's Encrypt certificates using OkHttp. It includes several tests that verify the certificate chain, hostname verification, and other security features. The code uses JUnit 5 annotations to mark the tests as tagged and run them separately.
The `HandshakeCertificates` class is used to create a set</t>
        </is>
      </c>
      <c r="M979" t="n">
        <v>0.004</v>
      </c>
      <c r="N979" t="n">
        <v>0.0635</v>
      </c>
      <c r="O979" t="n">
        <v>0.119</v>
      </c>
    </row>
    <row r="980">
      <c r="A980" t="inlineStr">
        <is>
          <t>okhttp</t>
        </is>
      </c>
      <c r="B980" t="inlineStr">
        <is>
          <t>android-test/src/androidTest/java/okhttp/android/test/alpn/AlpnOverrideTest.kt</t>
        </is>
      </c>
      <c r="C980">
        <f>HYPERLINK("https://github.com/square/okhttp/blob/master/android-test/src/androidTest/java/okhttp/android/test/alpn/AlpnOverrideTest.kt")</f>
        <v/>
      </c>
      <c r="D980" t="inlineStr">
        <is>
          <t>This code appears to be a Java implementation of an Android app that uses OkHttp to make HTTP requests over a secure connection. The app uses the `okhttp` library to create an instance of the `OkHttpClient` class, which is used to send HTTP requests. The app also defines a custom `DelegatingSSLSocketFactory` class that extends the `SSLSocketFactory`</t>
        </is>
      </c>
      <c r="E980" t="n">
        <v>0.0033</v>
      </c>
      <c r="F980" t="n">
        <v>0.0625</v>
      </c>
      <c r="G980" t="n">
        <v>0.1172</v>
      </c>
      <c r="H980" t="inlineStr">
        <is>
          <t>This code appears to be a Java library that provides a set of classes and methods related to Android's OkHttp client library. The library includes a class called `AlpnTest` which has a single method called `run()` that performs some network I/O operations using the OkHttp client. The method uses the `OkHttpClient` class to send a GET request to a URL and</t>
        </is>
      </c>
      <c r="I980" t="n">
        <v>0.0036</v>
      </c>
      <c r="J980" t="n">
        <v>0.0563</v>
      </c>
      <c r="K980" t="n">
        <v>0.1128</v>
      </c>
      <c r="L980" t="inlineStr">
        <is>
          <t>The provided code implements an Android library that provides ALPN support for OkHttp clients. It defines several classes and methods related to SSL socket creation, connection establishment, and event handling. The library uses the `javax.net` package for SSL socket creation and the `okhttp3` package for HTTP client implementation.
The library's primary function is to provide ALPN support</t>
        </is>
      </c>
      <c r="M980" t="n">
        <v>0.0038</v>
      </c>
      <c r="N980" t="n">
        <v>0.0597</v>
      </c>
      <c r="O980" t="n">
        <v>0.1163</v>
      </c>
    </row>
    <row r="981">
      <c r="A981" t="inlineStr">
        <is>
          <t>okhttp</t>
        </is>
      </c>
      <c r="B981" t="inlineStr">
        <is>
          <t>okcurl/src/main/kotlin/okhttp3/curl/MainCommandLine.kt</t>
        </is>
      </c>
      <c r="C981">
        <f>HYPERLINK("https://github.com/square/okhttp/blob/master/okcurl/src/main/kotlin/okhttp3/curl/MainCommandLine.kt")</f>
        <v/>
      </c>
      <c r="D981" t="inlineStr">
        <is>
          <t>This code appears to be a command line tool that uses the `okhttp3` library to perform HTTP requests. The `Main` class defines a `main` function that sets up the CLI using the `com.github.ajalt.clikt.core.main` method from the `clikt` library. It then calls the `main` function of the `OkHttpClient</t>
        </is>
      </c>
      <c r="E981" t="n">
        <v>0.0039</v>
      </c>
      <c r="F981" t="n">
        <v>0.1</v>
      </c>
      <c r="G981" t="n">
        <v>0.08400000000000001</v>
      </c>
      <c r="H981" t="inlineStr">
        <is>
          <t>This code defines a command line interface (CLI) application using the Clikt library that allows users to perform HTTP requests using cURL syntax. The application uses OkHttp as its networking library and provides a simple way to send HTTP requests from the command line. It also includes a README file that describes the project's purpose, complexity, comments, commits, and code size.</t>
        </is>
      </c>
      <c r="I981" t="n">
        <v>0.0036</v>
      </c>
      <c r="J981" t="n">
        <v>0.0571</v>
      </c>
      <c r="K981" t="n">
        <v>0.1128</v>
      </c>
      <c r="L981" t="inlineStr">
        <is>
          <t>The provided code is a command line tool that allows users to convert cURL commands into HTTP requests using OkHttp. It takes in a list of arguments from the command line and uses them to construct an HTTP request using the OkHttp library. Once the request has been constructed, it is sent over the network and the response is printed to the console.</t>
        </is>
      </c>
      <c r="M981" t="n">
        <v>0.0029</v>
      </c>
      <c r="N981" t="n">
        <v>0.0282</v>
      </c>
      <c r="O981" t="n">
        <v>0.0741</v>
      </c>
    </row>
    <row r="982">
      <c r="A982" t="inlineStr">
        <is>
          <t>okhttp</t>
        </is>
      </c>
      <c r="B982" t="inlineStr">
        <is>
          <t>okcurl/src/main/kotlin/okhttp3/curl/Main.kt</t>
        </is>
      </c>
      <c r="C982">
        <f>HYPERLINK("https://github.com/square/okhttp/blob/master/okcurl/src/main/kotlin/okhttp3/curl/Main.kt")</f>
        <v/>
      </c>
      <c r="D982" t="inlineStr">
        <is>
          <t>This code appears to be part of an HTTP client library called OkHttp. It defines a command line interface (CLI) using the Clikt framework that allows users to perform various operations such as sending HTTP requests and receiving responses. The CLI takes two arguments: `url` and `method`. The `url` argument specifies the URL to send the request to, while the `method`</t>
        </is>
      </c>
      <c r="E982" t="n">
        <v>0.0036</v>
      </c>
      <c r="F982" t="n">
        <v>0.058</v>
      </c>
      <c r="G982" t="n">
        <v>0.1128</v>
      </c>
      <c r="H982" t="inlineStr">
        <is>
          <t>This code appears to be a Java library for implementing cURL commands using OkHttp3 as the HTTP client library. The library provides a command-line interface for executing cURL commands from the terminal. It also includes some basic functionality for parsing options and arguments passed to the program.
The code imports several libraries, including Clikt, which is used for building the command-line interface</t>
        </is>
      </c>
      <c r="I982" t="n">
        <v>0.0039</v>
      </c>
      <c r="J982" t="n">
        <v>0.1111</v>
      </c>
      <c r="K982" t="n">
        <v>0.1493</v>
      </c>
      <c r="L982" t="inlineStr">
        <is>
          <t>The provided code is a Java package named `okhttp3.curl` that provides a command line interface for performing HTTP requests using OkHttp library. It defines a single class called `CurlCommand`, which extends the `CliktCommand` class from the Clikt library. The `CurlCommand` class has several options and arguments that allow users to specify various parameters such as</t>
        </is>
      </c>
      <c r="M982" t="n">
        <v>0.0033</v>
      </c>
      <c r="N982" t="n">
        <v>0.0312</v>
      </c>
      <c r="O982" t="n">
        <v>0.07870000000000001</v>
      </c>
    </row>
    <row r="983">
      <c r="A983" t="inlineStr">
        <is>
          <t>okhttp</t>
        </is>
      </c>
      <c r="B983" t="inlineStr">
        <is>
          <t>okcurl/src/main/kotlin/okhttp3/curl/logging/MessageFormatter.kt</t>
        </is>
      </c>
      <c r="C983">
        <f>HYPERLINK("https://github.com/square/okhttp/blob/master/okcurl/src/main/kotlin/okhttp3/curl/logging/MessageFormatter.kt")</f>
        <v/>
      </c>
      <c r="D983" t="inlineStr">
        <is>
          <t>This code defines a custom formatter class called `MessageFormatter` that extends the `SimpleFormatter` class from Java's logging API. The `format()` method overrides the parent implementation to return a string representation of the log message only, without any additional information such as the timestamp or log level. The resulting formatted string will be used to display the log messages in the console or other output</t>
        </is>
      </c>
      <c r="E983" t="n">
        <v>0.0028</v>
      </c>
      <c r="F983" t="n">
        <v>0.0548</v>
      </c>
      <c r="G983" t="n">
        <v>0.1103</v>
      </c>
      <c r="H983" t="inlineStr">
        <is>
          <t>This code defines a custom formatter class called `MessageFormatter` that extends the `java.util.logging.SimpleFormatter` class. The `MessageFormatter` class overrides the `format()` method to return a string representation of the log message passed as a parameter. The returned string consists only of the log message itself, without any additional information such as the timestamp or logging level.</t>
        </is>
      </c>
      <c r="I983" t="n">
        <v>0.0033</v>
      </c>
      <c r="J983" t="n">
        <v>0.0303</v>
      </c>
      <c r="K983" t="n">
        <v>0.0394</v>
      </c>
      <c r="L983" t="inlineStr">
        <is>
          <t>The provided code defines a custom formatter for Java logging messages using the `MessageFormatter` class. It overrides the `format()` method from the `SimpleFormatter` class to return a formatted string representation of the log message. The formatter simply returns the original message as is without any additional formatting.</t>
        </is>
      </c>
      <c r="M983" t="n">
        <v>0</v>
      </c>
      <c r="N983" t="n">
        <v>0</v>
      </c>
      <c r="O983" t="n">
        <v>0.042</v>
      </c>
    </row>
    <row r="984">
      <c r="A984" t="inlineStr">
        <is>
          <t>okhttp</t>
        </is>
      </c>
      <c r="B984" t="inlineStr">
        <is>
          <t>okcurl/src/main/kotlin/okhttp3/curl/logging/LoggingUtil.kt</t>
        </is>
      </c>
      <c r="C984">
        <f>HYPERLINK("https://github.com/square/okhttp/blob/master/okcurl/src/main/kotlin/okhttp3/curl/logging/LoggingUtil.kt")</f>
        <v/>
      </c>
      <c r="D984" t="inlineStr">
        <is>
          <t>The `LoggingUtil` class provides a utility method for configuring logging in OkHttp. It takes two parameters: `debug`, which indicates whether debugging logs should be enabled, and `showHeaders`, which determines whether HTTP headers should be included in log messages.
The `configureLogging()` function creates a new logger instance using the `java.util.logging.Logger`</t>
        </is>
      </c>
      <c r="E984" t="n">
        <v>0.0037</v>
      </c>
      <c r="F984" t="n">
        <v>0.0333</v>
      </c>
      <c r="G984" t="n">
        <v>0.08260000000000001</v>
      </c>
      <c r="H984" t="inlineStr">
        <is>
          <t>The provided code defines a `LoggingUtil` class that provides utility methods for configuring logging in Java applications. It has several static methods for setting up loggers, handlers, and filters, as well as a method for creating a new logger instance.
The main functionality of the code is related to configuring logging settings, such as enabling debugging logs, setting log levels, and</t>
        </is>
      </c>
      <c r="I984" t="n">
        <v>0.0036</v>
      </c>
      <c r="J984" t="n">
        <v>0.058</v>
      </c>
      <c r="K984" t="n">
        <v>0.0752</v>
      </c>
      <c r="L984" t="inlineStr">
        <is>
          <t>The provided code is part of a logging utility class called `LoggingUtil` that provides methods for configuring and using Java's built-in logger system. It includes two primary functions: `configureLogging()` and `log()`.
The `configureLogging()` function takes two boolean parameters, `debug` and `showHttp`, which determine whether to enable debugging logs and whether</t>
        </is>
      </c>
      <c r="M984" t="n">
        <v>0.0037</v>
      </c>
      <c r="N984" t="n">
        <v>0.0667</v>
      </c>
      <c r="O984" t="n">
        <v>0.082</v>
      </c>
    </row>
    <row r="985">
      <c r="A985" t="inlineStr">
        <is>
          <t>okhttp</t>
        </is>
      </c>
      <c r="B985" t="inlineStr">
        <is>
          <t>okcurl/src/main/kotlin/okhttp3/curl/logging/OneLineLogFormat.kt</t>
        </is>
      </c>
      <c r="C985">
        <f>HYPERLINK("https://github.com/square/okhttp/blob/master/okcurl/src/main/kotlin/okhttp3/curl/logging/OneLineLogFormat.kt")</f>
        <v/>
      </c>
      <c r="D985" t="inlineStr">
        <is>
          <t>This code appears to be part of a logging system for an HTTP client library called OkHttp. It defines a class named `OkHttpLogging` that implements the `okhttp3.EventListener` interface. The purpose of this class is to log information about HTTP requests and responses made using the OkHttp library.
The class has several methods that handle different events related to HTTP requests and</t>
        </is>
      </c>
      <c r="E985" t="n">
        <v>0.0039</v>
      </c>
      <c r="F985" t="n">
        <v>0.0857</v>
      </c>
      <c r="G985" t="n">
        <v>0.1504</v>
      </c>
      <c r="H985" t="inlineStr">
        <is>
          <t>This package `okhttp3.curl.logging` provides logging functionality for the OkHttp library's Curl implementation. The main class, `LoggingInterceptor`, implements the `Interceptor` interface from the OkHttp library and logs requests and responses using a custom format. The log messages include information such as the request method, URL, headers, body, response status code, and duration.</t>
        </is>
      </c>
      <c r="I985" t="n">
        <v>0.0051</v>
      </c>
      <c r="J985" t="n">
        <v>0.0968</v>
      </c>
      <c r="K985" t="n">
        <v>0.1626</v>
      </c>
      <c r="L985" t="inlineStr">
        <is>
          <t>The provided code defines a custom logging implementation for OkHttp that logs request and response details asynchronously using a background thread. It uses the `java.util.concurrent` package to handle asynchronous execution and the `java.time` package to format timestamps. The code also includes comments that provide additional context about the purpose and usage of the logging implementation.</t>
        </is>
      </c>
      <c r="M985" t="n">
        <v>0.0033</v>
      </c>
      <c r="N985" t="n">
        <v>0.0606</v>
      </c>
      <c r="O985" t="n">
        <v>0.1181</v>
      </c>
    </row>
    <row r="986">
      <c r="A986" t="inlineStr">
        <is>
          <t>okhttp</t>
        </is>
      </c>
      <c r="B986" t="inlineStr">
        <is>
          <t>okcurl/src/main/kotlin/okhttp3/curl/internal/-MainCommon.kt</t>
        </is>
      </c>
      <c r="C986">
        <f>HYPERLINK("https://github.com/square/okhttp/blob/master/okcurl/src/main/kotlin/okhttp3/curl/internal/-MainCommon.kt")</f>
        <v/>
      </c>
      <c r="D986" t="inlineStr">
        <is>
          <t>The provided code defines a function `commonCreateRequest` that creates an HTTP request based on user input. Here's a high-level overview of what the code does:
1. It takes no arguments and returns an instance of `Request`.
2. It uses the `@file:Suppress("ktlint:standard:filename")` annotation to suppress some ktlint l</t>
        </is>
      </c>
      <c r="E986" t="n">
        <v>0.0039</v>
      </c>
      <c r="F986" t="n">
        <v>0.06560000000000001</v>
      </c>
      <c r="G986" t="n">
        <v>0.08400000000000001</v>
      </c>
      <c r="H986" t="inlineStr">
        <is>
          <t>This code defines a function named `commonCreateRequest` that creates an HTTP request based on user input. The function takes no arguments and returns an instance of the `Request` class from OkHttp library.
The function first imports several classes and functions from other packages, including `okhttp3`, `java.io`, and `kotlin`. It then defines a local variable named `re</t>
        </is>
      </c>
      <c r="I986" t="n">
        <v>0.0039</v>
      </c>
      <c r="J986" t="n">
        <v>0.09229999999999999</v>
      </c>
      <c r="K986" t="n">
        <v>0.1172</v>
      </c>
      <c r="L986" t="inlineStr">
        <is>
          <t>The provided code defines a function `commonCreateRequest` that creates an HTTP request using the OkHttp library. The function takes no arguments and returns an instance of `okhttp3.Request`.
The function first initializes a new `Request` object, which represents an HTTP request. It then sets the method of the request to GET, as indicated by the `@GET` annotation above</t>
        </is>
      </c>
      <c r="M986" t="n">
        <v>0.0032</v>
      </c>
      <c r="N986" t="n">
        <v>0.0606</v>
      </c>
      <c r="O986" t="n">
        <v>0.0775</v>
      </c>
    </row>
    <row r="987">
      <c r="A987" t="inlineStr">
        <is>
          <t>okhttp</t>
        </is>
      </c>
      <c r="B987" t="inlineStr">
        <is>
          <t>okcurl/src/test/kotlin/okhttp3/curl/MainTest.kt</t>
        </is>
      </c>
      <c r="C987">
        <f>HYPERLINK("https://github.com/square/okhttp/blob/master/okcurl/src/test/kotlin/okhttp3/curl/MainTest.kt")</f>
        <v/>
      </c>
      <c r="D987" t="inlineStr">
        <is>
          <t>The provided code defines a test class `MainTest` that tests the functionality of the `fromArgs()` function in the `okhttp3.curl` package. The `fromArgs()` function takes a string argument representing a URL and returns an instance of `Request`. The test case creates a new `Request` object using the `fromArgs()` method and asserts that its properties match</t>
        </is>
      </c>
      <c r="E987" t="n">
        <v>0.004</v>
      </c>
      <c r="F987" t="n">
        <v>0.0635</v>
      </c>
      <c r="G987" t="n">
        <v>0.0794</v>
      </c>
      <c r="H987" t="inlineStr">
        <is>
          <t>The code defines a test class named `MainTest` that tests the functionality of the `okhttp3.curl` package. The test method `simple()` takes no arguments and creates a new HTTP request using the `fromArgs()` function, which parses command line arguments and returns a `Request` object. The created request is then converted into a string representation using the `createRequest</t>
        </is>
      </c>
      <c r="I987" t="n">
        <v>0.0039</v>
      </c>
      <c r="J987" t="n">
        <v>0.0615</v>
      </c>
      <c r="K987" t="n">
        <v>0.0781</v>
      </c>
      <c r="L987" t="inlineStr">
        <is>
          <t>The provided code is a test suite for a command line tool that generates HTTP requests based on user input. It uses the `okhttp3` library to send requests and parse responses. The test cases in the code cover various scenarios such as sending GET, POST, PUT, DELETE, and HEAD requests, handling different types of request bodies, and parsing response headers and bodies. The</t>
        </is>
      </c>
      <c r="M987" t="n">
        <v>0.0029</v>
      </c>
      <c r="N987" t="n">
        <v>0.0282</v>
      </c>
      <c r="O987" t="n">
        <v>0.0741</v>
      </c>
    </row>
    <row r="988">
      <c r="A988" t="inlineStr">
        <is>
          <t>okhttp</t>
        </is>
      </c>
      <c r="B988" t="inlineStr">
        <is>
          <t>build-logic/src/main/kotlin/Osgi.kt</t>
        </is>
      </c>
      <c r="C988">
        <f>HYPERLINK("https://github.com/square/okhttp/blob/master/build-logic/src/main/kotlin/Osgi.kt")</f>
        <v/>
      </c>
      <c r="D988" t="inlineStr">
        <is>
          <t>This code appears to be a Gradle build script for a Java project. It defines several tasks and configurations related to building and packaging the project's artifacts. The main task defined in the script is `bundle`, which creates a JAR archive containing the compiled classes and dependencies. The script also includes some additional configuration options, such as setting the version number and defining the source sets used</t>
        </is>
      </c>
      <c r="E988" t="n">
        <v>0.0032</v>
      </c>
      <c r="F988" t="n">
        <v>0.0526</v>
      </c>
      <c r="G988" t="n">
        <v>0.1079</v>
      </c>
      <c r="H988" t="inlineStr">
        <is>
          <t>This Gradle build script defines a Java project that uses the aQute bnd plugin to create a bundle from the source files. The bundle includes all the necessary dependencies, including the `commons-lang` library. The project also has a `build.gradle` file that specifies the version of the Gradle wrapper and other configuration options. Overall, this project appears to be a</t>
        </is>
      </c>
      <c r="I988" t="n">
        <v>0.0037</v>
      </c>
      <c r="J988" t="n">
        <v>0.058</v>
      </c>
      <c r="K988" t="n">
        <v>0.1145</v>
      </c>
      <c r="L988" t="inlineStr">
        <is>
          <t>The code defines a Gradle plugin that generates a bundle task extension using the `aQute.bnd` library. It also includes dependencies on other modules defined in the project's version catalog. The plugin is intended to be used for building Java applications that require OSGi bundles.</t>
        </is>
      </c>
      <c r="M988" t="n">
        <v>0</v>
      </c>
      <c r="N988" t="n">
        <v>0.037</v>
      </c>
      <c r="O988" t="n">
        <v>0.0862</v>
      </c>
    </row>
    <row r="989">
      <c r="A989" t="inlineStr">
        <is>
          <t>okhttp</t>
        </is>
      </c>
      <c r="B989" t="inlineStr">
        <is>
          <t>build-logic/src/main/kotlin/JavaModules.kt</t>
        </is>
      </c>
      <c r="C989">
        <f>HYPERLINK("https://github.com/square/okhttp/blob/master/build-logic/src/main/kotlin/JavaModules.kt")</f>
        <v/>
      </c>
      <c r="D989" t="inlineStr">
        <is>
          <t>This Gradle build script defines a multi-release JAR project that uses the `me.champeau.mrjar` plugin to generate a multi-release JAR containing two versions of the application: one for Java 8 and another for Java 11. The script also configures the Java toolchain service to use the latest version of Java available on the system.</t>
        </is>
      </c>
      <c r="E989" t="n">
        <v>0.0041</v>
      </c>
      <c r="F989" t="n">
        <v>0.0615</v>
      </c>
      <c r="G989" t="n">
        <v>0.12</v>
      </c>
      <c r="H989" t="inlineStr">
        <is>
          <t>This Gradle build script defines a Java project that uses the Multi Release Jar plugin to generate multi-release JAR files for its dependencies. The project also configures the Java toolchain service to use the latest version of Java available on the system. Additionally, it sets up a custom task named `generateMojos` that generates META-INF/services files for all classes implementing</t>
        </is>
      </c>
      <c r="I989" t="n">
        <v>0.0031</v>
      </c>
      <c r="J989" t="n">
        <v>0.0571</v>
      </c>
      <c r="K989" t="n">
        <v>0.1145</v>
      </c>
      <c r="L989" t="inlineStr">
        <is>
          <t>The provided code defines a Gradle plugin that configures Java compilation tasks using the Kotlin DSL. It applies the `me.champeau.mrjar.MultiReleaseExtension` plugin and sets up multi-release JAR support. Additionally, it configures the `JavaCompile` task to use the `JavaToolchainService` and sets up the `Kotlin</t>
        </is>
      </c>
      <c r="M989" t="n">
        <v>0.0044</v>
      </c>
      <c r="N989" t="n">
        <v>0.037</v>
      </c>
      <c r="O989" t="n">
        <v>0.0877</v>
      </c>
    </row>
    <row r="990">
      <c r="A990" t="inlineStr">
        <is>
          <t>okhttp</t>
        </is>
      </c>
      <c r="B990" t="inlineStr">
        <is>
          <t>build-logic/src/main/kotlin/AlpnVersions.kt</t>
        </is>
      </c>
      <c r="C990">
        <f>HYPERLINK("https://github.com/square/okhttp/blob/master/build-logic/src/main/kotlin/AlpnVersions.kt")</f>
        <v/>
      </c>
      <c r="D990" t="inlineStr">
        <is>
          <t>The `alpnBootVersionForPatchVersion` function takes an integer `patchVersion` as input and returns a string representing the corresponding ALPN boot version. The function uses a series of `when` statements to match the input value against different ranges of patch versions and return the appropriate ALPN boot version string. If no matching range is found, the function returns null.</t>
        </is>
      </c>
      <c r="E990" t="n">
        <v>0.0033</v>
      </c>
      <c r="F990" t="n">
        <v>0.0625</v>
      </c>
      <c r="G990" t="n">
        <v>0.0781</v>
      </c>
      <c r="H990" t="inlineStr">
        <is>
          <t>The code defines a function called `alpnBootVersionForPatchVersion` that takes an integer parameter named `patchVersion`. It returns a string representing the version number of the ALPN boot library based on the specified patch version. The function uses a `when` expression to match different ranges of values for the `patchVersion` parameter and return a corresponding version string. If the `</t>
        </is>
      </c>
      <c r="I990" t="n">
        <v>0.0031</v>
      </c>
      <c r="J990" t="n">
        <v>0.0615</v>
      </c>
      <c r="K990" t="n">
        <v>0.0769</v>
      </c>
      <c r="L990" t="inlineStr">
        <is>
          <t>The provided code defines a function called `alpnBootVersionForPatchVersion` that takes an integer parameter named `patchVersion`. It returns a string representing the version of the ALPN boot library based on the specified patch version. The function uses a when expression to match different ranges of values for the `patchVersion` parameter and return corresponding versions of the ALPN boot library.</t>
        </is>
      </c>
      <c r="M990" t="n">
        <v>0.0031</v>
      </c>
      <c r="N990" t="n">
        <v>0.0606</v>
      </c>
      <c r="O990" t="n">
        <v>0.0769</v>
      </c>
    </row>
    <row r="991">
      <c r="A991" t="inlineStr">
        <is>
          <t>okhttp</t>
        </is>
      </c>
      <c r="B991" t="inlineStr">
        <is>
          <t>build-logic/src/main/kotlin/BndBuildAction.kt</t>
        </is>
      </c>
      <c r="C991">
        <f>HYPERLINK("https://github.com/square/okhttp/blob/master/build-logic/src/main/kotlin/BndBuildAction.kt")</f>
        <v/>
      </c>
      <c r="D991" t="inlineStr">
        <is>
          <t>This code appears to be a Gradle build script that uses the `aQute` library to generate OSGi bundles from Java source files. The script defines several variables and functions related to the build process, including the location of the input files, the output directory, and the version number. It also includes some comments describing the purpose of each section of the script. Overall, it</t>
        </is>
      </c>
      <c r="E991" t="n">
        <v>0.0034</v>
      </c>
      <c r="F991" t="n">
        <v>0.0833</v>
      </c>
      <c r="G991" t="n">
        <v>0.1103</v>
      </c>
      <c r="H991" t="inlineStr">
        <is>
          <t>This is a Gradle build script that uses the aQute bnd plugin to create OSGi bundles from Java source files. The script defines several variables and functions related to building and processing the bundles, including:
* `add`: A function that takes two arguments and returns their sum.
* `README`: A string containing information about the project, such as its</t>
        </is>
      </c>
      <c r="I991" t="n">
        <v>0.0037</v>
      </c>
      <c r="J991" t="n">
        <v>0.09229999999999999</v>
      </c>
      <c r="K991" t="n">
        <v>0.1145</v>
      </c>
      <c r="L991" t="inlineStr">
        <is>
          <t>The provided code defines a Gradle task that generates OSGi bundles from Java projects using the bnd tool. It imports various classes and interfaces from the aQute library, including BundleTaskExtension, Builder, Constants, Jar, Processor, MavenVersion, IO, UTF8Properties, File, Properties, Manifest, and zip. The task uses these classes to create a</t>
        </is>
      </c>
      <c r="M991" t="n">
        <v>0.0037</v>
      </c>
      <c r="N991" t="n">
        <v>0.0345</v>
      </c>
      <c r="O991" t="n">
        <v>0.082</v>
      </c>
    </row>
    <row r="992">
      <c r="A992" t="inlineStr">
        <is>
          <t>okhttp</t>
        </is>
      </c>
      <c r="B992" t="inlineStr">
        <is>
          <t>build-logic/src/main/kotlin/okhttp3/buildsupport/OkHttpBuildUtils.kt</t>
        </is>
      </c>
      <c r="C992">
        <f>HYPERLINK("https://github.com/square/okhttp/blob/master/build-logic/src/main/kotlin/okhttp3/buildsupport/OkHttpBuildUtils.kt")</f>
        <v/>
      </c>
      <c r="D992" t="inlineStr">
        <is>
          <t>The provided code defines several properties and functions related to building and configuring the OkHttp library. Here's a brief summary of each property and function:
* `platform`: A string that represents the platform being targeted by the build process. It defaults to "jdk9".
* `testJavaVersion`: An integer representing the Java version used for testing purposes. It defaults to</t>
        </is>
      </c>
      <c r="E992" t="n">
        <v>0.0031</v>
      </c>
      <c r="F992" t="n">
        <v>0.0615</v>
      </c>
      <c r="G992" t="n">
        <v>0.0769</v>
      </c>
      <c r="H992" t="inlineStr">
        <is>
          <t>This code defines several variables and functions related to building and testing the backend software components. The `platform` variable determines which platform (e.g., JDK 9) to use when building the project. The `testJavaVersion` variable specifies the Java version used for testing. The `androidBuild` function checks if the project is being built for Android. Finally, the `</t>
        </is>
      </c>
      <c r="I992" t="n">
        <v>0.0043</v>
      </c>
      <c r="J992" t="n">
        <v>0.09379999999999999</v>
      </c>
      <c r="K992" t="n">
        <v>0.1563</v>
      </c>
      <c r="L992" t="inlineStr">
        <is>
          <t>The code defines several properties related to the project's platform, test Java version, Android build, and ALPN boot version. These properties can be accessed using the `project` object.</t>
        </is>
      </c>
      <c r="M992" t="n">
        <v>0.0067</v>
      </c>
      <c r="N992" t="n">
        <v>0.0541</v>
      </c>
      <c r="O992" t="n">
        <v>0.1</v>
      </c>
    </row>
    <row r="993">
      <c r="A993" t="inlineStr">
        <is>
          <t>okhttp</t>
        </is>
      </c>
      <c r="B993" t="inlineStr">
        <is>
          <t>okhttp-sse/src/main/kotlin/okhttp3/sse/EventSourceListener.kt</t>
        </is>
      </c>
      <c r="C993">
        <f>HYPERLINK("https://github.com/square/okhttp/blob/master/okhttp-sse/src/main/kotlin/okhttp3/sse/EventSourceListener.kt")</f>
        <v/>
      </c>
      <c r="D993" t="inlineStr">
        <is>
          <t>The provided code defines an abstract class called `EventSourceListener` that provides callback methods for handling events received from an Event Source. The class has two main methods:
* `onOpen`: This method is invoked when the Event Source connection is established and the server begins transmitting events. It takes two parameters: `eventSource`, which represents the current instance of the `EventSource`</t>
        </is>
      </c>
      <c r="E993" t="n">
        <v>0.0037</v>
      </c>
      <c r="F993" t="n">
        <v>0.0606</v>
      </c>
      <c r="G993" t="n">
        <v>0.07630000000000001</v>
      </c>
      <c r="H993" t="inlineStr">
        <is>
          <t>This code defines an abstract class called `EventSourceListener` that provides methods for handling events received from an event source. The class has three methods:
* `onOpen`: invoked when the event source has been accepted by the remote peer and may begin transmitting events. It takes two parameters: `eventSource`, which is an instance of the `EventSource` class, and `</t>
        </is>
      </c>
      <c r="I993" t="n">
        <v>0.0037</v>
      </c>
      <c r="J993" t="n">
        <v>0.0625</v>
      </c>
      <c r="K993" t="n">
        <v>0.0769</v>
      </c>
      <c r="L993" t="inlineStr">
        <is>
          <t>The provided code defines an abstract class named `EventSourceListener` that provides callback methods for handling events received from an HTTP Server-Sent Events (SSE) connection. The class includes two methods:
* `onOpen()`: Called when the SSE connection is established and ready to receive events.
* `onEvent()`: Called when an event is received from</t>
        </is>
      </c>
      <c r="M993" t="n">
        <v>0.0035</v>
      </c>
      <c r="N993" t="n">
        <v>0.0339</v>
      </c>
      <c r="O993" t="n">
        <v>0.0403</v>
      </c>
    </row>
    <row r="994">
      <c r="A994" t="inlineStr">
        <is>
          <t>okhttp</t>
        </is>
      </c>
      <c r="B994" t="inlineStr">
        <is>
          <t>okhttp-sse/src/main/kotlin/okhttp3/sse/EventSource.kt</t>
        </is>
      </c>
      <c r="C994">
        <f>HYPERLINK("https://github.com/square/okhttp/blob/master/okhttp-sse/src/main/kotlin/okhttp3/sse/EventSource.kt")</f>
        <v/>
      </c>
      <c r="D994" t="inlineStr">
        <is>
          <t>The provided code defines an `EventSource` interface and its factory method. An instance of `EventSource` represents an event stream, which can be used to receive events from a server. The `request()` method returns the original request that initiated the event source, while the `cancel()` method releases any resources held by the event source immediately and violently.</t>
        </is>
      </c>
      <c r="E994" t="n">
        <v>0.0033</v>
      </c>
      <c r="F994" t="n">
        <v>0.0312</v>
      </c>
      <c r="G994" t="n">
        <v>0.0781</v>
      </c>
      <c r="H994" t="inlineStr">
        <is>
          <t>The code defines an `EventSource` interface and its associated factory class. The `EventSource` interface provides methods for accessing the original request that initiated the event source (`request()`), as well as a method for releasing resources (`cancel()`). The `Factory` interface defines a single method, `create()`, which creates an instance of the `EventSource` interface. The `</t>
        </is>
      </c>
      <c r="I994" t="n">
        <v>0.0034</v>
      </c>
      <c r="J994" t="n">
        <v>0.0328</v>
      </c>
      <c r="K994" t="n">
        <v>0.0397</v>
      </c>
      <c r="L994" t="inlineStr">
        <is>
          <t>The provided code defines an `EventSource` interface in Java, which provides methods for working with Server-Sent Events (SSE). It includes a `request()` method that returns the original request used to create the event source, as well as a `cancel()` method that releases any resources held by the event source. Additionally, there is a nested `Factory` interface that allows creating instances</t>
        </is>
      </c>
      <c r="M994" t="n">
        <v>0</v>
      </c>
      <c r="N994" t="n">
        <v>0</v>
      </c>
      <c r="O994" t="n">
        <v>0.0379</v>
      </c>
    </row>
    <row r="995">
      <c r="A995" t="inlineStr">
        <is>
          <t>okhttp</t>
        </is>
      </c>
      <c r="B995" t="inlineStr">
        <is>
          <t>okhttp-sse/src/main/kotlin/okhttp3/sse/EventSources.kt</t>
        </is>
      </c>
      <c r="C995">
        <f>HYPERLINK("https://github.com/square/okhttp/blob/master/okhttp-sse/src/main/kotlin/okhttp3/sse/EventSources.kt")</f>
        <v/>
      </c>
      <c r="D995" t="inlineStr">
        <is>
          <t>The `EventSources` class provides static methods for creating instances of `RealEventSource`, which is a class that implements Server-Sent Events (SSE) protocol. The `createFactory()` method takes an instance of `OkHttpClient` and returns a new instance of `RealEventSource`. This factory method is deprecated but still exists for binary compatibility reasons. The `create()`</t>
        </is>
      </c>
      <c r="E995" t="n">
        <v>0.0048</v>
      </c>
      <c r="F995" t="n">
        <v>0.0678</v>
      </c>
      <c r="G995" t="n">
        <v>0.123</v>
      </c>
      <c r="H995" t="inlineStr">
        <is>
          <t>This code defines an object called `EventSources` that provides static methods for creating instances of `RealEventSource`, which is a class that implements server-sent events (SSE). The `createFactory()` method takes an instance of `OkHttpClient` as its argument and returns a new instance of `RealEventSource`. The `createFactory()` method has been deprecated and is hidden</t>
        </is>
      </c>
      <c r="I995" t="n">
        <v>0.0046</v>
      </c>
      <c r="J995" t="n">
        <v>0.0984</v>
      </c>
      <c r="K995" t="n">
        <v>0.121</v>
      </c>
      <c r="L995" t="inlineStr">
        <is>
          <t>The code defines an `EventSources` object that provides methods for creating instances of the `EventSource` class. It also includes a deprecated method for creating factories using an `OkHttpClient`. The `EventSource` class is responsible for handling server-sent events over HTTP connections.</t>
        </is>
      </c>
      <c r="M995" t="n">
        <v>0</v>
      </c>
      <c r="N995" t="n">
        <v>0</v>
      </c>
      <c r="O995" t="n">
        <v>0.0446</v>
      </c>
    </row>
    <row r="996">
      <c r="A996" t="inlineStr">
        <is>
          <t>okhttp</t>
        </is>
      </c>
      <c r="B996" t="inlineStr">
        <is>
          <t>okhttp-sse/src/main/kotlin/okhttp3/sse/internal/ServerSentEventReader.kt</t>
        </is>
      </c>
      <c r="C996">
        <f>HYPERLINK("https://github.com/square/okhttp/blob/master/okhttp-sse/src/main/kotlin/okhttp3/sse/internal/ServerSentEventReader.kt")</f>
        <v/>
      </c>
      <c r="D996" t="inlineStr">
        <is>
          <t>The `ServerSentEventReader` class is responsible for reading data from a server-sent event stream using the OkHttp library. It takes two parameters upon initialization: a `source` which is a buffered source of data, and a `callback` which is an object that implements the `Callback` interface.
The `read()` method reads data from the input stream until it</t>
        </is>
      </c>
      <c r="E996" t="n">
        <v>0.004</v>
      </c>
      <c r="F996" t="n">
        <v>0.0312</v>
      </c>
      <c r="G996" t="n">
        <v>0.1181</v>
      </c>
      <c r="H996" t="inlineStr">
        <is>
          <t>This repository contains an implementation of a server-sent event reader in Java using OkHttp's `BufferedSource` class. The reader parses incoming data from a buffered source and invokes a callback function when it encounters an event. The callback function takes an ID string as its argument and can be used to handle events as they arrive. The reader also maintains a</t>
        </is>
      </c>
      <c r="I996" t="n">
        <v>0.0036</v>
      </c>
      <c r="J996" t="n">
        <v>0.1143</v>
      </c>
      <c r="K996" t="n">
        <v>0.1515</v>
      </c>
      <c r="L996" t="inlineStr">
        <is>
          <t>The `ServerSentEventReader` class reads server-sent events from a buffered source and invokes a callback method for each event. It has two methods: `read()` which reads the next event from the source and returns true if there was an event, or false if the end of the stream was reached, and `onEvent()` which is called when an event is read and</t>
        </is>
      </c>
      <c r="M996" t="n">
        <v>0.003</v>
      </c>
      <c r="N996" t="n">
        <v>0.029</v>
      </c>
      <c r="O996" t="n">
        <v>0.0379</v>
      </c>
    </row>
    <row r="997">
      <c r="A997" t="inlineStr">
        <is>
          <t>okhttp</t>
        </is>
      </c>
      <c r="B997" t="inlineStr">
        <is>
          <t>okhttp-sse/src/main/kotlin/okhttp3/sse/internal/RealEventSource.kt</t>
        </is>
      </c>
      <c r="C997">
        <f>HYPERLINK("https://github.com/square/okhttp/blob/master/okhttp-sse/src/main/kotlin/okhttp3/sse/internal/RealEventSource.kt")</f>
        <v/>
      </c>
      <c r="D997" t="inlineStr">
        <is>
          <t>The provided code defines a `RealEventSource` class that implements the `EventSource` interface from the OkHttp library. It has two main responsibilities:
1. Making requests to the server using the `OkHttpClient` instance provided in the constructor.
2. Handling responses from the server and parsing them into events that can be delivered to the `EventSource</t>
        </is>
      </c>
      <c r="E997" t="n">
        <v>0.0041</v>
      </c>
      <c r="F997" t="n">
        <v>0.06560000000000001</v>
      </c>
      <c r="G997" t="n">
        <v>0.12</v>
      </c>
      <c r="H997" t="inlineStr">
        <is>
          <t>This code defines a `RealEventSource` class that implements the `EventSource` interface from the OkHttp library. The constructor takes a `Request` object and an `EventSourceListener` as parameters, and it creates a new instance of the `RealEventSource` class.
The `RealEventSource` class has several methods that implement the `EventSource` interface, including</t>
        </is>
      </c>
      <c r="I997" t="n">
        <v>0.005</v>
      </c>
      <c r="J997" t="n">
        <v>0.1071</v>
      </c>
      <c r="K997" t="n">
        <v>0.125</v>
      </c>
      <c r="L997" t="inlineStr">
        <is>
          <t>The provided code defines a `RealEventSource` class that implements the `EventSource` interface from the OkHttp library. It takes two parameters upon instantiation: a `Request` object and an `EventListener` instance. The class uses these objects to establish a connection to a server via HTTP and receive events asynchronously over a Server-Sent Events (SSE) stream.</t>
        </is>
      </c>
      <c r="M997" t="n">
        <v>0.0041</v>
      </c>
      <c r="N997" t="n">
        <v>0.0645</v>
      </c>
      <c r="O997" t="n">
        <v>0.12</v>
      </c>
    </row>
    <row r="998">
      <c r="A998" t="inlineStr">
        <is>
          <t>okhttp</t>
        </is>
      </c>
      <c r="B998" t="inlineStr">
        <is>
          <t>okhttp-sse/src/main/java9/module-info.java</t>
        </is>
      </c>
      <c r="C998">
        <f>HYPERLINK("https://github.com/square/okhttp/blob/master/okhttp-sse/src/main/java9/module-info.java")</f>
        <v/>
      </c>
      <c r="D998" t="inlineStr">
        <is>
          <t>The code defines a module called `okhttp3.sse` that provides functionality for implementing server-sent events (SSE). It requires the `okhttp3` library as a dependency and exports its own package. The module is annotated with `@SuppressWarnings("module")` to suppress warnings related to the use of modules.</t>
        </is>
      </c>
      <c r="E998" t="n">
        <v>0.0056</v>
      </c>
      <c r="F998" t="n">
        <v>0.1111</v>
      </c>
      <c r="G998" t="n">
        <v>0.1739</v>
      </c>
      <c r="H998" t="inlineStr">
        <is>
          <t>This is a Java module that defines an SSE (Server-Sent Events) implementation for OkHttp3. The module requires the OkHttp3 library as a dependency and exports its own package. It appears to be a relatively small piece of code with a complexity of O(N), indicating that it has a linear time complexity in terms of the number of elements processed. The comments indicate that</t>
        </is>
      </c>
      <c r="I998" t="n">
        <v>0.0038</v>
      </c>
      <c r="J998" t="n">
        <v>0.1096</v>
      </c>
      <c r="K998" t="n">
        <v>0.1481</v>
      </c>
      <c r="L998" t="inlineStr">
        <is>
          <t>The provided code defines a module for OkHttp3's Server-Sent Events (SSE) implementation. It exports the `okhttp3.sse` package and requires the `okhttp3` module.</t>
        </is>
      </c>
      <c r="M998" t="n">
        <v>0.0103</v>
      </c>
      <c r="N998" t="n">
        <v>0.1818</v>
      </c>
      <c r="O998" t="n">
        <v>0.1064</v>
      </c>
    </row>
    <row r="999">
      <c r="A999" t="inlineStr">
        <is>
          <t>okhttp</t>
        </is>
      </c>
      <c r="B999" t="inlineStr">
        <is>
          <t>okhttp-sse/src/test/java/okhttp3/sse/internal/EventSourceRecorder.kt</t>
        </is>
      </c>
      <c r="C999">
        <f>HYPERLINK("https://github.com/square/okhttp/blob/master/okhttp-sse/src/test/java/okhttp3/sse/internal/EventSourceRecorder.kt")</f>
        <v/>
      </c>
      <c r="D999" t="inlineStr">
        <is>
          <t>This code appears to be part of an implementation of the Server-Sent Events protocol in Java using the OkHttp library. The code defines several classes related to event handling, including `EventSource`, which represents an open connection to an SSE server, and `EventReader`, which reads events from the server. It also includes a number of utility methods for working with events and connections.</t>
        </is>
      </c>
      <c r="E999" t="n">
        <v>0.0035</v>
      </c>
      <c r="F999" t="n">
        <v>0.08450000000000001</v>
      </c>
      <c r="G999" t="n">
        <v>0.1493</v>
      </c>
      <c r="H999" t="inlineStr">
        <is>
          <t>This code appears to be part of an implementation of the Server-Sent Events protocol in Java using the OkHttp library. The package name suggests that it is internal to the OkHttp project, and the comments indicate that it is intended for use as a building block for implementing SSE clients.
The `EventSource` class is the main entry point for interacting with the SSE</t>
        </is>
      </c>
      <c r="I999" t="n">
        <v>0.0034</v>
      </c>
      <c r="J999" t="n">
        <v>0.0833</v>
      </c>
      <c r="K999" t="n">
        <v>0.1481</v>
      </c>
      <c r="L999" t="inlineStr">
        <is>
          <t>The provided code defines a class called `OkHttpEventSource` that implements the `EventSource` interface from OkHttp. It provides methods for connecting to a server using Server-Sent Events (SSE), receiving events, and handling errors.
The class has several important functionalities:
* It uses the `okhttp3.OkHttpClient` library to make HTTP</t>
        </is>
      </c>
      <c r="M999" t="n">
        <v>0.0046</v>
      </c>
      <c r="N999" t="n">
        <v>0.07140000000000001</v>
      </c>
      <c r="O999" t="n">
        <v>0.1261</v>
      </c>
    </row>
    <row r="1000">
      <c r="A1000" t="inlineStr">
        <is>
          <t>okhttp</t>
        </is>
      </c>
      <c r="B1000" t="inlineStr">
        <is>
          <t>okhttp-sse/src/test/java/okhttp3/sse/internal/EventSourcesHttpTest.kt</t>
        </is>
      </c>
      <c r="C1000">
        <f>HYPERLINK("https://github.com/square/okhttp/blob/master/okhttp-sse/src/test/java/okhttp3/sse/internal/EventSourcesHttpTest.kt")</f>
        <v/>
      </c>
      <c r="D1000" t="inlineStr">
        <is>
          <t>The provided code appears to be part of an implementation of the Server-Sent Events protocol in Java using the OkHttp library. It defines several classes and methods related to event processing and handling.
The `EventSource` class is responsible for managing connections to servers that support the SSE protocol. It has several methods for sending requests, receiving responses, and handling events.</t>
        </is>
      </c>
      <c r="E1000" t="n">
        <v>0.003</v>
      </c>
      <c r="F1000" t="n">
        <v>0.058</v>
      </c>
      <c r="G1000" t="n">
        <v>0.1136</v>
      </c>
      <c r="H1000" t="inlineStr">
        <is>
          <t>This code defines a package called `okhttp3.sse.internal` that provides internal implementation details for the OkHttp library's Server-Sent Events (SSE) feature. The package includes several classes and interfaces that define how events are processed and handled within the library.
The main class of interest is `EventSources`, which is responsible for handling incoming SSE</t>
        </is>
      </c>
      <c r="I1000" t="n">
        <v>0.0042</v>
      </c>
      <c r="J1000" t="n">
        <v>0.09379999999999999</v>
      </c>
      <c r="K1000" t="n">
        <v>0.121</v>
      </c>
      <c r="L1000" t="inlineStr">
        <is>
          <t>The code defines a class named `EventSource` that processes responses from server-sent events (SSE). It uses the OkHttp library to send requests and receive responses. The class has several methods, including `processResponse`, which takes a response object as input and returns an event stream. The method iterates over each line in the response body, parses the data, and em</t>
        </is>
      </c>
      <c r="M1000" t="n">
        <v>0.0031</v>
      </c>
      <c r="N1000" t="n">
        <v>0.0294</v>
      </c>
      <c r="O1000" t="n">
        <v>0.07630000000000001</v>
      </c>
    </row>
    <row r="1001">
      <c r="A1001" t="inlineStr">
        <is>
          <t>okhttp</t>
        </is>
      </c>
      <c r="B1001" t="inlineStr">
        <is>
          <t>okhttp-sse/src/test/java/okhttp3/sse/internal/EventSourceHttpTest.kt</t>
        </is>
      </c>
      <c r="C1001">
        <f>HYPERLINK("https://github.com/square/okhttp/blob/master/okhttp-sse/src/test/java/okhttp3/sse/internal/EventSourceHttpTest.kt")</f>
        <v/>
      </c>
      <c r="D1001" t="inlineStr">
        <is>
          <t>This code implements an internal module for OkHttp that provides support for Server-Sent Events (SSE). It defines several classes and interfaces related to SSE, including `OkHttpClient`, `RequestBody`, and `ResponseBody`. The main class in this module is `RealCall`, which represents a single HTTP request and its associated response. The module also includes a number of utility functions</t>
        </is>
      </c>
      <c r="E1001" t="n">
        <v>0.0046</v>
      </c>
      <c r="F1001" t="n">
        <v>0.09229999999999999</v>
      </c>
      <c r="G1001" t="n">
        <v>0.1953</v>
      </c>
      <c r="H1001" t="inlineStr">
        <is>
          <t>This code appears to be part of an Android application that uses OkHttp library to make HTTP requests. The code defines a class called `OkHttpClient` which extends the `okhttp3.OkHttpClient` class and overrides some of its methods. It also includes a number of utility functions for working with HTTP responses and request bodies.
The main method of interest seems to be</t>
        </is>
      </c>
      <c r="I1001" t="n">
        <v>0.0036</v>
      </c>
      <c r="J1001" t="n">
        <v>0.08699999999999999</v>
      </c>
      <c r="K1001" t="n">
        <v>0.1136</v>
      </c>
      <c r="L1001" t="inlineStr">
        <is>
          <t>The code defines a system that uses OkHttp's SSE library to establish a connection with a server and receive events from the server. It also includes some additional features such as handling errors and timeouts.</t>
        </is>
      </c>
      <c r="M1001" t="n">
        <v>0.0053</v>
      </c>
      <c r="N1001" t="n">
        <v>0.0455</v>
      </c>
      <c r="O1001" t="n">
        <v>0.0935</v>
      </c>
    </row>
    <row r="1002">
      <c r="A1002" t="inlineStr">
        <is>
          <t>okhttp</t>
        </is>
      </c>
      <c r="B1002" t="inlineStr">
        <is>
          <t>okhttp-sse/src/test/java/okhttp3/sse/internal/ServerSentEventIteratorTest.kt</t>
        </is>
      </c>
      <c r="C1002">
        <f>HYPERLINK("https://github.com/square/okhttp/blob/master/okhttp-sse/src/test/java/okhttp3/sse/internal/ServerSentEventIteratorTest.kt")</f>
        <v/>
      </c>
      <c r="D1002" t="inlineStr">
        <is>
          <t>The `ServerSentEventIterator` class provides a way to iterate over a sequence of server-sent events (SSEs). It takes an input string that represents the raw SSE data and returns an iterator over the parsed events. Each event is represented as a pair of strings - the first one being the event type, and the second one being the event payload.
The class</t>
        </is>
      </c>
      <c r="E1002" t="n">
        <v>0.003</v>
      </c>
      <c r="F1002" t="n">
        <v>0.029</v>
      </c>
      <c r="G1002" t="n">
        <v>0.0376</v>
      </c>
      <c r="H1002" t="inlineStr">
        <is>
          <t>This code implements a server-sent event iterator that parses incoming data from a stream into individual events. It uses a buffered input stream to read data from the underlying source, and it maintains a queue of pending events and retry delays. The `next()` method returns the next available event, or null if there are no more events. The `hasNext()` method checks</t>
        </is>
      </c>
      <c r="I1002" t="n">
        <v>0.0039</v>
      </c>
      <c r="J1002" t="n">
        <v>0.0857</v>
      </c>
      <c r="K1002" t="n">
        <v>0.1504</v>
      </c>
      <c r="L1002" t="inlineStr">
        <is>
          <t>The provided code defines a `ServerSentEventIterator` class that iterates over server-sent event messages from an HTTP connection. It uses the OkHttp library to perform the actual HTTP communication.
The class has two main methods: `next()` and `close()`. The `next()` method returns the next event message as an `Event` object, while the `close()` method</t>
        </is>
      </c>
      <c r="M1002" t="n">
        <v>0.0035</v>
      </c>
      <c r="N1002" t="n">
        <v>0.0323</v>
      </c>
      <c r="O1002" t="n">
        <v>0.08</v>
      </c>
    </row>
    <row r="1003">
      <c r="A1003" t="inlineStr">
        <is>
          <t>okhttp</t>
        </is>
      </c>
      <c r="B1003" t="inlineStr">
        <is>
          <t>okhttp-sse/src/test/java/okhttp3/sse/internal/Event.kt</t>
        </is>
      </c>
      <c r="C1003">
        <f>HYPERLINK("https://github.com/square/okhttp/blob/master/okhttp-sse/src/test/java/okhttp3/sse/internal/Event.kt")</f>
        <v/>
      </c>
      <c r="D1003" t="inlineStr">
        <is>
          <t>The provided code defines an internal `Event` class within the `okhttp3.sse.internal` package. It has three properties:
* `id`: A string representing the event ID.
* `type`: A string representing the event type.
* `data`: A string representing the event data.
The `Event` class is used as a container for</t>
        </is>
      </c>
      <c r="E1003" t="n">
        <v>0</v>
      </c>
      <c r="F1003" t="n">
        <v>0</v>
      </c>
      <c r="G1003" t="n">
        <v>0.0413</v>
      </c>
      <c r="H1003" t="inlineStr">
        <is>
          <t>This code defines an internal data class called `Event` that represents an event in a server-sent events stream. The class has three properties:
* `id`: A string representing the ID of the event.
* `type`: A string representing the type of the event.
* `data`: A string representing the data associated with the event.
The class is defined</t>
        </is>
      </c>
      <c r="I1003" t="n">
        <v>0.0031</v>
      </c>
      <c r="J1003" t="n">
        <v>0.0312</v>
      </c>
      <c r="K1003" t="n">
        <v>0.0385</v>
      </c>
      <c r="L1003" t="inlineStr">
        <is>
          <t>The code defines an internal data class called `Event` that represents a server-sent event (SSE). It has three properties: `id`, `type`, and `data`. The `id` property can be nullable, while the `type` property can also be nullable. The `data` property is a non-null string representing the actual data sent as part of the</t>
        </is>
      </c>
      <c r="M1003" t="n">
        <v>0.0035</v>
      </c>
      <c r="N1003" t="n">
        <v>0.0317</v>
      </c>
      <c r="O1003" t="n">
        <v>0.08</v>
      </c>
    </row>
    <row r="1004">
      <c r="A1004" t="inlineStr">
        <is>
          <t>okhttp</t>
        </is>
      </c>
      <c r="B1004" t="inlineStr">
        <is>
          <t>okhttp-idna-mapping-table/src/main/kotlin/okhttp3/internal/idn/MappedRange.kt</t>
        </is>
      </c>
      <c r="C1004">
        <f>HYPERLINK("https://github.com/square/okhttp/blob/master/okhttp-idna-mapping-table/src/main/kotlin/okhttp3/internal/idn/MappedRange.kt")</f>
        <v/>
      </c>
      <c r="D1004" t="inlineStr">
        <is>
          <t>This code defines a `MappedRange` interface and several implementations of it, including `Constant`, which represents a fixed range of characters that can be mapped to a single character. The `rangeStart` property specifies the starting index of the range, while the `type` property determines the mapping behavior for each character within the range. For example, if `type` is set</t>
        </is>
      </c>
      <c r="E1004" t="n">
        <v>0.0037</v>
      </c>
      <c r="F1004" t="n">
        <v>0.0606</v>
      </c>
      <c r="G1004" t="n">
        <v>0.1538</v>
      </c>
      <c r="H1004" t="inlineStr">
        <is>
          <t>This code defines a set of classes and interfaces that represent different types of mappings between Unicode characters and their corresponding IDNA labels. The `MappedRange` interface represents a mapping from a character's index in a string to its corresponding label, which can be one of three types: ignored, valid, or disallowed. The `Constant` class implements the `MappedRange`</t>
        </is>
      </c>
      <c r="I1004" t="n">
        <v>0.0042</v>
      </c>
      <c r="J1004" t="n">
        <v>0.0606</v>
      </c>
      <c r="K1004" t="n">
        <v>0.155</v>
      </c>
      <c r="L1004" t="inlineStr">
        <is>
          <t>The provided code defines a set of classes and interfaces that provide functionality related to Internationalized Domain Names (IDNs). Specifically, the `MappedRange` interface represents a range of characters that have been mapped from their original Unicode values to ASCII values using the Punycode algorithm. The `Constant` class implements the `MappedRange` interface and provides constant values for the range</t>
        </is>
      </c>
      <c r="M1004" t="n">
        <v>0.0041</v>
      </c>
      <c r="N1004" t="n">
        <v>0.0606</v>
      </c>
      <c r="O1004" t="n">
        <v>0.1154</v>
      </c>
    </row>
    <row r="1005">
      <c r="A1005" t="inlineStr">
        <is>
          <t>okhttp</t>
        </is>
      </c>
      <c r="B1005" t="inlineStr">
        <is>
          <t>okhttp-idna-mapping-table/src/main/kotlin/okhttp3/internal/idn/IdnaMappingTableData.kt</t>
        </is>
      </c>
      <c r="C1005">
        <f>HYPERLINK("https://github.com/square/okhttp/blob/master/okhttp-idna-mapping-table/src/main/kotlin/okhttp3/internal/idn/IdnaMappingTableData.kt")</f>
        <v/>
      </c>
      <c r="D1005" t="inlineStr">
        <is>
          <t>The provided code defines an `IdnaMappingTable` class that represents a mapping between Unicode characters and their corresponding IDNA (Internationalized Domain Names in Applications) equivalents. It uses a data structure called an "IdnaMappingTableData" object to store the mapping information. The `sections`, `ranges`, and `mappings` fields of the `IdnaMappingTable</t>
        </is>
      </c>
      <c r="E1005" t="n">
        <v>0.0039</v>
      </c>
      <c r="F1005" t="n">
        <v>0.0364</v>
      </c>
      <c r="G1005" t="n">
        <v>0.08400000000000001</v>
      </c>
      <c r="H1005" t="inlineStr">
        <is>
          <t>This code defines a class called `IdnaMappingTableData` that represents data used to map Unicode characters to their IDNA representation. The class has three fields: `sections`, `ranges`, and `mappings`. The `sections` field contains a list of strings representing different parts of the IDNA mapping table, such as "Bidi", "STD3_Valid", etc</t>
        </is>
      </c>
      <c r="I1005" t="n">
        <v>0.0045</v>
      </c>
      <c r="J1005" t="n">
        <v>0.06900000000000001</v>
      </c>
      <c r="K1005" t="n">
        <v>0.124</v>
      </c>
      <c r="L1005" t="inlineStr">
        <is>
          <t>The provided code defines a class called `IdnaMappingTableData` that represents data used to construct an instance of `IdnaMappingTable`, which is a utility class used to perform IDNA (Internationalized Domain Names in Applications) mapping. The class has three properties: `sections`, `ranges`, and `mappings`, each representing a section of the IDNA mapping table</t>
        </is>
      </c>
      <c r="M1005" t="n">
        <v>0.0036</v>
      </c>
      <c r="N1005" t="n">
        <v>0.0339</v>
      </c>
      <c r="O1005" t="n">
        <v>0.0813</v>
      </c>
    </row>
    <row r="1006">
      <c r="A1006" t="inlineStr">
        <is>
          <t>okhttp</t>
        </is>
      </c>
      <c r="B1006" t="inlineStr">
        <is>
          <t>okhttp-idna-mapping-table/src/main/kotlin/okhttp3/internal/idn/GenerateIdnaMappingTableCode.kt</t>
        </is>
      </c>
      <c r="C1006">
        <f>HYPERLINK("https://github.com/square/okhttp/blob/master/okhttp-idna-mapping-table/src/main/kotlin/okhttp3/internal/idn/GenerateIdnaMappingTableCode.kt")</f>
        <v/>
      </c>
      <c r="D1006" t="inlineStr">
        <is>
          <t>The provided code generates a mapping table for IDNA (Internationalized Domain Name Algorithm) conversion. It uses the `okhttp3` library and its internal `idn` package to perform the conversion. The generated mapping table will be used to convert domain names from Unicode to ASCII format according to the rules specified in RFC 5890.
The code first loads the</t>
        </is>
      </c>
      <c r="E1006" t="n">
        <v>0.0032</v>
      </c>
      <c r="F1006" t="n">
        <v>0.0308</v>
      </c>
      <c r="G1006" t="n">
        <v>0.0775</v>
      </c>
      <c r="H1006" t="inlineStr">
        <is>
          <t>This code generates a mapping table for IDNA (Internationalized Domain Names in Applications) conversion using the Unicode Standard's algorithm. It takes a set of input files containing the IDNA mapping tables and generates a Java class that can be used to perform IDNA conversions. The generated class has a `convert` method that takes a string as input and returns its converted form according to</t>
        </is>
      </c>
      <c r="I1006" t="n">
        <v>0.0034</v>
      </c>
      <c r="J1006" t="n">
        <v>0.0548</v>
      </c>
      <c r="K1006" t="n">
        <v>0.1103</v>
      </c>
      <c r="L1006" t="inlineStr">
        <is>
          <t>The provided code generates an IDNA mapping table based on the Unicode Standard. It reads a CSV file containing the IDNA mapping data and writes the resulting table as a Kotlin class. The generated class can be used to perform various operations related to IDNA, such as converting domain names between ASCII and Unicode forms.</t>
        </is>
      </c>
      <c r="M1006" t="n">
        <v>0.0033</v>
      </c>
      <c r="N1006" t="n">
        <v>0.0317</v>
      </c>
      <c r="O1006" t="n">
        <v>0.07870000000000001</v>
      </c>
    </row>
    <row r="1007">
      <c r="A1007" t="inlineStr">
        <is>
          <t>okhttp</t>
        </is>
      </c>
      <c r="B1007" t="inlineStr">
        <is>
          <t>okhttp-idna-mapping-table/src/main/kotlin/okhttp3/internal/idn/MappingTables.kt</t>
        </is>
      </c>
      <c r="C1007">
        <f>HYPERLINK("https://github.com/square/okhttp/blob/master/okhttp-idna-mapping-table/src/main/kotlin/okhttp3/internal/idn/MappingTables.kt")</f>
        <v/>
      </c>
      <c r="D1007" t="inlineStr">
        <is>
          <t>The provided code defines a function called `buildIdnaMappingTableData` that takes an instance of `SimpleIdnaMappingTable` as input and returns an instance of `IdnaMappingTableData`. This function performs several operations on the input table data, including merging adjacent ranges, removing section spans, and extracting sections from the remaining data.
The main purpose of this</t>
        </is>
      </c>
      <c r="E1007" t="n">
        <v>0.0043</v>
      </c>
      <c r="F1007" t="n">
        <v>0.1017</v>
      </c>
      <c r="G1007" t="n">
        <v>0.122</v>
      </c>
      <c r="H1007" t="inlineStr">
        <is>
          <t>This function builds an index table for the IDNA mapping data provided in the `SimpleIdnaMappingTable` object. The resulting table is stored in the `IdnaMappingTableData` format.
The function first merges adjacent ranges in the input mappings using the `mergeAdjacentRanges` method. Then, it removes any section spans from the simplified mapping using</t>
        </is>
      </c>
      <c r="I1007" t="n">
        <v>0.0037</v>
      </c>
      <c r="J1007" t="n">
        <v>0.06900000000000001</v>
      </c>
      <c r="K1007" t="n">
        <v>0.082</v>
      </c>
      <c r="L1007" t="inlineStr">
        <is>
          <t>The provided code defines a function called `buildIdnaMappingTableData` that takes a `SimpleIdnaMappingTable` object as input and returns an `IdnaMappingTableData` object. The function performs several operations on the input table data, including merging adjacent ranges, removing section spans, and creating sections. The resulting data is then used to create an IDNA mapping table</t>
        </is>
      </c>
      <c r="M1007" t="n">
        <v>0.0035</v>
      </c>
      <c r="N1007" t="n">
        <v>0.0667</v>
      </c>
      <c r="O1007" t="n">
        <v>0.0806</v>
      </c>
    </row>
    <row r="1008">
      <c r="A1008" t="inlineStr">
        <is>
          <t>okhttp</t>
        </is>
      </c>
      <c r="B1008" t="inlineStr">
        <is>
          <t>okhttp-idna-mapping-table/src/main/kotlin/okhttp3/internal/idn/SimpleIdnaMappingTable.kt</t>
        </is>
      </c>
      <c r="C1008">
        <f>HYPERLINK("https://github.com/square/okhttp/blob/master/okhttp-idna-mapping-table/src/main/kotlin/okhttp3/internal/idn/SimpleIdnaMappingTable.kt")</f>
        <v/>
      </c>
      <c r="D1008" t="inlineStr">
        <is>
          <t>The provided code defines a class called `Idna` which represents a mapping table used in the IDNA (Internationalized Domain Name Algorithm) processing. It provides methods for performing the mapping step of IDNA processing, as well as other utility functions related to IDNA processing. The class is designed to be extensible and customizable through subclassing.</t>
        </is>
      </c>
      <c r="E1008" t="n">
        <v>0.0034</v>
      </c>
      <c r="F1008" t="n">
        <v>0.0645</v>
      </c>
      <c r="G1008" t="n">
        <v>0.0794</v>
      </c>
      <c r="H1008" t="inlineStr">
        <is>
          <t>The provided code defines a class called `Idna` that performs the mapping step of IDNA processing. It takes a string as input and returns a new string that represents the result of applying the mapping rules defined in RFC 5890. The class also includes methods for encoding and decoding strings using the IDNA algorithm.
The `Idna` class has several important</t>
        </is>
      </c>
      <c r="I1008" t="n">
        <v>0.003</v>
      </c>
      <c r="J1008" t="n">
        <v>0.0294</v>
      </c>
      <c r="K1008" t="n">
        <v>0.07580000000000001</v>
      </c>
      <c r="L1008" t="inlineStr">
        <is>
          <t>The provided code defines a class called `Idna` that performs the mapping step of IDNA processing. It takes a mapping table as input and provides methods for performing the mapping operation. The class also includes comments explaining its purpose and how it works.</t>
        </is>
      </c>
      <c r="M1008" t="n">
        <v>0.0043</v>
      </c>
      <c r="N1008" t="n">
        <v>0.0392</v>
      </c>
      <c r="O1008" t="n">
        <v>0.08699999999999999</v>
      </c>
    </row>
    <row r="1009">
      <c r="A1009" t="inlineStr">
        <is>
          <t>okhttp</t>
        </is>
      </c>
      <c r="B1009" t="inlineStr">
        <is>
          <t>okhttp-idna-mapping-table/src/test/kotlin/okhttp3/internal/idn/MappingTablesTest.kt</t>
        </is>
      </c>
      <c r="C1009">
        <f>HYPERLINK("https://github.com/square/okhttp/blob/master/okhttp-idna-mapping-table/src/test/kotlin/okhttp3/internal/idn/MappingTablesTest.kt")</f>
        <v/>
      </c>
      <c r="D1009" t="inlineStr">
        <is>
          <t>The `MappingTables` class provides methods for working with IDNA mapping tables, which are used to convert domain names from Unicode to ASCII and back again. The class has one method, `simplify()`, which takes a list of mappings as input and returns a simplified version of that list. The simplified list only includes the minimum number of mappings necessary to achieve the same result as the</t>
        </is>
      </c>
      <c r="E1009" t="n">
        <v>0.0028</v>
      </c>
      <c r="F1009" t="n">
        <v>0.0274</v>
      </c>
      <c r="G1009" t="n">
        <v>0.073</v>
      </c>
      <c r="H1009" t="inlineStr">
        <is>
          <t>The code defines a test class named `MappingTablesTest` that tests the functionality of a mapping table used in IDNA (Internationalized Domain Name Algorithm). It checks if the mappings are correctly combined when there are multiple mappings for the same input string.</t>
        </is>
      </c>
      <c r="I1009" t="n">
        <v>0.0045</v>
      </c>
      <c r="J1009" t="n">
        <v>0.0408</v>
      </c>
      <c r="K1009" t="n">
        <v>0.0442</v>
      </c>
      <c r="L1009" t="inlineStr">
        <is>
          <t>The code defines a set of mapping tables used by the OkHttp library to perform IDN (Internationalized Domain Name) processing. It includes functions for simplifying mappings, combining multiple mappings into one, and testing whether a string matches a given pattern. The code also includes unit tests using JUnit.</t>
        </is>
      </c>
      <c r="M1009" t="n">
        <v>0.0038</v>
      </c>
      <c r="N1009" t="n">
        <v>0.07140000000000001</v>
      </c>
      <c r="O1009" t="n">
        <v>0.0833</v>
      </c>
    </row>
    <row r="1010">
      <c r="A1010" t="inlineStr">
        <is>
          <t>okhttp</t>
        </is>
      </c>
      <c r="B1010" t="inlineStr">
        <is>
          <t>regression-test/src/androidTest/java/okhttp/regression/LetsEncryptTest.java</t>
        </is>
      </c>
      <c r="C1010">
        <f>HYPERLINK("https://github.com/square/okhttp/blob/master/regression-test/src/androidTest/java/okhttp/regression/LetsEncryptTest.java")</f>
        <v/>
      </c>
      <c r="D1010" t="inlineStr">
        <is>
          <t>The provided code appears to be a Java implementation of an HTTP client using the OkHttp library. It defines a class called `RegressionTest` that extends Android's `InstrumentationTestCase`. The test case uses the `okhttp` library to send requests to a server and verify the response.
The test case first initializes an instance of the `OkHttpClient`</t>
        </is>
      </c>
      <c r="E1010" t="n">
        <v>0.0034</v>
      </c>
      <c r="F1010" t="n">
        <v>0.0635</v>
      </c>
      <c r="G1010" t="n">
        <v>0.119</v>
      </c>
      <c r="H1010" t="inlineStr">
        <is>
          <t>This code implements a set of regression tests for the OkHttp library's Android integration. It uses the JUnit testing framework and the AndroidX Testing Library to run tests on Android devices. The test suite includes various scenarios that cover different aspects of the library's behavior, such as certificate pinning and connection pooling. The code also includes a number of utility methods for generating test data</t>
        </is>
      </c>
      <c r="I1010" t="n">
        <v>0.0037</v>
      </c>
      <c r="J1010" t="n">
        <v>0.08</v>
      </c>
      <c r="K1010" t="n">
        <v>0.146</v>
      </c>
      <c r="L1010" t="inlineStr">
        <is>
          <t>The provided code implements an Android unit test that verifies the correctness of SSL certificate pinning using OkHttp. It creates an instance of the `OkHttpClient` class, sets up a mock server to serve a fake SSL certificate, and then uses the client to connect to the server and verify the certificate's validity. The test checks if the certificate's subject alternative names match</t>
        </is>
      </c>
      <c r="M1010" t="n">
        <v>0.0035</v>
      </c>
      <c r="N1010" t="n">
        <v>0.0556</v>
      </c>
      <c r="O1010" t="n">
        <v>0.1119</v>
      </c>
    </row>
    <row r="1011">
      <c r="A1011" t="inlineStr">
        <is>
          <t>okhttp</t>
        </is>
      </c>
      <c r="B1011" t="inlineStr">
        <is>
          <t>regression-test/src/androidTest/java/okhttp/regression/IssueReproductionTest.java</t>
        </is>
      </c>
      <c r="C1011">
        <f>HYPERLINK("https://github.com/square/okhttp/blob/master/regression-test/src/androidTest/java/okhttp/regression/IssueReproductionTest.java")</f>
        <v/>
      </c>
      <c r="D1011" t="inlineStr">
        <is>
          <t>This code appears to be a test suite written using JUnit for Android that tests the functionality of the OkHttp library's `OkHttpClient` class. The test suite includes several test cases that verify different aspects of the client's behavior, such as its ability to send HTTP requests and receive responses, handle SSL certificates, and follow redirects.
The test cases make use of</t>
        </is>
      </c>
      <c r="E1011" t="n">
        <v>0.0039</v>
      </c>
      <c r="F1011" t="n">
        <v>0.08450000000000001</v>
      </c>
      <c r="G1011" t="n">
        <v>0.1128</v>
      </c>
      <c r="H1011" t="inlineStr">
        <is>
          <t>This Java package named `okhttp.regression` contains regression tests for the OkHttp library. The test cases are written using JUnit and AndroidJUnit4 runners. The package includes several classes that implement different types of tests, such as unit tests, integration tests, and performance tests.
The main class, `RegressionTests`, defines a set of methods that can be</t>
        </is>
      </c>
      <c r="I1011" t="n">
        <v>0.004</v>
      </c>
      <c r="J1011" t="n">
        <v>0.09520000000000001</v>
      </c>
      <c r="K1011" t="n">
        <v>0.1587</v>
      </c>
      <c r="L1011" t="inlineStr">
        <is>
          <t>The provided code implements a test suite for OkHttp's regression tests using JUnit. It creates an AndroidJUnit4 runner and imports necessary dependencies such as AndroidX Test Extensions and OkHttp3. The code then defines a test method that sets up an HTTP client, sends a request, and verifies the response status code and content type. Additionally, the code checks if the server</t>
        </is>
      </c>
      <c r="M1011" t="n">
        <v>0.0036</v>
      </c>
      <c r="N1011" t="n">
        <v>0.0571</v>
      </c>
      <c r="O1011" t="n">
        <v>0.1128</v>
      </c>
    </row>
    <row r="1012">
      <c r="A1012" t="inlineStr">
        <is>
          <t>okhttp</t>
        </is>
      </c>
      <c r="B1012" t="inlineStr">
        <is>
          <t>regression-test/src/androidTest/java/okhttp/regression/compare/AndroidHttpEngineTest.kt</t>
        </is>
      </c>
      <c r="C1012">
        <f>HYPERLINK("https://github.com/square/okhttp/blob/master/regression-test/src/androidTest/java/okhttp/regression/compare/AndroidHttpEngineTest.kt")</f>
        <v/>
      </c>
      <c r="D1012" t="inlineStr">
        <is>
          <t>This code appears to be part of an Android application that implements a HTTP client using the OkHttp library. It defines several classes and functions related to networking, including `OkHttpClient`, `HttpRequest`, `HttpResponse`, and `HttpException`. The code also includes some constants such as `REQUEST_PRIORITY_MEDIUM` and `QUIC_OPTIONS`.
The</t>
        </is>
      </c>
      <c r="E1012" t="n">
        <v>0.0053</v>
      </c>
      <c r="F1012" t="n">
        <v>0.1404</v>
      </c>
      <c r="G1012" t="n">
        <v>0.1695</v>
      </c>
      <c r="H1012" t="inlineStr">
        <is>
          <t>This code implements a HTTP client that can be used to send requests over the network. It includes several classes and methods related to networking, such as `OkHttpClient`, `HttpEngine`, `UrlRequest`, and `UrlResponse`. The code also includes comments describing the purpose of each class and method, as well as any relevant dependencies or libraries. Overall, this code appears to be a</t>
        </is>
      </c>
      <c r="I1012" t="n">
        <v>0.004</v>
      </c>
      <c r="J1012" t="n">
        <v>0.0882</v>
      </c>
      <c r="K1012" t="n">
        <v>0.1515</v>
      </c>
      <c r="L1012" t="inlineStr">
        <is>
          <t>The provided code defines a class called `OkHttpRegressionCompare` that extends the `UrlRequest` class from Android's `android.net.http` package. It provides a custom implementation of the `urlRequest()` method that takes in a `String` URL as input and returns a `UrlResp` object. The method first checks if the URL is valid using the</t>
        </is>
      </c>
      <c r="M1012" t="n">
        <v>0.0037</v>
      </c>
      <c r="N1012" t="n">
        <v>0.06560000000000001</v>
      </c>
      <c r="O1012" t="n">
        <v>0.123</v>
      </c>
    </row>
    <row r="1013">
      <c r="A1013" t="inlineStr">
        <is>
          <t>okhttp</t>
        </is>
      </c>
      <c r="B1013" t="inlineStr">
        <is>
          <t>regression-test/src/androidTest/java/okhttp/regression/compare/ApacheHttpClientTest.kt</t>
        </is>
      </c>
      <c r="C1013">
        <f>HYPERLINK("https://github.com/square/okhttp/blob/master/regression-test/src/androidTest/java/okhttp/regression/compare/ApacheHttpClientTest.kt")</f>
        <v/>
      </c>
      <c r="D1013" t="inlineStr">
        <is>
          <t>This is a Java test suite that uses the `okhttp` library to perform HTTP requests and compare their responses against expected results. The tests are annotated with `@Test`, which indicates that they should be executed as part of the test run. Each test method takes no arguments and returns void.
The `setUp()` method is called before each test method, and it creates an instance</t>
        </is>
      </c>
      <c r="E1013" t="n">
        <v>0.0034</v>
      </c>
      <c r="F1013" t="n">
        <v>0.0556</v>
      </c>
      <c r="G1013" t="n">
        <v>0.1103</v>
      </c>
      <c r="H1013" t="inlineStr">
        <is>
          <t>This code is part of an Android project that uses OkHttp library to make HTTP requests. The code defines a test case for comparing the behavior of different versions of the HttpClient class from the Apache HTTP client library. The test case sends a GET request using the HttpClient class and checks if the response status line matches the expected value. The test case also checks if the response headers match the expected</t>
        </is>
      </c>
      <c r="I1013" t="n">
        <v>0.003</v>
      </c>
      <c r="J1013" t="n">
        <v>0.0494</v>
      </c>
      <c r="K1013" t="n">
        <v>0.1034</v>
      </c>
      <c r="L1013" t="inlineStr">
        <is>
          <t>The provided code implements an HTTP client that sends GET requests using the `HttpClient` class from the Apache HttpComponents library. It uses the `HttpGet` method to construct the request and sets the `HttpVersion` to `HTTP_1_1`. The test case uses JUnit to assert that the response status code is equal to 200.</t>
        </is>
      </c>
      <c r="M1013" t="n">
        <v>0.0043</v>
      </c>
      <c r="N1013" t="n">
        <v>0.06560000000000001</v>
      </c>
      <c r="O1013" t="n">
        <v>0.122</v>
      </c>
    </row>
    <row r="1014">
      <c r="A1014" t="inlineStr">
        <is>
          <t>okhttp</t>
        </is>
      </c>
      <c r="B1014" t="inlineStr">
        <is>
          <t>regression-test/src/androidTest/java/okhttp/regression/compare/OkHttpClientTest.java</t>
        </is>
      </c>
      <c r="C1014">
        <f>HYPERLINK("https://github.com/square/okhttp/blob/master/regression-test/src/androidTest/java/okhttp/regression/compare/OkHttpClientTest.java")</f>
        <v/>
      </c>
      <c r="D1014" t="inlineStr">
        <is>
          <t>This Java project uses the OkHttp library to make HTTP requests and compare their responses. The `Compare` class contains a single method called `compare`, which takes two URLs as input and makes GET requests to both URLs using the OkHttp client. It then compares the responses from each URL and returns true if they match, false otherwise. The comparison is done using the `equals` method</t>
        </is>
      </c>
      <c r="E1014" t="n">
        <v>0.0033</v>
      </c>
      <c r="F1014" t="n">
        <v>0.0548</v>
      </c>
      <c r="G1014" t="n">
        <v>0.1095</v>
      </c>
      <c r="H1014" t="inlineStr">
        <is>
          <t>This code is part of an Android app that uses the OkHttp library to make HTTP requests. The code defines a test class named `OkHttpRegressionCompare` that extends `AndroidJUnit4`. It contains a single method called `testOkHttp`, which makes a GET request using the OkHttp client and checks if the response status code is equal to 200. The</t>
        </is>
      </c>
      <c r="I1014" t="n">
        <v>0.0039</v>
      </c>
      <c r="J1014" t="n">
        <v>0.0625</v>
      </c>
      <c r="K1014" t="n">
        <v>0.1172</v>
      </c>
      <c r="L1014" t="inlineStr">
        <is>
          <t>The provided code implements a test suite for comparing two HTTP responses using the OkHttp library. It includes a JUnit test class that defines a single test method, `testCompareResponses`, which takes two HTTP response objects as input and compares their headers, status codes, and bodies. The test uses the `assertEquals` method from JUnit's Assert class to verify</t>
        </is>
      </c>
      <c r="M1014" t="n">
        <v>0.0038</v>
      </c>
      <c r="N1014" t="n">
        <v>0.0606</v>
      </c>
      <c r="O1014" t="n">
        <v>0.1163</v>
      </c>
    </row>
    <row r="1015">
      <c r="A1015" t="inlineStr">
        <is>
          <t>okhttp</t>
        </is>
      </c>
      <c r="B1015" t="inlineStr">
        <is>
          <t>regression-test/src/androidTest/java/okhttp/regression/compare/ApacheHttpClientHttp2Test.kt</t>
        </is>
      </c>
      <c r="C1015">
        <f>HYPERLINK("https://github.com/square/okhttp/blob/master/regression-test/src/androidTest/java/okhttp/regression/compare/ApacheHttpClientHttp2Test.kt")</f>
        <v/>
      </c>
      <c r="D1015" t="inlineStr">
        <is>
          <t>This code appears to be a Java implementation of various algorithms used in data structures and algorithms. It includes implementations of sorting algorithms such as bubble sort, insertion sort, and selection sort, as well as search algorithms like linear search and binary search. Additionally, it also includes some utility functions for manipulating arrays and strings. The code is well-documented and has been tested using JUnit</t>
        </is>
      </c>
      <c r="E1015" t="n">
        <v>0.0033</v>
      </c>
      <c r="F1015" t="n">
        <v>0.1081</v>
      </c>
      <c r="G1015" t="n">
        <v>0.146</v>
      </c>
      <c r="H1015" t="inlineStr">
        <is>
          <t>This code implements a backend system that processes data using various algorithms. It has a complexity of O(N), where N represents the size of the input data. The code includes comments explaining the implementation of the core algorithms, as well as a README file that provides an overview of the project's purpose and structure. The code was initially committed to the repository, resulting in a total</t>
        </is>
      </c>
      <c r="I1015" t="n">
        <v>0.0039</v>
      </c>
      <c r="J1015" t="n">
        <v>0.1053</v>
      </c>
      <c r="K1015" t="n">
        <v>0.1812</v>
      </c>
      <c r="L1015" t="inlineStr">
        <is>
          <t>This code implements various algorithms related to data processing and analysis. It uses a variety of libraries and frameworks to provide efficient and scalable solutions. The primary function of the code is to perform complex calculations on large datasets, such as statistical analysis, data visualization, and machine learning.</t>
        </is>
      </c>
      <c r="M1015" t="n">
        <v>0.005</v>
      </c>
      <c r="N1015" t="n">
        <v>0.1429</v>
      </c>
      <c r="O1015" t="n">
        <v>0.1667</v>
      </c>
    </row>
    <row r="1016">
      <c r="A1016" t="inlineStr">
        <is>
          <t>okhttp</t>
        </is>
      </c>
      <c r="B1016" t="inlineStr">
        <is>
          <t>okhttp-logging-interceptor/src/main/kotlin/okhttp3/logging/LoggingEventListener.kt</t>
        </is>
      </c>
      <c r="C1016">
        <f>HYPERLINK("https://github.com/square/okhttp/blob/master/okhttp-logging-interceptor/src/main/kotlin/okhttp3/logging/LoggingEventListener.kt")</f>
        <v/>
      </c>
      <c r="D1016" t="inlineStr">
        <is>
          <t>This code implements a logging interceptor for OkHttp client requests. It logs information about each request, including the URL, method, headers, body, response status, and duration. The code also includes a custom event listener that fires events when certain actions occur during the request lifecycle, such as when a connection is established or when a redirect occurs. Additionally, it provides a custom dispatcher implementation</t>
        </is>
      </c>
      <c r="E1016" t="n">
        <v>0.0037</v>
      </c>
      <c r="F1016" t="n">
        <v>0.0833</v>
      </c>
      <c r="G1016" t="n">
        <v>0.1103</v>
      </c>
      <c r="H1016" t="inlineStr">
        <is>
          <t>This code appears to be a Java implementation of an OkHttp client library that provides logging capabilities for HTTP requests. The `okhttp3` package includes several classes related to networking, including `OkHttpClient`, `Call`, `Connection`, `Dispatcher`, `EventListener`, `Handshake`, `HttpUrl`, `Protocol`, and `Request`. The `LoggingInterceptor` class implements the</t>
        </is>
      </c>
      <c r="I1016" t="n">
        <v>0.0054</v>
      </c>
      <c r="J1016" t="n">
        <v>0.1132</v>
      </c>
      <c r="K1016" t="n">
        <v>0.1282</v>
      </c>
      <c r="L1016" t="inlineStr">
        <is>
          <t>The provided code implements a logging interceptor for OkHttp client requests. It logs request and response details, including headers, bodies, and metadata such as protocol, status codes, and duration. The interceptor can be added to an existing OkHttp client instance using the `addInterceptor` method.</t>
        </is>
      </c>
      <c r="M1016" t="n">
        <v>0.005</v>
      </c>
      <c r="N1016" t="n">
        <v>0.0769</v>
      </c>
      <c r="O1016" t="n">
        <v>0.1293</v>
      </c>
    </row>
    <row r="1017">
      <c r="A1017" t="inlineStr">
        <is>
          <t>okhttp</t>
        </is>
      </c>
      <c r="B1017" t="inlineStr">
        <is>
          <t>okhttp-logging-interceptor/src/main/kotlin/okhttp3/logging/HttpLoggingInterceptor.kt</t>
        </is>
      </c>
      <c r="C1017">
        <f>HYPERLINK("https://github.com/square/okhttp/blob/master/okhttp-logging-interceptor/src/main/kotlin/okhttp3/logging/HttpLoggingInterceptor.kt")</f>
        <v/>
      </c>
      <c r="D1017" t="inlineStr">
        <is>
          <t>The provided code defines an `okhttp3.logging` package that provides logging functionality for HTTP requests and responses using OkHttp's interceptors. It includes several classes and methods, including:
* `LoggingInterceptor`: An interceptor class that logs information about HTTP requests and responses, such as the request method, URL, headers, body, and response status code and message.</t>
        </is>
      </c>
      <c r="E1017" t="n">
        <v>0.0041</v>
      </c>
      <c r="F1017" t="n">
        <v>0.0645</v>
      </c>
      <c r="G1017" t="n">
        <v>0.08</v>
      </c>
      <c r="H1017" t="inlineStr">
        <is>
          <t>This code defines an `okhttp3.logging` package that provides logging capabilities for HTTP requests and responses using OkHttp. It includes several classes and interfaces, including `LoggingInterceptor`, which implements the `Interceptor` interface from OkHttp and provides logging functionality for HTTP requests and responses. The `LoggingInterceptor` class has several methods, such as `intercept()` and `log()`,</t>
        </is>
      </c>
      <c r="I1017" t="n">
        <v>0.005</v>
      </c>
      <c r="J1017" t="n">
        <v>0.1311</v>
      </c>
      <c r="K1017" t="n">
        <v>0.1613</v>
      </c>
      <c r="L1017" t="inlineStr">
        <is>
          <t>The provided code defines a logging interceptor for OkHttp client requests and responses. It logs request headers, body, and response status line, as well as response headers and body. The interceptor uses Java's built-in `Logger` class to log messages to standard output. The implementation also includes support for logging bodies of requests and responses that have a content length greater than zero.</t>
        </is>
      </c>
      <c r="M1017" t="n">
        <v>0.0029</v>
      </c>
      <c r="N1017" t="n">
        <v>0.0556</v>
      </c>
      <c r="O1017" t="n">
        <v>0.1119</v>
      </c>
    </row>
    <row r="1018">
      <c r="A1018" t="inlineStr">
        <is>
          <t>okhttp</t>
        </is>
      </c>
      <c r="B1018" t="inlineStr">
        <is>
          <t>okhttp-logging-interceptor/src/main/java9/module-info.java</t>
        </is>
      </c>
      <c r="C1018">
        <f>HYPERLINK("https://github.com/square/okhttp/blob/master/okhttp-logging-interceptor/src/main/java9/module-info.java")</f>
        <v/>
      </c>
      <c r="D1018" t="inlineStr">
        <is>
          <t>This is a Java module declaration file for the `okhttp3.logging` package. It specifies that this package depends on the `okhttp3` package and exports its contents to other packages. The `@SuppressWarnings("module")` annotation suppresses warnings about using the "module" word in the name of the module.</t>
        </is>
      </c>
      <c r="E1018" t="n">
        <v>0.0055</v>
      </c>
      <c r="F1018" t="n">
        <v>0.1111</v>
      </c>
      <c r="G1018" t="n">
        <v>0.1724</v>
      </c>
      <c r="H1018" t="inlineStr">
        <is>
          <t>This is a Java module definition file that defines a new module called "okhttp3.logging" that depends on another module called "okhttp3". The module exports its own package, "okhttp3.logging", and provides a way to suppress warnings from the "module" annotation.</t>
        </is>
      </c>
      <c r="I1018" t="n">
        <v>0.0062</v>
      </c>
      <c r="J1018" t="n">
        <v>0.1224</v>
      </c>
      <c r="K1018" t="n">
        <v>0.1351</v>
      </c>
      <c r="L1018" t="inlineStr">
        <is>
          <t>The provided code defines a module for logging purposes in the OkHttp library. It exports the `okhttp3.logging` package and requires the `okhttp3` dependency.</t>
        </is>
      </c>
      <c r="M1018" t="n">
        <v>0.0098</v>
      </c>
      <c r="N1018" t="n">
        <v>0.125</v>
      </c>
      <c r="O1018" t="n">
        <v>0.1053</v>
      </c>
    </row>
    <row r="1019">
      <c r="A1019" t="inlineStr">
        <is>
          <t>okhttp</t>
        </is>
      </c>
      <c r="B1019" t="inlineStr">
        <is>
          <t>okhttp-logging-interceptor/src/test/java/okhttp3/logging/LoggingEventListenerTest.kt</t>
        </is>
      </c>
      <c r="C1019">
        <f>HYPERLINK("https://github.com/square/okhttp/blob/master/okhttp-logging-interceptor/src/test/java/okhttp3/logging/LoggingEventListenerTest.kt")</f>
        <v/>
      </c>
      <c r="D1019" t="inlineStr">
        <is>
          <t>This code appears to be a Java implementation of an HTTP client using OkHttp library. It includes a `LoggingInterceptor` class that extends the `Interceptor` interface from OkHttp and overrides its `intercept()` method to log requests and responses. The interceptor can be added to an instance of `OkHttpClient` using the `addInterceptor()` method.
The code also</t>
        </is>
      </c>
      <c r="E1019" t="n">
        <v>0.004</v>
      </c>
      <c r="F1019" t="n">
        <v>0.0968</v>
      </c>
      <c r="G1019" t="n">
        <v>0.1587</v>
      </c>
      <c r="H1019" t="inlineStr">
        <is>
          <t>This code appears to be a Java library for logging HTTP requests and responses made using OkHttp. It uses MockWebServer from JUnit 5 to create a local web server that can simulate HTTP requests and responses. The library provides several functions for configuring and starting the logger, as well as methods for adding custom loggers and interceptors. The main class, `LoggingInterceptor`, implements</t>
        </is>
      </c>
      <c r="I1019" t="n">
        <v>0.0039</v>
      </c>
      <c r="J1019" t="n">
        <v>0.0857</v>
      </c>
      <c r="K1019" t="n">
        <v>0.1493</v>
      </c>
      <c r="L1019" t="inlineStr">
        <is>
          <t>The code provides a logging interceptor for OkHttp requests and responses. It logs request headers, body, response headers, and response body. The interceptor also handles exceptions such as UnknownHostException and IOException.</t>
        </is>
      </c>
      <c r="M1019" t="n">
        <v>0.006</v>
      </c>
      <c r="N1019" t="n">
        <v>0.0513</v>
      </c>
      <c r="O1019" t="n">
        <v>0.0485</v>
      </c>
    </row>
    <row r="1020">
      <c r="A1020" t="inlineStr">
        <is>
          <t>okhttp</t>
        </is>
      </c>
      <c r="B1020" t="inlineStr">
        <is>
          <t>okhttp-logging-interceptor/src/test/java/okhttp3/logging/HttpLoggingInterceptorTest.kt</t>
        </is>
      </c>
      <c r="C1020">
        <f>HYPERLINK("https://github.com/square/okhttp/blob/master/okhttp-logging-interceptor/src/test/java/okhttp3/logging/HttpLoggingInterceptorTest.kt")</f>
        <v/>
      </c>
      <c r="D1020" t="inlineStr">
        <is>
          <t>This code implements a logging system for OkHttp requests and responses using MockWebServer. It includes unit tests that verify the correctness of the implementation. The code uses AssertJ for assertion checks and Mockito for mocking.
The main class `OkHttpLoggingInterceptor` extends `okhttp3.Interceptor`, which allows it to intercept and log HTTP requests and responses made through Ok</t>
        </is>
      </c>
      <c r="E1020" t="n">
        <v>0.0044</v>
      </c>
      <c r="F1020" t="n">
        <v>0.09379999999999999</v>
      </c>
      <c r="G1020" t="n">
        <v>0.1575</v>
      </c>
      <c r="H1020" t="inlineStr">
        <is>
          <t>This code implements a logging system for OkHttp3, which is a popular HTTP client library for Android and Java applications. The code is written in Kotlin, and it includes unit tests using JUnit5 and AssertJ.
The main class, `OkHttpLogging`, defines a custom logger that can be used to log messages from OkHttp3 requests and responses. It has several</t>
        </is>
      </c>
      <c r="I1020" t="n">
        <v>0.0041</v>
      </c>
      <c r="J1020" t="n">
        <v>0.09089999999999999</v>
      </c>
      <c r="K1020" t="n">
        <v>0.1538</v>
      </c>
      <c r="L1020" t="inlineStr">
        <is>
          <t>The provided code implements logging functionality for OkHttp requests and responses. It uses the MockWebServer library to simulate HTTP servers and test the logging functionality. The code includes unit tests that verify the expected log messages are generated when certain conditions are met. The overall functionality of the code is to provide a simple way to enable request and response logging for OkHttp clients.</t>
        </is>
      </c>
      <c r="M1020" t="n">
        <v>0.0037</v>
      </c>
      <c r="N1020" t="n">
        <v>0.0833</v>
      </c>
      <c r="O1020" t="n">
        <v>0.1103</v>
      </c>
    </row>
    <row r="1021">
      <c r="A1021" t="inlineStr">
        <is>
          <t>okhttp</t>
        </is>
      </c>
      <c r="B1021" t="inlineStr">
        <is>
          <t>maven-tests/src/main/java/com/squareup/okhttp3/maventest/SampleHttpClient.java</t>
        </is>
      </c>
      <c r="C1021">
        <f>HYPERLINK("https://github.com/square/okhttp/blob/master/maven-tests/src/main/java/com/squareup/okhttp3/maventest/SampleHttpClient.java")</f>
        <v/>
      </c>
      <c r="D1021" t="inlineStr">
        <is>
          <t>The provided code defines a `SampleHttpClient` class that uses the `OkHttpClient` library to make HTTP requests. It has one method called `makeCall`, which takes a `HttpUrl` object as input and makes a GET request to the specified URL using the `OkHttpClient`. The method returns a `Response` object containing the response from the server.
The constructor</t>
        </is>
      </c>
      <c r="E1021" t="n">
        <v>0.0033</v>
      </c>
      <c r="F1021" t="n">
        <v>0.0317</v>
      </c>
      <c r="G1021" t="n">
        <v>0.07870000000000001</v>
      </c>
      <c r="H1021" t="inlineStr">
        <is>
          <t>This Java package `com.squareup.okhttp3.maventest` contains a sample HTTP client implementation using the OkHttp library. The `SampleHttpClient` class provides a single method called `makeCall`, which takes an instance of `HttpUrl` as input and makes an HTTP request to the specified URL. The method returns a response object that can be used to access</t>
        </is>
      </c>
      <c r="I1021" t="n">
        <v>0.0042</v>
      </c>
      <c r="J1021" t="n">
        <v>0.09520000000000001</v>
      </c>
      <c r="K1021" t="n">
        <v>0.1613</v>
      </c>
      <c r="L1021" t="inlineStr">
        <is>
          <t>The provided code implements a simple HTTP client using the `OkHttp` library. It provides a method called `makeCall()` that takes a `HttpUrl` object as input and makes a GET request to the specified URL. The method returns a `Response` object containing the response headers and body. The client uses the `OkHttpClient` instance to execute the request.</t>
        </is>
      </c>
      <c r="M1021" t="n">
        <v>0.0039</v>
      </c>
      <c r="N1021" t="n">
        <v>0.0625</v>
      </c>
      <c r="O1021" t="n">
        <v>0.1172</v>
      </c>
    </row>
    <row r="1022">
      <c r="A1022" t="inlineStr">
        <is>
          <t>okhttp</t>
        </is>
      </c>
      <c r="B1022" t="inlineStr">
        <is>
          <t>maven-tests/src/test/java/com/squareup/okhttp3/maventest/AppTest.java</t>
        </is>
      </c>
      <c r="C1022">
        <f>HYPERLINK("https://github.com/square/okhttp/blob/master/maven-tests/src/test/java/com/squareup/okhttp3/maventest/AppTest.java")</f>
        <v/>
      </c>
      <c r="D1022" t="inlineStr">
        <is>
          <t>The provided code appears to be a unit test for an application that uses OkHttp and MockWebServer libraries to perform HTTP requests. The test sets up a local server using MockWebServer and enqueues a response from it. It then sends a request to the server using OkHttp and verifies that the response matches the expected value.</t>
        </is>
      </c>
      <c r="E1022" t="n">
        <v>0.0033</v>
      </c>
      <c r="F1022" t="n">
        <v>0.0312</v>
      </c>
      <c r="G1022" t="n">
        <v>0.0781</v>
      </c>
      <c r="H1022" t="inlineStr">
        <is>
          <t>This repository contains Java code that implements a unit test for a web server using the OkHttp library. The test sets up a mock web server using the `mockwebserver3` package and sends a request to it using the `OkHttpClient`. The response from the server is then checked against expected values using JUnit assertions.</t>
        </is>
      </c>
      <c r="I1022" t="n">
        <v>0.0045</v>
      </c>
      <c r="J1022" t="n">
        <v>0.0984</v>
      </c>
      <c r="K1022" t="n">
        <v>0.16</v>
      </c>
      <c r="L1022" t="inlineStr">
        <is>
          <t>The provided code is a unit test for a Java application that uses OkHttp and MockWebServer libraries to perform various HTTP requests. The test case sets up a MockWebServer instance and enqueues a response using the `mockWebServer.enqueue()` method. It then sends a GET request to the server using the `OkHttpClient` library and verifies the response headers using the</t>
        </is>
      </c>
      <c r="M1022" t="n">
        <v>0.0031</v>
      </c>
      <c r="N1022" t="n">
        <v>0.0299</v>
      </c>
      <c r="O1022" t="n">
        <v>0.0769</v>
      </c>
    </row>
    <row r="1023">
      <c r="A1023" t="inlineStr">
        <is>
          <t>okhttp</t>
        </is>
      </c>
      <c r="B1023" t="inlineStr">
        <is>
          <t>module-tests/src/main/java/module-info.java</t>
        </is>
      </c>
      <c r="C1023">
        <f>HYPERLINK("https://github.com/square/okhttp/blob/master/module-tests/src/main/java/module-info.java")</f>
        <v/>
      </c>
      <c r="D1023" t="inlineStr">
        <is>
          <t>This is a Java module declaration file for the `okhttp3` library. The module exports the `okhttp3.modules` package, which provides additional functionality to the base `okhttp3` library. It requires the `okhttp3` and `jdk.crypto.ec` modules, and it also requires the `okhttp3.logging` module.</t>
        </is>
      </c>
      <c r="E1023" t="n">
        <v>0.0065</v>
      </c>
      <c r="F1023" t="n">
        <v>0.1538</v>
      </c>
      <c r="G1023" t="n">
        <v>0.1786</v>
      </c>
      <c r="H1023" t="inlineStr">
        <is>
          <t>This is a Java module declaration file that defines a new module called "okhttp3.modules" which depends on other modules named "okhttp3" and "okhttp3.logging". The module exports its own package "okhttp3.modules", and it requires the JDK's crypto EC library. The complexity of this module is O(N), where N is the</t>
        </is>
      </c>
      <c r="I1023" t="n">
        <v>0.0049</v>
      </c>
      <c r="J1023" t="n">
        <v>0.0968</v>
      </c>
      <c r="K1023" t="n">
        <v>0.124</v>
      </c>
      <c r="L1023" t="inlineStr">
        <is>
          <t>The provided code defines a module for OkHttp3 that exports the `okhttp3.modules` package. It requires the `okhttp3` and `okhttp3.logging` modules and the JDK's crypto EC library. The module is annotated as `@SuppressWarnings("module")` to suppress warnings related to module usage.</t>
        </is>
      </c>
      <c r="M1023" t="n">
        <v>0.0056</v>
      </c>
      <c r="N1023" t="n">
        <v>0.0784</v>
      </c>
      <c r="O1023" t="n">
        <v>0.0901</v>
      </c>
    </row>
    <row r="1024">
      <c r="A1024" t="inlineStr">
        <is>
          <t>okhttp</t>
        </is>
      </c>
      <c r="B1024" t="inlineStr">
        <is>
          <t>module-tests/src/main/java/okhttp3/modules/OkHttpCaller.java</t>
        </is>
      </c>
      <c r="C1024">
        <f>HYPERLINK("https://github.com/square/okhttp/blob/master/module-tests/src/main/java/okhttp3/modules/OkHttpCaller.java")</f>
        <v/>
      </c>
      <c r="D1024" t="inlineStr">
        <is>
          <t>The `OkHttpCaller` class provides a simple method called `callOkHttp()` that takes a `HttpUrl` object as input and returns an instance of `Call`. This method creates a new `OkHttpClient` using the builder pattern and then calls the `newCall()` method on it, passing in a `Request` object constructed from the `url` parameter. Finally,</t>
        </is>
      </c>
      <c r="E1024" t="n">
        <v>0.0043</v>
      </c>
      <c r="F1024" t="n">
        <v>0.0678</v>
      </c>
      <c r="G1024" t="n">
        <v>0.122</v>
      </c>
      <c r="H1024" t="inlineStr">
        <is>
          <t>The `OkHttpCaller` class provides a method called `callOkHttp`, which takes a `HttpUrl` object as input and returns an instance of the `Call` interface from the `okhttp3` library. This method creates a new instance of the `OkHttpClient` class using the builder pattern, sets up logging interception using the `HttpLoggingInterceptor` class</t>
        </is>
      </c>
      <c r="I1024" t="n">
        <v>0.0045</v>
      </c>
      <c r="J1024" t="n">
        <v>0.0351</v>
      </c>
      <c r="K1024" t="n">
        <v>0.124</v>
      </c>
      <c r="L1024" t="inlineStr">
        <is>
          <t>The code defines a class called `OkHttpCaller` that provides a method called `callOkHttp`, which takes a `HttpUrl` object as input and returns a `Call` object from the `okhttp3` library. The method creates a new instance of the `OkHttpClient` class using the `Builder` pattern, sets up some logging options using the `HttpLog</t>
        </is>
      </c>
      <c r="M1024" t="n">
        <v>0.0036</v>
      </c>
      <c r="N1024" t="n">
        <v>0.0339</v>
      </c>
      <c r="O1024" t="n">
        <v>0.0813</v>
      </c>
    </row>
    <row r="1025">
      <c r="A1025" t="inlineStr">
        <is>
          <t>okhttp</t>
        </is>
      </c>
      <c r="B1025" t="inlineStr">
        <is>
          <t>module-tests/src/main/java/okhttp3/modules/Main.java</t>
        </is>
      </c>
      <c r="C1025">
        <f>HYPERLINK("https://github.com/square/okhttp/blob/master/module-tests/src/main/java/okhttp3/modules/Main.java")</f>
        <v/>
      </c>
      <c r="D1025" t="inlineStr">
        <is>
          <t>The provided code defines a Java application that uses the `okhttp3` library to make an HTTP request to the URL specified in the `main()` method. It then prints the response body as a string to the console. The code imports the necessary classes from the `okhttp3` library, including `Call`, `HttpUrl`, and `IOException`. The `Main` class also includes</t>
        </is>
      </c>
      <c r="E1025" t="n">
        <v>0.0032</v>
      </c>
      <c r="F1025" t="n">
        <v>0.0308</v>
      </c>
      <c r="G1025" t="n">
        <v>0.0775</v>
      </c>
      <c r="H1025" t="inlineStr">
        <is>
          <t>This code defines a Java package called `okhttp3.modules` that provides a module for making HTTP requests using the OkHttp library. The `Main` class is the entry point of the program, which calls the `callOkHttp()` method from the `OkHttpCaller` class to make an HTTP request to the specified URL (`https://square.com/robots.txt</t>
        </is>
      </c>
      <c r="I1025" t="n">
        <v>0.0045</v>
      </c>
      <c r="J1025" t="n">
        <v>0.0645</v>
      </c>
      <c r="K1025" t="n">
        <v>0.124</v>
      </c>
      <c r="L1025" t="inlineStr">
        <is>
          <t>The code in the provided file defines a `Main` class that uses the `OkHttpCaller` class to make an HTTP request to the URL specified in the `HttpUrl`. The response from the server is then printed to the console using the `System.out.println()` method.</t>
        </is>
      </c>
      <c r="M1025" t="n">
        <v>0</v>
      </c>
      <c r="N1025" t="n">
        <v>0</v>
      </c>
      <c r="O1025" t="n">
        <v>0.0439</v>
      </c>
    </row>
    <row r="1026">
      <c r="A1026" t="inlineStr">
        <is>
          <t>okhttp</t>
        </is>
      </c>
      <c r="B1026" t="inlineStr">
        <is>
          <t>module-tests/src/test/java/module-info.java</t>
        </is>
      </c>
      <c r="C1026">
        <f>HYPERLINK("https://github.com/square/okhttp/blob/master/module-tests/src/test/java/module-info.java")</f>
        <v/>
      </c>
      <c r="D1026" t="inlineStr">
        <is>
          <t>This is a Java module declaration file for a project called "okhttp3.modules.test". It specifies that this module depends on other modules named "okhttp3", "okhttp3.logging", "mockwebserver3", "mockwebserver3.junit5", "jdk.crypto.ec", "org.junit.jupiter.api", and "</t>
        </is>
      </c>
      <c r="E1026" t="n">
        <v>0.008200000000000001</v>
      </c>
      <c r="F1026" t="n">
        <v>0.1304</v>
      </c>
      <c r="G1026" t="n">
        <v>0.1471</v>
      </c>
      <c r="H1026" t="inlineStr">
        <is>
          <t>This is a Java module declaration file that defines a new module called "okhttp3.modules.test". It requires several other modules, including "okhttp3", "okhttp3.logging", "mockwebserver3", "mockwebserver3.junit5", "jdk.crypto.ec", and "org.junit.jupiter.api". The module also</t>
        </is>
      </c>
      <c r="I1026" t="n">
        <v>0.008200000000000001</v>
      </c>
      <c r="J1026" t="n">
        <v>0.1277</v>
      </c>
      <c r="K1026" t="n">
        <v>0.1471</v>
      </c>
      <c r="L1026" t="inlineStr">
        <is>
          <t>The provided code defines a module for testing OkHttp3 libraries. It requires several other modules, including `okhttp3`, `okhttp3.logging`, `mockwebserver3`, and `mockwebserver3.junit5`. It also requires the JDK's crypto library (`jdk.crypto.ec`) and the JUnit 5 API (`org.junit.</t>
        </is>
      </c>
      <c r="M1026" t="n">
        <v>0.0063</v>
      </c>
      <c r="N1026" t="n">
        <v>0.08160000000000001</v>
      </c>
      <c r="O1026" t="n">
        <v>0.0935</v>
      </c>
    </row>
    <row r="1027">
      <c r="A1027" t="inlineStr">
        <is>
          <t>okhttp</t>
        </is>
      </c>
      <c r="B1027" t="inlineStr">
        <is>
          <t>module-tests/src/test/java/okhttp3/modules/test/JavaModuleTest.java</t>
        </is>
      </c>
      <c r="C1027">
        <f>HYPERLINK("https://github.com/square/okhttp/blob/master/module-tests/src/test/java/okhttp3/modules/test/JavaModuleTest.java")</f>
        <v/>
      </c>
      <c r="D1027" t="inlineStr">
        <is>
          <t>This code appears to be part of a unit test suite for an HTTP client library called OkHttp. The test cases are using the `mockwebserver3` library to create a mock server that responds to requests with predefined responses. The tests then send requests to the mock server using the `OkHttpClient` class and verify the response headers and body content.
The code defines</t>
        </is>
      </c>
      <c r="E1027" t="n">
        <v>0.0035</v>
      </c>
      <c r="F1027" t="n">
        <v>0.0571</v>
      </c>
      <c r="G1027" t="n">
        <v>0.1119</v>
      </c>
      <c r="H1027" t="inlineStr">
        <is>
          <t>This code defines a Java package called `okhttp3.modules.test` that contains unit tests for the OkHttp library's HTTP client implementation. The package includes several classes, including `MockWebServer`, which provides a test server that can be used to simulate HTTP requests and responses, and `OkHttpCaller`, which encapsulates the logic for making HTTP requests using the</t>
        </is>
      </c>
      <c r="I1027" t="n">
        <v>0.0041</v>
      </c>
      <c r="J1027" t="n">
        <v>0.1562</v>
      </c>
      <c r="K1027" t="n">
        <v>0.12</v>
      </c>
      <c r="L1027" t="inlineStr">
        <is>
          <t>The provided code defines a JUnit test class that tests the `OkHttpCaller` class from the OkHttp library. It sets up a MockWebServer to simulate a server response and then uses the `OkHttpCaller` class to make a request to the server. The test verifies that the response headers and body match the expected values.</t>
        </is>
      </c>
      <c r="M1027" t="n">
        <v>0.0035</v>
      </c>
      <c r="N1027" t="n">
        <v>0.0328</v>
      </c>
      <c r="O1027" t="n">
        <v>0.08</v>
      </c>
    </row>
    <row r="1028">
      <c r="A1028" t="inlineStr">
        <is>
          <t>okhttp</t>
        </is>
      </c>
      <c r="B1028" t="inlineStr">
        <is>
          <t>okhttp-testing-support/src/main/kotlin/okhttp3/ForwardingResponseBody.kt</t>
        </is>
      </c>
      <c r="C1028">
        <f>HYPERLINK("https://github.com/square/okhttp/blob/master/okhttp-testing-support/src/main/kotlin/okhttp3/ForwardingResponseBody.kt")</f>
        <v/>
      </c>
      <c r="D1028" t="inlineStr">
        <is>
          <t>The `ForwardingResponseBody` class is a wrapper around another `ResponseBody` instance that allows you to intercept and modify its behavior. It provides a way to decorate or extend the existing response body without modifying its original implementation.
The class has one constructor that takes a single argument of type `ResponseBody`, which it stores as a field called `delegate`. It also defines</t>
        </is>
      </c>
      <c r="E1028" t="n">
        <v>0.003</v>
      </c>
      <c r="F1028" t="n">
        <v>0.0294</v>
      </c>
      <c r="G1028" t="n">
        <v>0.0379</v>
      </c>
      <c r="H1028" t="inlineStr">
        <is>
          <t>This code defines an open class called `ForwardingResponseBody` that extends the `ResponseBody` interface from OkHttp3. The class has one constructor that takes a single argument of type `ResponseBody`, which it stores as a field called `delegate`. It also implements three methods from the `ResponseBody` interface: `contentType()`, `contentLength()`, and `source()`. These</t>
        </is>
      </c>
      <c r="I1028" t="n">
        <v>0.0048</v>
      </c>
      <c r="J1028" t="n">
        <v>0.1034</v>
      </c>
      <c r="K1028" t="n">
        <v>0.123</v>
      </c>
      <c r="L1028" t="inlineStr">
        <is>
          <t>The code defines a `ForwardingResponseBody` class that extends the `ResponseBody` class from OkHttp. It takes a delegate `ResponseBody` object as a constructor argument and provides a wrapper around it. The wrapper exposes the same methods as the original `ResponseBody`, such as `contentType()`, `contentLength()`, and `source()`. However, instead of returning the actual</t>
        </is>
      </c>
      <c r="M1028" t="n">
        <v>0.0036</v>
      </c>
      <c r="N1028" t="n">
        <v>0.0339</v>
      </c>
      <c r="O1028" t="n">
        <v>0.0407</v>
      </c>
    </row>
    <row r="1029">
      <c r="A1029" t="inlineStr">
        <is>
          <t>okhttp</t>
        </is>
      </c>
      <c r="B1029" t="inlineStr">
        <is>
          <t>okhttp-testing-support/src/main/kotlin/okhttp3/RecordingConnectionListener.kt</t>
        </is>
      </c>
      <c r="C1029">
        <f>HYPERLINK("https://github.com/square/okhttp/blob/master/okhttp-testing-support/src/main/kotlin/okhttp3/RecordingConnectionListener.kt")</f>
        <v/>
      </c>
      <c r="D1029" t="inlineStr">
        <is>
          <t>This code appears to be part of an HTTP client library called OkHttp. It defines a class named `OkHttpClient` that implements the `okhttp3.OkHttpClient` interface. The class has several fields and methods, including a constructor, getters, setters, and some utility functions.
The main purpose of this class seems to be to provide a way to send</t>
        </is>
      </c>
      <c r="E1029" t="n">
        <v>0.0044</v>
      </c>
      <c r="F1029" t="n">
        <v>0.09379999999999999</v>
      </c>
      <c r="G1029" t="n">
        <v>0.1575</v>
      </c>
      <c r="H1029" t="inlineStr">
        <is>
          <t>This code appears to be a part of an HTTP client library called OkHttp. It defines several classes and functions related to networking and data processing. The main class of interest seems to be `OkHttpClient`, which implements the `HttpClient` interface and provides methods for sending HTTP requests and receiving responses. Other notable classes include `RequestBody`, `ResponseBody`, and `Headers`.</t>
        </is>
      </c>
      <c r="I1029" t="n">
        <v>0.0041</v>
      </c>
      <c r="J1029" t="n">
        <v>0.09089999999999999</v>
      </c>
      <c r="K1029" t="n">
        <v>0.1538</v>
      </c>
      <c r="L1029" t="inlineStr">
        <is>
          <t>The provided code defines a class named `OkHttpClient` that extends the `OkHttpClient` class from the OkHttp library. It adds some additional features such as support for retrying requests when they fail due to network issues, and provides a more efficient implementation of the `newCall()` method.
The class also includes several utility methods for working with HTTP headers and cookies,</t>
        </is>
      </c>
      <c r="M1029" t="n">
        <v>0.0031</v>
      </c>
      <c r="N1029" t="n">
        <v>0.0597</v>
      </c>
      <c r="O1029" t="n">
        <v>0.1145</v>
      </c>
    </row>
    <row r="1030">
      <c r="A1030" t="inlineStr">
        <is>
          <t>okhttp</t>
        </is>
      </c>
      <c r="B1030" t="inlineStr">
        <is>
          <t>okhttp-testing-support/src/main/kotlin/okhttp3/EventRecorder.kt</t>
        </is>
      </c>
      <c r="C1030">
        <f>HYPERLINK("https://github.com/square/okhttp/blob/master/okhttp-testing-support/src/main/kotlin/okhttp3/EventRecorder.kt")</f>
        <v/>
      </c>
      <c r="D1030" t="inlineStr">
        <is>
          <t>This code appears to be part of an HTTP client library called OkHttp. It defines a class called `OkHttpClient` that implements the `Call` interface from the same package. The `OkHttpClient` class has several methods related to making HTTP requests, such as `newCall()` and `cancel()`. It also has some internal state variables like `eventListener`, `dispatcher`,</t>
        </is>
      </c>
      <c r="E1030" t="n">
        <v>0.0045</v>
      </c>
      <c r="F1030" t="n">
        <v>0.0968</v>
      </c>
      <c r="G1030" t="n">
        <v>0.1587</v>
      </c>
      <c r="H1030" t="inlineStr">
        <is>
          <t>This Java package named `okhttp3` appears to be part of an HTTP client library. The package includes several classes that implement various aspects of an HTTP request and response cycle, such as `OkHttpClient`, `Request`, `Response`, and `Call`. There are also several utility classes and interfaces, including `Headers`, `MediaType`, and `Protocol`.
The READ</t>
        </is>
      </c>
      <c r="I1030" t="n">
        <v>0.0042</v>
      </c>
      <c r="J1030" t="n">
        <v>0.1</v>
      </c>
      <c r="K1030" t="n">
        <v>0.1613</v>
      </c>
      <c r="L1030" t="inlineStr">
        <is>
          <t>The provided code is part of an OkHttp library that implements HTTP client functionality. It appears to be responsible for managing calls to remote servers, including tracking call events and handling timeouts.
The code defines several classes related to call management, such as `OkHttpClient`, `RealCall`, and `CallEvent`. These classes appear to be used together to create and manage HTTP requests</t>
        </is>
      </c>
      <c r="M1030" t="n">
        <v>0.0036</v>
      </c>
      <c r="N1030" t="n">
        <v>0.0882</v>
      </c>
      <c r="O1030" t="n">
        <v>0.1136</v>
      </c>
    </row>
    <row r="1031">
      <c r="A1031" t="inlineStr">
        <is>
          <t>okhttp</t>
        </is>
      </c>
      <c r="B1031" t="inlineStr">
        <is>
          <t>okhttp-testing-support/src/main/kotlin/okhttp3/FakeProxySelector.kt</t>
        </is>
      </c>
      <c r="C1031">
        <f>HYPERLINK("https://github.com/square/okhttp/blob/master/okhttp-testing-support/src/main/kotlin/okhttp3/FakeProxySelector.kt")</f>
        <v/>
      </c>
      <c r="D1031" t="inlineStr">
        <is>
          <t>This code defines a `FakeProxySelector` class that implements the `ProxySelector` interface from Java's standard library. It allows users to define a list of proxy servers using the `addProxy()` method, which takes a `Proxy` object as input. The `select()` method returns a list of `Proxy` objects corresponding to the given `URI`.
The `F</t>
        </is>
      </c>
      <c r="E1031" t="n">
        <v>0.0042</v>
      </c>
      <c r="F1031" t="n">
        <v>0.06560000000000001</v>
      </c>
      <c r="G1031" t="n">
        <v>0.121</v>
      </c>
      <c r="H1031" t="inlineStr">
        <is>
          <t>This code defines a class called `FakeProxySelector` that implements the `ProxySelector` interface from Java's `java.net` package. It provides a list of proxies to be used when connecting to a remote server through HTTP requests.
The `select()` method takes a `URI` object as input and returns a list of `Proxy` objects that can be</t>
        </is>
      </c>
      <c r="I1031" t="n">
        <v>0.0045</v>
      </c>
      <c r="J1031" t="n">
        <v>0.09520000000000001</v>
      </c>
      <c r="K1031" t="n">
        <v>0.16</v>
      </c>
      <c r="L1031" t="inlineStr">
        <is>
          <t>The `FakeProxySelector` class provides a custom implementation of the `ProxySelector` interface that allows developers to create a list of proxy servers to be used when making HTTP requests. It has a constructor that takes no arguments and initializes an empty list of proxies. The `addProxy()` method adds a new proxy server to the list of proxies to be used. The</t>
        </is>
      </c>
      <c r="M1031" t="n">
        <v>0.003</v>
      </c>
      <c r="N1031" t="n">
        <v>0.0588</v>
      </c>
      <c r="O1031" t="n">
        <v>0.1136</v>
      </c>
    </row>
    <row r="1032">
      <c r="A1032" t="inlineStr">
        <is>
          <t>okhttp</t>
        </is>
      </c>
      <c r="B1032" t="inlineStr">
        <is>
          <t>okhttp-testing-support/src/main/kotlin/okhttp3/DelegatingSSLSession.kt</t>
        </is>
      </c>
      <c r="C1032">
        <f>HYPERLINK("https://github.com/square/okhttp/blob/master/okhttp-testing-support/src/main/kotlin/okhttp3/DelegatingSSLSession.kt")</f>
        <v/>
      </c>
      <c r="D1032" t="inlineStr">
        <is>
          <t>The provided code defines an abstract class called `DelegatingSSLSession` that implements the `javax.net.ssl.SSLSession` interface. It has one constructor parameter, which is an instance of the `javax.net.ssl.SSLSession` interface, and it stores this value as its own property called `delegate`.
The class provides several methods that simply delegate their behavior to</t>
        </is>
      </c>
      <c r="E1032" t="n">
        <v>0.0045</v>
      </c>
      <c r="F1032" t="n">
        <v>0.0635</v>
      </c>
      <c r="G1032" t="n">
        <v>0.124</v>
      </c>
      <c r="H1032" t="inlineStr">
        <is>
          <t>This code defines a custom implementation of the `SSLSession` interface from Java's standard library. The class is abstract and has one constructor that takes a single argument of type `SSLSession`. The purpose of this class is to provide a way to wrap another `SSLSession` object and delegate all calls made to it.
The class provides several methods that allow users to access information about</t>
        </is>
      </c>
      <c r="I1032" t="n">
        <v>0.0034</v>
      </c>
      <c r="J1032" t="n">
        <v>0.0822</v>
      </c>
      <c r="K1032" t="n">
        <v>0.1103</v>
      </c>
      <c r="L1032" t="inlineStr">
        <is>
          <t>The provided code defines a custom implementation of the `SSLSession` interface called `DelegatingSSLSession`. It takes a single parameter, `delegate`, which is an instance of the `SSLSession` interface. The `DelegatingSSLSession` class provides a wrapper around the `delegate` object, allowing callers to access the underlying session without having to know about the underlying implementation details.</t>
        </is>
      </c>
      <c r="M1032" t="n">
        <v>0</v>
      </c>
      <c r="N1032" t="n">
        <v>0.0328</v>
      </c>
      <c r="O1032" t="n">
        <v>0.04</v>
      </c>
    </row>
    <row r="1033">
      <c r="A1033" t="inlineStr">
        <is>
          <t>okhttp</t>
        </is>
      </c>
      <c r="B1033" t="inlineStr">
        <is>
          <t>okhttp-testing-support/src/main/kotlin/okhttp3/FakeSSLSession.kt</t>
        </is>
      </c>
      <c r="C1033">
        <f>HYPERLINK("https://github.com/square/okhttp/blob/master/okhttp-testing-support/src/main/kotlin/okhttp3/FakeSSLSession.kt")</f>
        <v/>
      </c>
      <c r="D1033" t="inlineStr">
        <is>
          <t>This code appears to be part of an HTTP client library called OkHttp. It defines several classes related to SSL/TLS certificate verification, including `OkHostnameVerifier`, which checks if a hostname matches the server's certificate, and `OkTrustRootIndex`, which provides access to trusted root certificates. There are also some utility methods for working with SSL sessions</t>
        </is>
      </c>
      <c r="E1033" t="n">
        <v>0.0041</v>
      </c>
      <c r="F1033" t="n">
        <v>0.0635</v>
      </c>
      <c r="G1033" t="n">
        <v>0.12</v>
      </c>
      <c r="H1033" t="inlineStr">
        <is>
          <t>This code appears to be a Java library for handling HTTP requests and responses using the OkHttp library. It includes various classes and methods related to SSL/TLS certificate verification, as well as other features such as caching and authentication. The README file describes the purpose of the project and provides some context for understanding the code. The complexity of the code is described as O(N),</t>
        </is>
      </c>
      <c r="I1033" t="n">
        <v>0.0033</v>
      </c>
      <c r="J1033" t="n">
        <v>0.0533</v>
      </c>
      <c r="K1033" t="n">
        <v>0.1095</v>
      </c>
      <c r="L1033" t="inlineStr">
        <is>
          <t>This code defines a class named `OkHttpClient` that extends the `OkHttpClient` interface from the OkHttp library. It provides several methods for configuring and executing HTTP requests using the OkHttp client. The class also includes some utility functions for working with SSL certificates and principal objects.</t>
        </is>
      </c>
      <c r="M1033" t="n">
        <v>0.0049</v>
      </c>
      <c r="N1033" t="n">
        <v>0.1132</v>
      </c>
      <c r="O1033" t="n">
        <v>0.1282</v>
      </c>
    </row>
    <row r="1034">
      <c r="A1034" t="inlineStr">
        <is>
          <t>okhttp</t>
        </is>
      </c>
      <c r="B1034" t="inlineStr">
        <is>
          <t>okhttp-testing-support/src/main/kotlin/okhttp3/CallEvent.kt</t>
        </is>
      </c>
      <c r="C1034">
        <f>HYPERLINK("https://github.com/square/okhttp/blob/master/okhttp-testing-support/src/main/kotlin/okhttp3/CallEvent.kt")</f>
        <v/>
      </c>
      <c r="D1034" t="inlineStr">
        <is>
          <t>This code defines several data classes that represent events that can occur during the execution of an HTTP request using OkHttp. The `CallEvent` class is the base class for all event types, and it provides common properties such as the timestamp when the event occurred and the associated `Call`. Each subclass of `CallEvent` represents a different type of event, such as `ConnectEnd`, `Response</t>
        </is>
      </c>
      <c r="E1034" t="n">
        <v>0.0034</v>
      </c>
      <c r="F1034" t="n">
        <v>0.0563</v>
      </c>
      <c r="G1034" t="n">
        <v>0.1111</v>
      </c>
      <c r="H1034" t="inlineStr">
        <is>
          <t>This code defines a sealed class called `CallEvent` which has several subclasses that represent different events that can occur during the execution of an HTTP request using OkHttp. Each subclass has its own set of properties, such as `timestampNs`, `call`, and `name`. The `name` property returns a string representation of the event type.
The code also includes some</t>
        </is>
      </c>
      <c r="I1034" t="n">
        <v>0.0037</v>
      </c>
      <c r="J1034" t="n">
        <v>0.0606</v>
      </c>
      <c r="K1034" t="n">
        <v>0.1154</v>
      </c>
      <c r="L1034" t="inlineStr">
        <is>
          <t>The code defines a sealed class called `CallEvent` which represents events related to HTTP calls made using OkHttp. It has two subclasses: `ConnectEnd` and `ConnectStart`. Each subclass has a timestamp (`timestampNs`) and a reference to the associated `Call` object. Additionally, there's a method named `name` that returns the event name as a string</t>
        </is>
      </c>
      <c r="M1034" t="n">
        <v>0.0035</v>
      </c>
      <c r="N1034" t="n">
        <v>0.0323</v>
      </c>
      <c r="O1034" t="n">
        <v>0.08</v>
      </c>
    </row>
    <row r="1035">
      <c r="A1035" t="inlineStr">
        <is>
          <t>okhttp</t>
        </is>
      </c>
      <c r="B1035" t="inlineStr">
        <is>
          <t>okhttp-testing-support/src/main/kotlin/okhttp3/EventListenerAdapter.kt</t>
        </is>
      </c>
      <c r="C1035">
        <f>HYPERLINK("https://github.com/square/okhttp/blob/master/okhttp-testing-support/src/main/kotlin/okhttp3/EventListenerAdapter.kt")</f>
        <v/>
      </c>
      <c r="D1035" t="inlineStr">
        <is>
          <t>This code appears to be a Java implementation of an HTTP client using OkHttp library. The code defines several classes related to HTTP requests and responses, including `Call`, `Request`, `Response`, etc. It also includes some utility methods for handling events such as cache hits, misses, and failures. The code also includes comments and documentation that explain its purpose and how it works.</t>
        </is>
      </c>
      <c r="E1035" t="n">
        <v>0.0035</v>
      </c>
      <c r="F1035" t="n">
        <v>0.0857</v>
      </c>
      <c r="G1035" t="n">
        <v>0.1493</v>
      </c>
      <c r="H1035" t="inlineStr">
        <is>
          <t>This code appears to be a Java library for making HTTP requests using OkHttp. It includes several classes and interfaces related to networking and request handling, as well as some utility methods for working with IP addresses and proxy servers. The main entry point into the library seems to be the `OkHttpClient` class, which provides a high-level API for sending HTTP requests and receiving responses. Other notable</t>
        </is>
      </c>
      <c r="I1035" t="n">
        <v>0.0032</v>
      </c>
      <c r="J1035" t="n">
        <v>0.0526</v>
      </c>
      <c r="K1035" t="n">
        <v>0.1079</v>
      </c>
      <c r="L1035" t="inlineStr">
        <is>
          <t>The code defines a class called `OkHttpClient` that implements the `okhttp3` package's client interface. It provides methods for making HTTP requests, such as `newCall()`, `cancel()`, and `execute()`. The class also has several other features, including support for proxying, caching, and event logging.</t>
        </is>
      </c>
      <c r="M1035" t="n">
        <v>0.0052</v>
      </c>
      <c r="N1035" t="n">
        <v>0.0784</v>
      </c>
      <c r="O1035" t="n">
        <v>0.0877</v>
      </c>
    </row>
    <row r="1036">
      <c r="A1036" t="inlineStr">
        <is>
          <t>okhttp</t>
        </is>
      </c>
      <c r="B1036" t="inlineStr">
        <is>
          <t>okhttp-testing-support/src/main/kotlin/okhttp3/EventListenerRelay.kt</t>
        </is>
      </c>
      <c r="C1036">
        <f>HYPERLINK("https://github.com/square/okhttp/blob/master/okhttp-testing-support/src/main/kotlin/okhttp3/EventListenerRelay.kt")</f>
        <v/>
      </c>
      <c r="D1036" t="inlineStr">
        <is>
          <t>This code defines a custom `EventListener` implementation called `TestingEventListener`. It overrides the `call()` method to process a single event and then add a new `EventListenerRelay` instance on the same call to process the next event. The purpose of this class is to test the mechanics of event listeners by simulating a chain of events that changes each time an event occurs.</t>
        </is>
      </c>
      <c r="E1036" t="n">
        <v>0.0036</v>
      </c>
      <c r="F1036" t="n">
        <v>0.08699999999999999</v>
      </c>
      <c r="G1036" t="n">
        <v>0.1128</v>
      </c>
      <c r="H1036" t="inlineStr">
        <is>
          <t>This code defines a custom `EventListener` class called `TestingEventListener`. It overrides the `call()` method to perform some actions when an event occurs, such as logging information about the event. Additionally, it creates a new `EventListenerRelay` object and assigns it to the `successor` field of the current listener, which will be used to handle subsequent events. The purpose</t>
        </is>
      </c>
      <c r="I1036" t="n">
        <v>0.0038</v>
      </c>
      <c r="J1036" t="n">
        <v>0.0615</v>
      </c>
      <c r="K1036" t="n">
        <v>0.1163</v>
      </c>
      <c r="L1036" t="inlineStr">
        <is>
          <t>The provided code defines a custom implementation of an OkHttp EventListener that simulates the behavior of multiple listeners being added to a call. It modifies the list of listeners after each event to ensure that the latest listener is always called. The class also includes documentation comments describing its purpose and how it works.</t>
        </is>
      </c>
      <c r="M1036" t="n">
        <v>0.0034</v>
      </c>
      <c r="N1036" t="n">
        <v>0.0645</v>
      </c>
      <c r="O1036" t="n">
        <v>0.0794</v>
      </c>
    </row>
    <row r="1037">
      <c r="A1037" t="inlineStr">
        <is>
          <t>okhttp</t>
        </is>
      </c>
      <c r="B1037" t="inlineStr">
        <is>
          <t>okhttp-testing-support/src/main/kotlin/okhttp3/UppercaseRequestInterceptor.kt</t>
        </is>
      </c>
      <c r="C1037">
        <f>HYPERLINK("https://github.com/square/okhttp/blob/master/okhttp-testing-support/src/main/kotlin/okhttp3/UppercaseRequestInterceptor.kt")</f>
        <v/>
      </c>
      <c r="D1037" t="inlineStr">
        <is>
          <t>The `UppercaseRequestInterceptor` class implements an HTTP interceptor that rewrites the request body sent to the server to be all uppercase. It does this by overriding the `intercept()` method of the `Interceptor` interface, which allows it to modify the outgoing request before it is sent to the server.
The implementation uses a custom `ForwardingSink</t>
        </is>
      </c>
      <c r="E1037" t="n">
        <v>0.0035</v>
      </c>
      <c r="F1037" t="n">
        <v>0.06560000000000001</v>
      </c>
      <c r="G1037" t="n">
        <v>0.12</v>
      </c>
      <c r="H1037" t="inlineStr">
        <is>
          <t>This code implements an interceptor that rewrites the request body sent to the server to be all uppercase. It does this by creating a new class called `UppercaseRequestInterceptor` that extends the `Interceptor` interface from OkHttp. The `intercept()` method overrides the original implementation and returns a modified version of the response object. Specifically, it creates a new buffered sink</t>
        </is>
      </c>
      <c r="I1037" t="n">
        <v>0.0041</v>
      </c>
      <c r="J1037" t="n">
        <v>0.09089999999999999</v>
      </c>
      <c r="K1037" t="n">
        <v>0.1154</v>
      </c>
      <c r="L1037" t="inlineStr">
        <is>
          <t>The `UppercaseRequestInterceptor` class implements the `Interceptor` interface from the OkHttp library. It rewrites the request body sent to the server to be all uppercase.</t>
        </is>
      </c>
      <c r="M1037" t="n">
        <v>0.007900000000000001</v>
      </c>
      <c r="N1037" t="n">
        <v>0.0625</v>
      </c>
      <c r="O1037" t="n">
        <v>0.0521</v>
      </c>
    </row>
    <row r="1038">
      <c r="A1038" t="inlineStr">
        <is>
          <t>okhttp</t>
        </is>
      </c>
      <c r="B1038" t="inlineStr">
        <is>
          <t>okhttp-testing-support/src/main/kotlin/okhttp3/SpecificHostSocketFactory.kt</t>
        </is>
      </c>
      <c r="C1038">
        <f>HYPERLINK("https://github.com/square/okhttp/blob/master/okhttp-testing-support/src/main/kotlin/okhttp3/SpecificHostSocketFactory.kt")</f>
        <v/>
      </c>
      <c r="D1038" t="inlineStr">
        <is>
          <t>The `SpecificHostSocketFactory` class provides a custom socket factory implementation that allows developers to redirect connections to a specific host or IP address. It extends the `DelegatingSocketFactory` class and overrides its `createSocket()` method to return a new socket instance that connects to the specified host or IP address instead of the original one.
The constructor takes an optional `default</t>
        </is>
      </c>
      <c r="E1038" t="n">
        <v>0.0031</v>
      </c>
      <c r="F1038" t="n">
        <v>0.0606</v>
      </c>
      <c r="G1038" t="n">
        <v>0.0769</v>
      </c>
      <c r="H1038" t="inlineStr">
        <is>
          <t>This code defines a custom implementation of the `java.net.SocketFactory` class called `SpecificHostSocketFactory`. It allows developers to redirect network requests to a specific host or IP address instead of the default one. The factory takes an optional `defaultAddress` parameter which specifies the fallback host if no override has been set using the `set` method.
The `</t>
        </is>
      </c>
      <c r="I1038" t="n">
        <v>0.0033</v>
      </c>
      <c r="J1038" t="n">
        <v>0.0625</v>
      </c>
      <c r="K1038" t="n">
        <v>0.1181</v>
      </c>
      <c r="L1038" t="inlineStr">
        <is>
          <t>The `SpecificHostSocketFactory` class provides a custom socket factory implementation that allows redirecting connections to a specific host or IP address. It takes an optional `defaultAddress` parameter in its constructor and uses it as the default target host if no override is specified using the `set()` method. When creating sockets, it delegates the creation process to the wrapped `DelegatingSocketFactory</t>
        </is>
      </c>
      <c r="M1038" t="n">
        <v>0.0031</v>
      </c>
      <c r="N1038" t="n">
        <v>0.0606</v>
      </c>
      <c r="O1038" t="n">
        <v>0.1154</v>
      </c>
    </row>
    <row r="1039">
      <c r="A1039" t="inlineStr">
        <is>
          <t>okhttp</t>
        </is>
      </c>
      <c r="B1039" t="inlineStr">
        <is>
          <t>okhttp-testing-support/src/main/kotlin/okhttp3/DelegatingServerSocketFactory.kt</t>
        </is>
      </c>
      <c r="C1039">
        <f>HYPERLINK("https://github.com/square/okhttp/blob/master/okhttp-testing-support/src/main/kotlin/okhttp3/DelegatingServerSocketFactory.kt")</f>
        <v/>
      </c>
      <c r="D1039" t="inlineStr">
        <is>
          <t>The `DelegatingServerSocketFactory` class is a subclass of `ServerSocketFactory` that allows users to configure sockets created by the factory using the `configureServerSocket()` method. It delegates all other methods to the underlying `delegate` instance.</t>
        </is>
      </c>
      <c r="E1039" t="n">
        <v>0</v>
      </c>
      <c r="F1039" t="n">
        <v>0</v>
      </c>
      <c r="G1039" t="n">
        <v>0.0481</v>
      </c>
      <c r="H1039" t="inlineStr">
        <is>
          <t>This code defines a custom implementation of the `ServerSocketFactory` interface from Java's `javax.net` package. The `DelegatingServerSocketFactory` class takes another `ServerSocketFactory` instance as its constructor argument and provides a way to configure sockets created by it through the `configureServerSocket()` method. It also includes some comments describing the purpose of the code and the</t>
        </is>
      </c>
      <c r="I1039" t="n">
        <v>0.0042</v>
      </c>
      <c r="J1039" t="n">
        <v>0.0968</v>
      </c>
      <c r="K1039" t="n">
        <v>0.121</v>
      </c>
      <c r="L1039" t="inlineStr">
        <is>
          <t>The `DelegatingServerSocketFactory` class is a subclass of `ServerSocketFactory` that provides a way to configure sockets created by the factory. It delegates all method calls to another instance of `ServerSocketFactory`, which can be specified in the constructor. Additionally, the class allows users to override the default configuration of server sockets by implementing the `configureServerSocket()` method.</t>
        </is>
      </c>
      <c r="M1039" t="n">
        <v>0</v>
      </c>
      <c r="N1039" t="n">
        <v>0.0323</v>
      </c>
      <c r="O1039" t="n">
        <v>0.0397</v>
      </c>
    </row>
    <row r="1040">
      <c r="A1040" t="inlineStr">
        <is>
          <t>okhttp</t>
        </is>
      </c>
      <c r="B1040" t="inlineStr">
        <is>
          <t>okhttp-testing-support/src/main/kotlin/okhttp3/OkHttpDebugLogging.kt</t>
        </is>
      </c>
      <c r="C1040">
        <f>HYPERLINK("https://github.com/square/okhttp/blob/master/okhttp-testing-support/src/main/kotlin/okhttp3/OkHttpDebugLogging.kt")</f>
        <v/>
      </c>
      <c r="D1040" t="inlineStr">
        <is>
          <t>This code appears to be part of an HTTP client library called OkHttp. It defines several classes related to logging, including `OkHttpClient`, which is the main entry point for using the library, and `OkHttpLoggingInterceptor`, which provides logging capabilities. The code also includes some utility classes such as `TaskRunner` and `Internal`.
The `OkHttpClient` class</t>
        </is>
      </c>
      <c r="E1040" t="n">
        <v>0.0041</v>
      </c>
      <c r="F1040" t="n">
        <v>0.06560000000000001</v>
      </c>
      <c r="G1040" t="n">
        <v>0.12</v>
      </c>
      <c r="H1040" t="inlineStr">
        <is>
          <t>This code appears to be part of an open source project called OkHttp, which is a library for making HTTP requests in Java. The code defines several classes and interfaces related to networking and logging.
The `OkHttpClient` class is the main entry point for making HTTP requests using OkHttp. It provides methods for sending GET, POST, PUT, DELETE, etc. requests</t>
        </is>
      </c>
      <c r="I1040" t="n">
        <v>0.0036</v>
      </c>
      <c r="J1040" t="n">
        <v>0.0588</v>
      </c>
      <c r="K1040" t="n">
        <v>0.1136</v>
      </c>
      <c r="L1040" t="inlineStr">
        <is>
          <t>The provided code implements a logging system using Java's built-in `java.util.logging` package. It provides a simple way to log messages at different levels of severity, such as debug, info, warning, error, etc. The implementation also includes support for custom loggers and handlers, which can be used to extend the logging capabilities. Additionally, the code includes a console</t>
        </is>
      </c>
      <c r="M1040" t="n">
        <v>0.0038</v>
      </c>
      <c r="N1040" t="n">
        <v>0.058</v>
      </c>
      <c r="O1040" t="n">
        <v>0.1163</v>
      </c>
    </row>
    <row r="1041">
      <c r="A1041" t="inlineStr">
        <is>
          <t>okhttp</t>
        </is>
      </c>
      <c r="B1041" t="inlineStr">
        <is>
          <t>okhttp-testing-support/src/main/kotlin/okhttp3/JsseDebugLogging.kt</t>
        </is>
      </c>
      <c r="C1041">
        <f>HYPERLINK("https://github.com/square/okhttp/blob/master/okhttp-testing-support/src/main/kotlin/okhttp3/JsseDebugLogging.kt")</f>
        <v/>
      </c>
      <c r="D1041" t="inlineStr">
        <is>
          <t>The `JsseDebugLogging` object provides a way to log debug messages related to Java Secure Socket Extension (JSSE). It has a single method called `log`, which takes a string message and an optional string parameter. The method logs the message using a logger that can be configured to output to different destinations such as the console or a file. Additionally, it also includes</t>
        </is>
      </c>
      <c r="E1041" t="n">
        <v>0.0029</v>
      </c>
      <c r="F1041" t="n">
        <v>0.0286</v>
      </c>
      <c r="G1041" t="n">
        <v>0.0746</v>
      </c>
      <c r="H1041" t="inlineStr">
        <is>
          <t>This code defines a `JsseDebugLogging` object that provides a way to log debug messages related to JSSE (Java Secure Socket Extension) operations. The object has a single method called `log`, which takes a `message` string and an optional `param` string as input. The `message` string specifies the type of debug message being logged, and the `</t>
        </is>
      </c>
      <c r="I1041" t="n">
        <v>0.0039</v>
      </c>
      <c r="J1041" t="n">
        <v>0.0635</v>
      </c>
      <c r="K1041" t="n">
        <v>0.0781</v>
      </c>
      <c r="L1041" t="inlineStr">
        <is>
          <t>The code defines a `JsseDebugLogging` object that provides debug logging support for the OkHttp library using Java's built-in SSL/TLS implementation (`jsse`). It includes a `JsseDebugMessage` data class that represents a log message and its associated parameters, as well as an `Type` enumeration that specifies the type of message being logged. The</t>
        </is>
      </c>
      <c r="M1041" t="n">
        <v>0.0036</v>
      </c>
      <c r="N1041" t="n">
        <v>0.0645</v>
      </c>
      <c r="O1041" t="n">
        <v>0.122</v>
      </c>
    </row>
    <row r="1042">
      <c r="A1042" t="inlineStr">
        <is>
          <t>okhttp</t>
        </is>
      </c>
      <c r="B1042" t="inlineStr">
        <is>
          <t>okhttp-testing-support/src/main/kotlin/okhttp3/ForwardingRequestBody.kt</t>
        </is>
      </c>
      <c r="C1042">
        <f>HYPERLINK("https://github.com/square/okhttp/blob/master/okhttp-testing-support/src/main/kotlin/okhttp3/ForwardingRequestBody.kt")</f>
        <v/>
      </c>
      <c r="D1042" t="inlineStr">
        <is>
          <t>This code defines a `ForwardingRequestBody` class that extends OkHttp's `RequestBody` class. The class has a constructor that takes a single argument, which is an instance of another `RequestBody`. It also has a `delegate()` method that returns the instance of `RequestBody` passed into the constructor.
The class overrides three methods from `RequestBody</t>
        </is>
      </c>
      <c r="E1042" t="n">
        <v>0.0036</v>
      </c>
      <c r="F1042" t="n">
        <v>0.0333</v>
      </c>
      <c r="G1042" t="n">
        <v>0.0407</v>
      </c>
      <c r="H1042" t="inlineStr">
        <is>
          <t>This code defines a `ForwardingRequestBody` class that extends the `RequestBody` interface from OkHttp. The class has a single constructor that takes a `delegate` parameter of type `RequestBody`. It also has a `delegate()` method that returns the `delegate` instance.
The `contentType()`, `contentLength()`, and `writeTo()` methods are all overrid</t>
        </is>
      </c>
      <c r="I1042" t="n">
        <v>0.0046</v>
      </c>
      <c r="J1042" t="n">
        <v>0.0727</v>
      </c>
      <c r="K1042" t="n">
        <v>0.08400000000000001</v>
      </c>
      <c r="L1042" t="inlineStr">
        <is>
          <t>The provided code defines a `ForwardingRequestBody` class that extends the `RequestBody` interface from OkHttp. It takes a single argument in its constructor, which is used as the delegate for the forwarded requests. The class provides several methods to access and manipulate the delegate request body, including `delegate()`, `contentType()`, and `contentLength()`. The `ForwardingRequest</t>
        </is>
      </c>
      <c r="M1042" t="n">
        <v>0.0035</v>
      </c>
      <c r="N1042" t="n">
        <v>0.0333</v>
      </c>
      <c r="O1042" t="n">
        <v>0.0806</v>
      </c>
    </row>
    <row r="1043">
      <c r="A1043" t="inlineStr">
        <is>
          <t>okhttp</t>
        </is>
      </c>
      <c r="B1043" t="inlineStr">
        <is>
          <t>okhttp-testing-support/src/main/kotlin/okhttp3/RecordingHostnameVerifier.kt</t>
        </is>
      </c>
      <c r="C1043">
        <f>HYPERLINK("https://github.com/square/okhttp/blob/master/okhttp-testing-support/src/main/kotlin/okhttp3/RecordingHostnameVerifier.kt")</f>
        <v/>
      </c>
      <c r="D1043" t="inlineStr">
        <is>
          <t>This code defines a custom `RecordingHostnameVerifier` class that implements the `javax.net.ssl.HostnameVerifier` interface. It has one method, `verify`, which takes two parameters: `hostname` and `session`. The method returns a boolean value indicating whether the verification was successful.
The class also has a field called `calls` which</t>
        </is>
      </c>
      <c r="E1043" t="n">
        <v>0.0054</v>
      </c>
      <c r="F1043" t="n">
        <v>0.1071</v>
      </c>
      <c r="G1043" t="n">
        <v>0.1282</v>
      </c>
      <c r="H1043" t="inlineStr">
        <is>
          <t>This code defines a `RecordingHostnameVerifier` class that implements the `HostnameVerifier` interface from Java's `javax.net.ssl` package. It records all hostnames passed to its `verify()` method into a list called `calls`. The implementation returns `true`, indicating that the verification was successful. The class is annotated with the `@J</t>
        </is>
      </c>
      <c r="I1043" t="n">
        <v>0.0048</v>
      </c>
      <c r="J1043" t="n">
        <v>0.0702</v>
      </c>
      <c r="K1043" t="n">
        <v>0.0847</v>
      </c>
      <c r="L1043" t="inlineStr">
        <is>
          <t>The provided code defines a custom implementation of the `HostnameVerifier` interface from Java's `javax.net.ssl` package. It overrides the `verify()` method to always return `true`, indicating that the specified host name should be trusted. Additionally, it keeps track of all host names passed into the `verify()` method through a list called `calls`.</t>
        </is>
      </c>
      <c r="M1043" t="n">
        <v>0</v>
      </c>
      <c r="N1043" t="n">
        <v>0.0323</v>
      </c>
      <c r="O1043" t="n">
        <v>0.0407</v>
      </c>
    </row>
    <row r="1044">
      <c r="A1044" t="inlineStr">
        <is>
          <t>okhttp</t>
        </is>
      </c>
      <c r="B1044" t="inlineStr">
        <is>
          <t>okhttp-testing-support/src/main/kotlin/okhttp3/DelegatingSocketFactory.kt</t>
        </is>
      </c>
      <c r="C1044">
        <f>HYPERLINK("https://github.com/square/okhttp/blob/master/okhttp-testing-support/src/main/kotlin/okhttp3/DelegatingSocketFactory.kt")</f>
        <v/>
      </c>
      <c r="D1044" t="inlineStr">
        <is>
          <t>The `DelegatingSocketFactory` class is a subclass of `javax.net.SocketFactory`. It provides a way to create sockets using a delegate socket factory, which allows customization of the created sockets before they are returned.
The constructor takes a single argument, `delegate`, which must be an instance of `javax.net.SocketFactory`. This delegate factory will be</t>
        </is>
      </c>
      <c r="E1044" t="n">
        <v>0.0037</v>
      </c>
      <c r="F1044" t="n">
        <v>0.0323</v>
      </c>
      <c r="G1044" t="n">
        <v>0.082</v>
      </c>
      <c r="H1044" t="inlineStr">
        <is>
          <t>This code defines a custom `SocketFactory` implementation called `DelegatingSocketFactory`. It takes another `SocketFactory` instance as its constructor argument and uses it to create sockets. The `DelegatingSocketFactory` allows users to configure the created sockets by calling the `configureSocket()` method before returning them. The `Delegate` field stores the actual socket factory used to create the so</t>
        </is>
      </c>
      <c r="I1044" t="n">
        <v>0.004</v>
      </c>
      <c r="J1044" t="n">
        <v>0.0968</v>
      </c>
      <c r="K1044" t="n">
        <v>0.1587</v>
      </c>
      <c r="L1044" t="inlineStr">
        <is>
          <t>The provided code defines a custom implementation of the `javax.net.SocketFactory` interface called `DelegatingSocketFactory`. It provides a way to configure sockets created by the factory by overriding the `configureSocket()` method. The default implementation simply delegates all calls to the `delegate` socket factory instance passed into the constructor.</t>
        </is>
      </c>
      <c r="M1044" t="n">
        <v>0</v>
      </c>
      <c r="N1044" t="n">
        <v>0.0357</v>
      </c>
      <c r="O1044" t="n">
        <v>0.0424</v>
      </c>
    </row>
    <row r="1045">
      <c r="A1045" t="inlineStr">
        <is>
          <t>okhttp</t>
        </is>
      </c>
      <c r="B1045" t="inlineStr">
        <is>
          <t>okhttp-testing-support/src/main/kotlin/okhttp3/FailingCall.kt</t>
        </is>
      </c>
      <c r="C1045">
        <f>HYPERLINK("https://github.com/square/okhttp/blob/master/okhttp-testing-support/src/main/kotlin/okhttp3/FailingCall.kt")</f>
        <v/>
      </c>
      <c r="D1045" t="inlineStr">
        <is>
          <t>The `FailingCall` class is a custom implementation of the `okhttp3.Call` interface that throws errors when any of its methods are called. It does not provide any functional behavior and is intended as a placeholder or mock object for testing purposes.</t>
        </is>
      </c>
      <c r="E1045" t="n">
        <v>0.0046</v>
      </c>
      <c r="F1045" t="n">
        <v>0.1224</v>
      </c>
      <c r="G1045" t="n">
        <v>0.1339</v>
      </c>
      <c r="H1045" t="inlineStr">
        <is>
          <t>This is an open source library called OkHttp that provides networking capabilities for Android and Java applications. It allows developers to make HTTP requests and handle responses using a simple API. The library includes features such as support for HTTP/2, connection pooling, and automatic retry handling. It also has built-in support for authentication and caching. The code is written in Kotlin, which is a</t>
        </is>
      </c>
      <c r="I1045" t="n">
        <v>0.0034</v>
      </c>
      <c r="J1045" t="n">
        <v>0.0541</v>
      </c>
      <c r="K1045" t="n">
        <v>0.1103</v>
      </c>
      <c r="L1045" t="inlineStr">
        <is>
          <t>The provided code defines a `FailingCall` class that extends the `okhttp3.Call` interface. It overrides all methods from the base class and throws an exception whenever they are called. The purpose of this class is likely to provide a mock implementation of a call for testing purposes.</t>
        </is>
      </c>
      <c r="M1045" t="n">
        <v>0.004</v>
      </c>
      <c r="N1045" t="n">
        <v>0.0727</v>
      </c>
      <c r="O1045" t="n">
        <v>0.1271</v>
      </c>
    </row>
    <row r="1046">
      <c r="A1046" t="inlineStr">
        <is>
          <t>okhttp</t>
        </is>
      </c>
      <c r="B1046" t="inlineStr">
        <is>
          <t>okhttp-testing-support/src/main/kotlin/okhttp3/ConnectionEvent.kt</t>
        </is>
      </c>
      <c r="C1046">
        <f>HYPERLINK("https://github.com/square/okhttp/blob/master/okhttp-testing-support/src/main/kotlin/okhttp3/ConnectionEvent.kt")</f>
        <v/>
      </c>
      <c r="D1046" t="inlineStr">
        <is>
          <t>The code defines a data class called `ConnectionEvent` that represents events related to connections in OkHttp. It has two subclasses: `Connected` and `Failed`.
The `Connected` subclass has one property, `connection`, which is a reference to the connected socket. It also has a constructor that takes a `Connection` object as its argument.
The `</t>
        </is>
      </c>
      <c r="E1046" t="n">
        <v>0.0035</v>
      </c>
      <c r="F1046" t="n">
        <v>0.0333</v>
      </c>
      <c r="G1046" t="n">
        <v>0.04</v>
      </c>
      <c r="H1046" t="inlineStr">
        <is>
          <t>This code defines a data class called `ConnectionEvent` that represents events related to connections made using OkHttp's `ConnectionPool`. The class has several properties, including `timestampNs`, which is a long representing the time when the event occurred, and `connection`, which is a reference to the `Connection` object associated with the event.
The class also includes annotations indicating that</t>
        </is>
      </c>
      <c r="I1046" t="n">
        <v>0.0038</v>
      </c>
      <c r="J1046" t="n">
        <v>0.0606</v>
      </c>
      <c r="K1046" t="n">
        <v>0.1163</v>
      </c>
      <c r="L1046" t="inlineStr">
        <is>
          <t>The code defines a sealed class called `ConnectionEvent` which represents events related to connections in OkHttp. It has a single abstract method `timestampNs` that returns a long representing the event's timestamp in nanoseconds. Additionally, it also includes an open method `connection` that returns a reference to the connection object associated with the event.</t>
        </is>
      </c>
      <c r="M1046" t="n">
        <v>0</v>
      </c>
      <c r="N1046" t="n">
        <v>0</v>
      </c>
      <c r="O1046" t="n">
        <v>0</v>
      </c>
    </row>
    <row r="1047">
      <c r="A1047" t="inlineStr">
        <is>
          <t>okhttp</t>
        </is>
      </c>
      <c r="B1047" t="inlineStr">
        <is>
          <t>okhttp-testing-support/src/main/kotlin/okhttp3/OkHttpClientTestRule.kt</t>
        </is>
      </c>
      <c r="C1047">
        <f>HYPERLINK("https://github.com/square/okhttp/blob/master/okhttp-testing-support/src/main/kotlin/okhttp3/OkHttpClientTestRule.kt")</f>
        <v/>
      </c>
      <c r="D1047" t="inlineStr">
        <is>
          <t>This code appears to be a Java implementation of an HTTP client library called OkHttp. It includes several classes and interfaces related to networking, such as `OkHttpClient`, `Request`, and `Response`. The code also defines some utility methods for working with threads and logging.
The main class in this module seems to be `OkHttpClient`, which provides a high-level API for</t>
        </is>
      </c>
      <c r="E1047" t="n">
        <v>0.0041</v>
      </c>
      <c r="F1047" t="n">
        <v>0.0882</v>
      </c>
      <c r="G1047" t="n">
        <v>0.1908</v>
      </c>
      <c r="H1047" t="inlineStr">
        <is>
          <t>This repository contains an open-source implementation of OkHttp, a popular HTTP client library for Android and Java applications. The code is written in Kotlin and uses various libraries such as Retrofit, Gson, and Moshi for JSON parsing and serialization. It also includes a logging system based on Java's built-in logging API. The project has a complex structure with multiple packages</t>
        </is>
      </c>
      <c r="I1047" t="n">
        <v>0.0036</v>
      </c>
      <c r="J1047" t="n">
        <v>0.08450000000000001</v>
      </c>
      <c r="K1047" t="n">
        <v>0.1515</v>
      </c>
      <c r="L1047" t="inlineStr">
        <is>
          <t>The provided code defines a custom thread factory that creates threads with a specified name prefix and daemon status. It also provides a logging handler that logs messages using the Java Util Logging API. The code is annotated with suppress warnings annotations to avoid issues with Android compatibility.</t>
        </is>
      </c>
      <c r="M1047" t="n">
        <v>0.0038</v>
      </c>
      <c r="N1047" t="n">
        <v>0.0357</v>
      </c>
      <c r="O1047" t="n">
        <v>0.0833</v>
      </c>
    </row>
    <row r="1048">
      <c r="A1048" t="inlineStr">
        <is>
          <t>okhttp</t>
        </is>
      </c>
      <c r="B1048" t="inlineStr">
        <is>
          <t>okhttp-testing-support/src/main/kotlin/okhttp3/DelegatingSSLSocket.kt</t>
        </is>
      </c>
      <c r="C1048">
        <f>HYPERLINK("https://github.com/square/okhttp/blob/master/okhttp-testing-support/src/main/kotlin/okhttp3/DelegatingSSLSocket.kt")</f>
        <v/>
      </c>
      <c r="D1048" t="inlineStr">
        <is>
          <t>The code defines a class called `OkHttpClient` that implements the `okhttp3.OkHttpClient` interface. It has several methods, including `newCall()`, `connect()`, `readResponse()`, and `writeRequestBody()`. These methods are used to create new HTTP requests, connect to servers, read responses, and write request bodies, respectively.
The class also includes some</t>
        </is>
      </c>
      <c r="E1048" t="n">
        <v>0.0048</v>
      </c>
      <c r="F1048" t="n">
        <v>0.0727</v>
      </c>
      <c r="G1048" t="n">
        <v>0.1271</v>
      </c>
      <c r="H1048" t="inlineStr">
        <is>
          <t>This code appears to be part of an HTTP client library called OkHttp. It defines several classes and interfaces related to networking, including `OkHttpClient`, `Request`, `Response`, `Headers`, and `Protocol`. The code also includes some utility functions for working with sockets and SSL/TLS connections. Overall, it seems like this codebase provides a robust and efficient implementation of</t>
        </is>
      </c>
      <c r="I1048" t="n">
        <v>0.0039</v>
      </c>
      <c r="J1048" t="n">
        <v>0.09229999999999999</v>
      </c>
      <c r="K1048" t="n">
        <v>0.1563</v>
      </c>
      <c r="L1048" t="inlineStr">
        <is>
          <t>The provided code defines a custom implementation of the `SSLSocket` class from Java's standard library. It adds additional features such as support for SSL session resumption, ALPN protocol negotiation, and configurable timeouts. The socket also provides a way to set custom handshake listeners that can be used to track SSL handshakes. Additionally, the code includes</t>
        </is>
      </c>
      <c r="M1048" t="n">
        <v>0.0033</v>
      </c>
      <c r="N1048" t="n">
        <v>0.0625</v>
      </c>
      <c r="O1048" t="n">
        <v>0.1181</v>
      </c>
    </row>
    <row r="1049">
      <c r="A1049" t="inlineStr">
        <is>
          <t>okhttp</t>
        </is>
      </c>
      <c r="B1049" t="inlineStr">
        <is>
          <t>okhttp-testing-support/src/main/kotlin/okhttp3/ClientRuleEventListener.kt</t>
        </is>
      </c>
      <c r="C1049">
        <f>HYPERLINK("https://github.com/square/okhttp/blob/master/okhttp-testing-support/src/main/kotlin/okhttp3/ClientRuleEventListener.kt")</f>
        <v/>
      </c>
      <c r="D1049" t="inlineStr">
        <is>
          <t>The provided code defines a `ClientRuleEventListener` class that implements the `EventListener` interface from OkHttp's event listener framework. It has a constructor that takes a `logger` function as an argument, which is used to log events.
The `create()` method returns an instance of the `ClientRuleEventListener`, which is then passed to the `Call` object when it is</t>
        </is>
      </c>
      <c r="E1049" t="n">
        <v>0.0033</v>
      </c>
      <c r="F1049" t="n">
        <v>0.0625</v>
      </c>
      <c r="G1049" t="n">
        <v>0.07870000000000001</v>
      </c>
      <c r="H1049" t="inlineStr">
        <is>
          <t>This code defines a class called `ClientRuleEventListener` that implements the `EventListener` interface from OkHttp. It has one constructor parameter, `logger`, which is a function that takes a string argument and logs it somewhere. The class also implements the `EventListener.Factory` interface, which allows it to be used as a factory for creating new instances of itself.
The `create()`</t>
        </is>
      </c>
      <c r="I1049" t="n">
        <v>0.0042</v>
      </c>
      <c r="J1049" t="n">
        <v>0.1212</v>
      </c>
      <c r="K1049" t="n">
        <v>0.155</v>
      </c>
      <c r="L1049" t="inlineStr">
        <is>
          <t>The provided code defines a `ClientRuleEventListener` class that implements the `EventListener` interface from the OkHttp library. It has two constructors: one that takes a single argument, which is a logging function, and another that takes no arguments. The class also has several methods that implement the `EventListener` interface's functions, including `callStart`, `dnsStart`, `connect</t>
        </is>
      </c>
      <c r="M1049" t="n">
        <v>0.0041</v>
      </c>
      <c r="N1049" t="n">
        <v>0.0968</v>
      </c>
      <c r="O1049" t="n">
        <v>0.08</v>
      </c>
    </row>
    <row r="1050">
      <c r="A1050" t="inlineStr">
        <is>
          <t>okhttp</t>
        </is>
      </c>
      <c r="B1050" t="inlineStr">
        <is>
          <t>okhttp-testing-support/src/main/kotlin/okhttp3/DelegatingSSLSocketFactory.kt</t>
        </is>
      </c>
      <c r="C1050">
        <f>HYPERLINK("https://github.com/square/okhttp/blob/master/okhttp-testing-support/src/main/kotlin/okhttp3/DelegatingSSLSocketFactory.kt")</f>
        <v/>
      </c>
      <c r="D1050" t="inlineStr">
        <is>
          <t>The `DelegatingSSLSocketFactory` class extends the built-in Java `SSLSocketFactory` class and adds a new method called `configureSocket`. This method allows developers to configure sockets created by the factory after they have been created. It takes an `SSLSocket` object as a parameter and returns it, allowing developers to make any necessary changes to the socket before it</t>
        </is>
      </c>
      <c r="E1050" t="n">
        <v>0.004</v>
      </c>
      <c r="F1050" t="n">
        <v>0.0625</v>
      </c>
      <c r="G1050" t="n">
        <v>0.07870000000000001</v>
      </c>
      <c r="H1050" t="inlineStr">
        <is>
          <t>This is an open source library written in Java called OkHttp. It provides a way to make HTTP requests from Android applications. The library has been designed to be flexible and customizable, allowing developers to easily integrate it into their projects.
The library includes several key features such as support for HTTP/2, connection pooling, request cancellation, and more. It also supports various authentication</t>
        </is>
      </c>
      <c r="I1050" t="n">
        <v>0.0034</v>
      </c>
      <c r="J1050" t="n">
        <v>0.0556</v>
      </c>
      <c r="K1050" t="n">
        <v>0.0741</v>
      </c>
      <c r="L1050" t="inlineStr">
        <is>
          <t>The provided code defines a custom implementation of the `SSLSocketFactory` interface called `DelegatingSSLSocketFactory`. It takes a single constructor argument of type `SSLSocketFactory`, which represents the underlying socket factory being wrapped. The class provides a simple way to configure sockets created by the factory by allowing subclasses to override the `configureSocket()` method.
The `</t>
        </is>
      </c>
      <c r="M1050" t="n">
        <v>0</v>
      </c>
      <c r="N1050" t="n">
        <v>0.0333</v>
      </c>
      <c r="O1050" t="n">
        <v>0.04</v>
      </c>
    </row>
    <row r="1051">
      <c r="A1051" t="inlineStr">
        <is>
          <t>okhttp</t>
        </is>
      </c>
      <c r="B1051" t="inlineStr">
        <is>
          <t>okhttp-testing-support/src/main/kotlin/okhttp3/UppercaseResponseInterceptor.kt</t>
        </is>
      </c>
      <c r="C1051">
        <f>HYPERLINK("https://github.com/square/okhttp/blob/master/okhttp-testing-support/src/main/kotlin/okhttp3/UppercaseResponseInterceptor.kt")</f>
        <v/>
      </c>
      <c r="D1051" t="inlineStr">
        <is>
          <t>The `UppercaseResponseInterceptor` class is an implementation of an HTTP interceptor that rewrites the response body returned from the server to be all uppercase. It does this by creating a new buffered source that wraps the original response body source, but instead of returning the bytes as they are read, it returns them in uppercase. This allows the client to receive the response body</t>
        </is>
      </c>
      <c r="E1051" t="n">
        <v>0.0029</v>
      </c>
      <c r="F1051" t="n">
        <v>0.0282</v>
      </c>
      <c r="G1051" t="n">
        <v>0.0741</v>
      </c>
      <c r="H1051" t="inlineStr">
        <is>
          <t>This code defines an interceptor class called `UppercaseResponseInterceptor` that rewrites the response body returned from the server to be all uppercase. It implements the `Interceptor` interface and overrides its `intercept()` method to perform the transformation. The implementation uses a custom source wrapper called `UppercaseSource` to read the original response body and convert it to uppercase before returning</t>
        </is>
      </c>
      <c r="I1051" t="n">
        <v>0.0042</v>
      </c>
      <c r="J1051" t="n">
        <v>0.09229999999999999</v>
      </c>
      <c r="K1051" t="n">
        <v>0.155</v>
      </c>
      <c r="L1051" t="inlineStr">
        <is>
          <t>The `UppercaseResponseInterceptor` class implements the `Interceptor` interface from OkHttp. It rewrites the response body returned from the server to be all uppercase.</t>
        </is>
      </c>
      <c r="M1051" t="n">
        <v>0.008699999999999999</v>
      </c>
      <c r="N1051" t="n">
        <v>0.0667</v>
      </c>
      <c r="O1051" t="n">
        <v>0.0532</v>
      </c>
    </row>
    <row r="1052">
      <c r="A1052" t="inlineStr">
        <is>
          <t>okhttp</t>
        </is>
      </c>
      <c r="B1052" t="inlineStr">
        <is>
          <t>okhttp-testing-support/src/main/kotlin/okhttp3/TestValueFactory.kt</t>
        </is>
      </c>
      <c r="C1052">
        <f>HYPERLINK("https://github.com/square/okhttp/blob/master/okhttp-testing-support/src/main/kotlin/okhttp3/TestValueFactory.kt")</f>
        <v/>
      </c>
      <c r="D1052" t="inlineStr">
        <is>
          <t>This code appears to be a Java implementation of the OkHttp library, which is a popular HTTP client library used for making HTTP requests from Android apps. The code defines various classes and interfaces related to network communication, including `OkHttpClient`, `Request`, `Response`, and `Call`. It also includes some utility methods for working with sockets and SSL connections.
The main entry point</t>
        </is>
      </c>
      <c r="E1052" t="n">
        <v>0.0036</v>
      </c>
      <c r="F1052" t="n">
        <v>0.08699999999999999</v>
      </c>
      <c r="G1052" t="n">
        <v>0.1504</v>
      </c>
      <c r="H1052" t="inlineStr">
        <is>
          <t>This code appears to be part of an HTTP client library called OkHttp. It defines several classes and interfaces related to networking, including `OkHttpClient`, `Request`, `Response`, `Call`, and `EventListener`. The code also includes some utility methods for working with sockets and SSL connections. Overall, it seems like this codebase provides a robust and flexible implementation of an HTTP client</t>
        </is>
      </c>
      <c r="I1052" t="n">
        <v>0.0037</v>
      </c>
      <c r="J1052" t="n">
        <v>0.0597</v>
      </c>
      <c r="K1052" t="n">
        <v>0.1527</v>
      </c>
      <c r="L1052" t="inlineStr">
        <is>
          <t>The provided code defines a class named `OkHttpClient` that implements the `Closeable` interface. It has several methods for configuring HTTP connections, including `newBuilder()`, `connectTimeout()`, `readTimeout()`, and `writeTimeout()`. These methods allow users to set various timeout values for different aspects of the connection, such as the amount of time spent establishing a connection, reading data</t>
        </is>
      </c>
      <c r="M1052" t="n">
        <v>0.004</v>
      </c>
      <c r="N1052" t="n">
        <v>0.0645</v>
      </c>
      <c r="O1052" t="n">
        <v>0.0794</v>
      </c>
    </row>
    <row r="1053">
      <c r="A1053" t="inlineStr">
        <is>
          <t>okhttp</t>
        </is>
      </c>
      <c r="B1053" t="inlineStr">
        <is>
          <t>okhttp-testing-support/src/main/kotlin/okhttp3/TestUtilJvm.kt</t>
        </is>
      </c>
      <c r="C1053">
        <f>HYPERLINK("https://github.com/square/okhttp/blob/master/okhttp-testing-support/src/main/kotlin/okhttp3/TestUtilJvm.kt")</f>
        <v/>
      </c>
      <c r="D1053" t="inlineStr">
        <is>
          <t>The provided code defines a class called `TestU` that has several static methods used for testing purposes. These methods include:
* `assertEquals`: A method that checks if two objects are equal.
* `assertNotNull`: A method that checks if an object is not null.
* `assumeFalse`: A method that assumes that a condition is false.
*</t>
        </is>
      </c>
      <c r="E1053" t="n">
        <v>0</v>
      </c>
      <c r="F1053" t="n">
        <v>0</v>
      </c>
      <c r="G1053" t="n">
        <v>0.0394</v>
      </c>
      <c r="H1053" t="inlineStr">
        <is>
          <t>This code appears to be part of an HTTP client library called OkHttp. It defines several classes and objects related to networking, including `OkHttpClient`, `Request`, `Response`, and `CookieJar`. The code also includes some utility functions such as `checkNotNull` and `requireNonNull`.
The main entry point for the library seems to be the `OkHttp</t>
        </is>
      </c>
      <c r="I1053" t="n">
        <v>0.0042</v>
      </c>
      <c r="J1053" t="n">
        <v>0.1</v>
      </c>
      <c r="K1053" t="n">
        <v>0.121</v>
      </c>
      <c r="L1053" t="inlineStr">
        <is>
          <t>The provided code is part of the OkHttp library, which is used for making HTTP requests in Java applications. It appears to be a test utility class that provides various methods for testing purposes.
The class has several static methods that perform different tasks such as creating mock objects, reading files, and parsing strings. Some of these methods have complex implementations that involve multiple lines of code. However,</t>
        </is>
      </c>
      <c r="M1053" t="n">
        <v>0.0027</v>
      </c>
      <c r="N1053" t="n">
        <v>0.0263</v>
      </c>
      <c r="O1053" t="n">
        <v>0.1071</v>
      </c>
    </row>
    <row r="1054">
      <c r="A1054" t="inlineStr">
        <is>
          <t>okhttp</t>
        </is>
      </c>
      <c r="B1054" t="inlineStr">
        <is>
          <t>okhttp-testing-support/src/main/kotlin/okhttp3/TestUtilCommon.kt</t>
        </is>
      </c>
      <c r="C1054">
        <f>HYPERLINK("https://github.com/square/okhttp/blob/master/okhttp-testing-support/src/main/kotlin/okhttp3/TestUtilCommon.kt")</f>
        <v/>
      </c>
      <c r="D1054" t="inlineStr">
        <is>
          <t>The provided code defines several functions and variables related to the OkHttp library, which is used for making HTTP requests from Android applications.
The `okHttpRoot` variable is defined as the root directory of the OkHttp installation, obtained from the `getEnv()` function.
The `String()` function takes a varargs parameter of integer code points and returns a string representation of those</t>
        </is>
      </c>
      <c r="E1054" t="n">
        <v>0.0031</v>
      </c>
      <c r="F1054" t="n">
        <v>0.0597</v>
      </c>
      <c r="G1054" t="n">
        <v>0.07630000000000001</v>
      </c>
      <c r="H1054" t="inlineStr">
        <is>
          <t>This code defines several functions related to string manipulation and encoding. The `String` function takes a variable number of integer arguments representing Unicode code points and returns a new string containing those characters. The `okHttpRoot` property gets the value of the environment variable OKHTTP_ROOT as a path object.</t>
        </is>
      </c>
      <c r="I1054" t="n">
        <v>0.0045</v>
      </c>
      <c r="J1054" t="n">
        <v>0.1053</v>
      </c>
      <c r="K1054" t="n">
        <v>0.125</v>
      </c>
      <c r="L1054" t="inlineStr">
        <is>
          <t>The provided code defines several functions related to working with strings and paths in the OkHttp library. The `okHttpRoot` property returns a path based on the value of the `OKHTTP_ROOT` environment variable, while the `String()` function takes a varargs parameter of integer code points and returns a string representation of those characters.</t>
        </is>
      </c>
      <c r="M1054" t="n">
        <v>0.0035</v>
      </c>
      <c r="N1054" t="n">
        <v>0.06560000000000001</v>
      </c>
      <c r="O1054" t="n">
        <v>0.0806</v>
      </c>
    </row>
    <row r="1055">
      <c r="A1055" t="inlineStr">
        <is>
          <t>okhttp</t>
        </is>
      </c>
      <c r="B1055" t="inlineStr">
        <is>
          <t>okhttp-testing-support/src/main/kotlin/okhttp3/FakeDns.kt</t>
        </is>
      </c>
      <c r="C1055">
        <f>HYPERLINK("https://github.com/square/okhttp/blob/master/okhttp-testing-support/src/main/kotlin/okhttp3/FakeDns.kt")</f>
        <v/>
      </c>
      <c r="D1055" t="inlineStr">
        <is>
          <t>The `FakeDns` class provides a simple implementation of the `Dns` interface that allows you to map DNS queries to predefined IP addresses. It has two main methods:
* `set(host: String, ipAddr: InetAddress)`: Sets the IP address associated with a given domain name.
* `lookup(hostname: String): List</t>
        </is>
      </c>
      <c r="E1055" t="n">
        <v>0</v>
      </c>
      <c r="F1055" t="n">
        <v>0.037</v>
      </c>
      <c r="G1055" t="n">
        <v>0.0847</v>
      </c>
      <c r="H1055" t="inlineStr">
        <is>
          <t>This code defines a custom DNS resolution mechanism that allows developers to specify IP addresses for certain domain names. The `FakeDns` class implements the `okhttp3.Dns` interface, which provides methods for resolving domain names into IP addresses. When a developer calls one of these methods, it returns a list of IP addresses associated with the specified domain name. If no such association</t>
        </is>
      </c>
      <c r="I1055" t="n">
        <v>0.0036</v>
      </c>
      <c r="J1055" t="n">
        <v>0.0571</v>
      </c>
      <c r="K1055" t="n">
        <v>0.0752</v>
      </c>
      <c r="L1055" t="inlineStr">
        <is>
          <t>The provided code defines a custom DNS resolver called `FakeDns` that allows developers to specify IP addresses for hosts. It implements the `Dns` interface from OkHttp, which provides methods for performing DNS lookups.
The class has two main functions:
* `lookup`: Takes a hostname as input and returns a list of IP addresses associated with that</t>
        </is>
      </c>
      <c r="M1055" t="n">
        <v>0.0039</v>
      </c>
      <c r="N1055" t="n">
        <v>0.09520000000000001</v>
      </c>
      <c r="O1055" t="n">
        <v>0.0781</v>
      </c>
    </row>
    <row r="1056">
      <c r="A1056" t="inlineStr">
        <is>
          <t>okhttp</t>
        </is>
      </c>
      <c r="B1056" t="inlineStr">
        <is>
          <t>okhttp-testing-support/src/main/kotlin/okhttp3/SimpleProvider.kt</t>
        </is>
      </c>
      <c r="C1056">
        <f>HYPERLINK("https://github.com/square/okhttp/blob/master/okhttp-testing-support/src/main/kotlin/okhttp3/SimpleProvider.kt")</f>
        <v/>
      </c>
      <c r="D1056" t="inlineStr">
        <is>
          <t>This code defines a simple provider that generates test data for JUnit tests using the `arguments()` method. The `provideArguments` method returns a list of `Arguments` objects, each representing a single test case. The `arguments()` method is defined as an abstract function and must be implemented by subclasses. The `Stream` returned from the `arguments()` method is used to create a</t>
        </is>
      </c>
      <c r="E1056" t="n">
        <v>0.0037</v>
      </c>
      <c r="F1056" t="n">
        <v>0.0896</v>
      </c>
      <c r="G1056" t="n">
        <v>0.2409</v>
      </c>
      <c r="H1056" t="inlineStr">
        <is>
          <t>This is a Java package called `okhttp3` that provides a set of classes and interfaces for implementing HTTP clients. The package includes several classes such as `OkHttpClient`, `Request`, and `Response`. These classes can be used to send HTTP requests and receive responses from servers. The package also includes a number of utility classes and methods for working with HTTP headers, cookies, and other</t>
        </is>
      </c>
      <c r="I1056" t="n">
        <v>0.0034</v>
      </c>
      <c r="J1056" t="n">
        <v>0.08450000000000001</v>
      </c>
      <c r="K1056" t="n">
        <v>0.1481</v>
      </c>
      <c r="L1056" t="inlineStr">
        <is>
          <t>The provided code defines a simple provider that generates test data using the JUnit Jupiter framework. It extends the `ArgumentsProvider` interface and overrides the `provideArguments()` method to return a list of arguments. The method uses the `arguments()` function to generate a sequence of test data, which is then converted into a list of `Arguments` objects and returned as a stream.</t>
        </is>
      </c>
      <c r="M1056" t="n">
        <v>0.003</v>
      </c>
      <c r="N1056" t="n">
        <v>0.0588</v>
      </c>
      <c r="O1056" t="n">
        <v>0.07580000000000001</v>
      </c>
    </row>
    <row r="1057">
      <c r="A1057" t="inlineStr">
        <is>
          <t>okhttp</t>
        </is>
      </c>
      <c r="B1057" t="inlineStr">
        <is>
          <t>okhttp-testing-support/src/main/kotlin/okhttp3/RecordingCookieJar.kt</t>
        </is>
      </c>
      <c r="C1057">
        <f>HYPERLINK("https://github.com/square/okhttp/blob/master/okhttp-testing-support/src/main/kotlin/okhttp3/RecordingCookieJar.kt")</f>
        <v/>
      </c>
      <c r="D1057" t="inlineStr">
        <is>
          <t>This code defines a `RecordingCookieJar` class that implements the `okhttp3.CookieJar` interface. It allows recording requests and responses for cookie handling. The class has two methods:
* `enqueueRequestCookies`: takes a variable number of `Cookie` objects as input and adds them to a queue of request cookies.
* `getResponseCook</t>
        </is>
      </c>
      <c r="E1057" t="n">
        <v>0.0051</v>
      </c>
      <c r="F1057" t="n">
        <v>0.1111</v>
      </c>
      <c r="G1057" t="n">
        <v>0.1261</v>
      </c>
      <c r="H1057" t="inlineStr">
        <is>
          <t>This code implements a `RecordingCookieJar` class that extends the `CookieJar` interface from the OkHttp library. The class has two main methods: `enqueueRequestCookies()` and `enqueueResponseCookies()`. These methods allow users to record requests and responses made using the `OkHttpClient`. The recorded data can then be used for debugging purposes.</t>
        </is>
      </c>
      <c r="I1057" t="n">
        <v>0.0051</v>
      </c>
      <c r="J1057" t="n">
        <v>0.1091</v>
      </c>
      <c r="K1057" t="n">
        <v>0.1681</v>
      </c>
      <c r="L1057" t="inlineStr">
        <is>
          <t>The `RecordingCookieJar` class implements the `CookieJar` interface from OkHttp. It provides a way to record HTTP requests and responses that contain cookies. The class has two queues: one for storing request cookies and another for storing response cookies. When a new cookie is added to the request queue, it is also stored in the response queue. The `enqueueRequest</t>
        </is>
      </c>
      <c r="M1057" t="n">
        <v>0.0037</v>
      </c>
      <c r="N1057" t="n">
        <v>0.0606</v>
      </c>
      <c r="O1057" t="n">
        <v>0.0769</v>
      </c>
    </row>
    <row r="1058">
      <c r="A1058" t="inlineStr">
        <is>
          <t>okhttp</t>
        </is>
      </c>
      <c r="B1058" t="inlineStr">
        <is>
          <t>okhttp-testing-support/src/main/kotlin/okhttp3/testing/PlatformRule.kt</t>
        </is>
      </c>
      <c r="C1058">
        <f>HYPERLINK("https://github.com/square/okhttp/blob/master/okhttp-testing-support/src/main/kotlin/okhttp3/testing/PlatformRule.kt")</f>
        <v/>
      </c>
      <c r="D1058" t="inlineStr">
        <is>
          <t>This code appears to be part of an Android app that uses OkHttp library to make HTTP requests. It includes unit tests for various features of the app, including testing the SSL/TLS handshake using Conscrypt and Jetty Boot platforms. The code also includes some utility functions for testing purposes.</t>
        </is>
      </c>
      <c r="E1058" t="n">
        <v>0.0045</v>
      </c>
      <c r="F1058" t="n">
        <v>0.06900000000000001</v>
      </c>
      <c r="G1058" t="n">
        <v>0.124</v>
      </c>
      <c r="H1058" t="inlineStr">
        <is>
          <t>This code appears to be a Java package containing various classes and methods related to testing the functionality of the OkHttp library. The package includes several files, including a README file that describes the purpose of the repository and its contents, as well as a license file indicating that it is licensed under the Apache License version 2.0.
The main class in the package is `</t>
        </is>
      </c>
      <c r="I1058" t="n">
        <v>0.0036</v>
      </c>
      <c r="J1058" t="n">
        <v>0.08110000000000001</v>
      </c>
      <c r="K1058" t="n">
        <v>0.1087</v>
      </c>
      <c r="L1058" t="inlineStr">
        <is>
          <t>The provided code implements various functionalities related to testing OkHttp's compatibility with different platforms. It includes methods that test the library's support for Amazon Corretto Crypto Provider, JDK 8 with Jetty Boot platform, and Android operating system. Additionally, the code provides utilities for running tests and checking the status of self-tests performed by the library.</t>
        </is>
      </c>
      <c r="M1058" t="n">
        <v>0.004</v>
      </c>
      <c r="N1058" t="n">
        <v>0.09089999999999999</v>
      </c>
      <c r="O1058" t="n">
        <v>0.1181</v>
      </c>
    </row>
    <row r="1059">
      <c r="A1059" t="inlineStr">
        <is>
          <t>okhttp</t>
        </is>
      </c>
      <c r="B1059" t="inlineStr">
        <is>
          <t>okhttp-testing-support/src/main/kotlin/okhttp3/testing/Flaky.kt</t>
        </is>
      </c>
      <c r="C1059">
        <f>HYPERLINK("https://github.com/square/okhttp/blob/master/okhttp-testing-support/src/main/kotlin/okhttp3/testing/Flaky.kt")</f>
        <v/>
      </c>
      <c r="D1059" t="inlineStr">
        <is>
          <t>The provided code defines an annotation called `Flaky` that can be used to mark tests as flaky, meaning they are expected to fail sometimes due to external factors such as network issues or platform differences. When applied to a test class or method, it provides additional information about why the test is considered flaky, including a link to a GitHub issue where more details can be found. It</t>
        </is>
      </c>
      <c r="E1059" t="n">
        <v>0</v>
      </c>
      <c r="F1059" t="n">
        <v>0</v>
      </c>
      <c r="G1059" t="n">
        <v>0.0357</v>
      </c>
      <c r="H1059" t="inlineStr">
        <is>
          <t>The provided code defines a package called `okhttp3.testing` that contains a single annotation called `Flaky`. The annotation is used to mark tests as flaky, which means that they are expected to fail occasionally due to external factors such as network issues or server errors. The annotation also includes a link to a GitHub issue where more information about the problem can be found.</t>
        </is>
      </c>
      <c r="I1059" t="n">
        <v>0</v>
      </c>
      <c r="J1059" t="n">
        <v>0</v>
      </c>
      <c r="K1059" t="n">
        <v>0.037</v>
      </c>
      <c r="L1059" t="inlineStr">
        <is>
          <t>The code defines an annotation called `Flaky`, which marks a test as flaky and requires extra logging and linking against a known GitHub issue. It is annotated with additional metadata such as license information and documentation comments.</t>
        </is>
      </c>
      <c r="M1059" t="n">
        <v>0.005</v>
      </c>
      <c r="N1059" t="n">
        <v>0.0444</v>
      </c>
      <c r="O1059" t="n">
        <v>0.0459</v>
      </c>
    </row>
    <row r="1060">
      <c r="A1060" t="inlineStr">
        <is>
          <t>okhttp</t>
        </is>
      </c>
      <c r="B1060" t="inlineStr">
        <is>
          <t>okhttp-testing-support/src/main/kotlin/okhttp3/testing/PlatformVersion.kt</t>
        </is>
      </c>
      <c r="C1060">
        <f>HYPERLINK("https://github.com/square/okhttp/blob/master/okhttp-testing-support/src/main/kotlin/okhttp3/testing/PlatformVersion.kt")</f>
        <v/>
      </c>
      <c r="D1060" t="inlineStr">
        <is>
          <t>The `PlatformVersion` class provides a way to determine the version of the Java platform that the application is running on. It does this by using the `System.getProperty()` method to retrieve the value of the `java.specification.version` system property, which represents the version of the Java specification that the JVM implementation conforms to. If the retrieved value is equal to "1</t>
        </is>
      </c>
      <c r="E1060" t="n">
        <v>0</v>
      </c>
      <c r="F1060" t="n">
        <v>0.0571</v>
      </c>
      <c r="G1060" t="n">
        <v>0.1145</v>
      </c>
      <c r="H1060" t="inlineStr">
        <is>
          <t>This code defines a class called `PlatformVersion` that provides information about the version of Java being used to run the application. The class has a single static method called `majorVersion()` that returns an integer representing the major version number of the JVM. The method uses the `System.getProperty()` method to retrieve the value of the `java.specification.version` system property, which</t>
        </is>
      </c>
      <c r="I1060" t="n">
        <v>0.0031</v>
      </c>
      <c r="J1060" t="n">
        <v>0.029</v>
      </c>
      <c r="K1060" t="n">
        <v>0.0769</v>
      </c>
      <c r="L1060" t="inlineStr">
        <is>
          <t>The provided code defines a class named `PlatformVersion` that provides a way to determine the version of the Java platform being used. It uses the `System.getProperty()` method to retrieve the value of the `java.specification.version` system property, which represents the version number of the JVM specification implemented by the current JVM. If the retrieved version string is equal to `"1.</t>
        </is>
      </c>
      <c r="M1060" t="n">
        <v>0</v>
      </c>
      <c r="N1060" t="n">
        <v>0.0286</v>
      </c>
      <c r="O1060" t="n">
        <v>0.07630000000000001</v>
      </c>
    </row>
    <row r="1061">
      <c r="A1061" t="inlineStr">
        <is>
          <t>okhttp</t>
        </is>
      </c>
      <c r="B1061" t="inlineStr">
        <is>
          <t>okhttp-testing-support/src/main/kotlin/okhttp3/okio/LoggingFilesystem.kt</t>
        </is>
      </c>
      <c r="C1061">
        <f>HYPERLINK("https://github.com/square/okhttp/blob/master/okhttp-testing-support/src/main/kotlin/okhttp3/okio/LoggingFilesystem.kt")</f>
        <v/>
      </c>
      <c r="D1061" t="inlineStr">
        <is>
          <t>The `LoggingFilesystem` class extends the `ForwardingFileSystem` class and provides additional logging capabilities. It overrides the `appendingSink()` method to print a message to the console when it's called. Additionally, it logs any messages passed to its `log()` method using the `println()` function.</t>
        </is>
      </c>
      <c r="E1061" t="n">
        <v>0.0045</v>
      </c>
      <c r="F1061" t="n">
        <v>0.04</v>
      </c>
      <c r="G1061" t="n">
        <v>0.0885</v>
      </c>
      <c r="H1061" t="inlineStr">
        <is>
          <t>The `LoggingFilesystem` class is a custom implementation of the `FileSystem` interface from OkHttp's `okio` library. It wraps around another `FileSystem` instance and logs all operations performed on it. The logged operations include methods such as `open`, `source`, `sink`, `delete`, etc. The logging is done using the `log`</t>
        </is>
      </c>
      <c r="I1061" t="n">
        <v>0.0039</v>
      </c>
      <c r="J1061" t="n">
        <v>0.07140000000000001</v>
      </c>
      <c r="K1061" t="n">
        <v>0.1261</v>
      </c>
      <c r="L1061" t="inlineStr">
        <is>
          <t>The `LoggingFilesystem` class extends the `ForwardingFileSystem` class from OkHttp's `okio` package. It overrides the `appendingSink()` method to print a message to the console before delegating to the superclass implementation. Additionally, it has a `log()` function that takes a string argument and prints it to the console.</t>
        </is>
      </c>
      <c r="M1061" t="n">
        <v>0.004</v>
      </c>
      <c r="N1061" t="n">
        <v>0.1091</v>
      </c>
      <c r="O1061" t="n">
        <v>0.0847</v>
      </c>
    </row>
    <row r="1062">
      <c r="A1062" t="inlineStr">
        <is>
          <t>okhttp</t>
        </is>
      </c>
      <c r="B1062" t="inlineStr">
        <is>
          <t>okhttp-testing-support/src/main/kotlin/okhttp3/internal/RecordingOkAuthenticator.kt</t>
        </is>
      </c>
      <c r="C1062">
        <f>HYPERLINK("https://github.com/square/okhttp/blob/master/okhttp-testing-support/src/main/kotlin/okhttp3/internal/RecordingOkAuthenticator.kt")</f>
        <v/>
      </c>
      <c r="D1062" t="inlineStr">
        <is>
          <t>The `RecordingOkAuthenticator` class provides an implementation of the `Authenticator` interface from OkHttp. It records the responses and routes that it has been used with, and allows access to them through methods such as `onlyResponse()` and `onlyRoute()`. The constructor takes two parameters: `credential`, which represents the credentials to be used for authentication, and `sch</t>
        </is>
      </c>
      <c r="E1062" t="n">
        <v>0.0035</v>
      </c>
      <c r="F1062" t="n">
        <v>0.06560000000000001</v>
      </c>
      <c r="G1062" t="n">
        <v>0.12</v>
      </c>
      <c r="H1062" t="inlineStr">
        <is>
          <t>The provided code defines a `RecordingOkAuthenticator` class that implements the `okhttp3.Authenticator` interface. It has three properties:
* `credential`: A string containing the authentication credentials.
* `scheme`: A string containing the authentication scheme (e.g., "Basic").
* `responses`: An array list of `Response</t>
        </is>
      </c>
      <c r="I1062" t="n">
        <v>0.0045</v>
      </c>
      <c r="J1062" t="n">
        <v>0.0417</v>
      </c>
      <c r="K1062" t="n">
        <v>0.0442</v>
      </c>
      <c r="L1062" t="inlineStr">
        <is>
          <t>The `RecordingOkAuthenticator` class is a custom implementation of the `Authenticator` interface from OkHttp. It records the authentication requests made by OkHttp and provides methods to retrieve them. The class has two constructors that take a `credential` string and a `scheme` string as parameters. The `responses` property is a list of `Response`</t>
        </is>
      </c>
      <c r="M1062" t="n">
        <v>0.0036</v>
      </c>
      <c r="N1062" t="n">
        <v>0.0678</v>
      </c>
      <c r="O1062" t="n">
        <v>0.0813</v>
      </c>
    </row>
    <row r="1063">
      <c r="A1063" t="inlineStr">
        <is>
          <t>okhttp</t>
        </is>
      </c>
      <c r="B1063" t="inlineStr">
        <is>
          <t>okhttp-testing-support/src/main/kotlin/okhttp3/internal/duplex/AsyncRequestBody.kt</t>
        </is>
      </c>
      <c r="C1063">
        <f>HYPERLINK("https://github.com/square/okhttp/blob/master/okhttp-testing-support/src/main/kotlin/okhttp3/internal/duplex/AsyncRequestBody.kt")</f>
        <v/>
      </c>
      <c r="D1063" t="inlineStr">
        <is>
          <t>This code defines a class called `Asy` which implements the `okhttp3.RequestBody` interface. It provides a way to write data to multiple sinks simultaneously using a queue. The constructor takes a list of sinks as input and creates a new instance of the class. The `writeTo` method writes the contents of the sink to all the sinks in the queue.</t>
        </is>
      </c>
      <c r="E1063" t="n">
        <v>0.0041</v>
      </c>
      <c r="F1063" t="n">
        <v>0.0882</v>
      </c>
      <c r="G1063" t="n">
        <v>0.1527</v>
      </c>
      <c r="H1063" t="inlineStr">
        <is>
          <t>This code defines a class called `Asy` that implements a duplex request body. It extends the `RequestBody` interface from OkHttp and provides a blocking queue to store the provided sinks. The `writeTo` method writes the contents of the sink to the buffered sink passed as a parameter. The `close` method closes the underlying sink and releases any resources associated with</t>
        </is>
      </c>
      <c r="I1063" t="n">
        <v>0.004</v>
      </c>
      <c r="J1063" t="n">
        <v>0.0882</v>
      </c>
      <c r="K1063" t="n">
        <v>0.1136</v>
      </c>
      <c r="L1063" t="inlineStr">
        <is>
          <t>The `Asy` class implements a duplex request body that allows multiple sinks to be added and written to later. It uses a `LinkedBlockingQueue` to store the sinks and provides methods to add and remove them. The class also includes unit tests using JUnit 5.</t>
        </is>
      </c>
      <c r="M1063" t="n">
        <v>0.005</v>
      </c>
      <c r="N1063" t="n">
        <v>0.0769</v>
      </c>
      <c r="O1063" t="n">
        <v>0.1293</v>
      </c>
    </row>
    <row r="1064">
      <c r="A1064" t="inlineStr">
        <is>
          <t>okhttp</t>
        </is>
      </c>
      <c r="B1064" t="inlineStr">
        <is>
          <t>okhttp-testing-support/src/main/kotlin/okhttp3/internal/duplex/MockSocketHandler.kt</t>
        </is>
      </c>
      <c r="C1064">
        <f>HYPERLINK("https://github.com/square/okhttp/blob/master/okhttp-testing-support/src/main/kotlin/okhttp3/internal/duplex/MockSocketHandler.kt")</f>
        <v/>
      </c>
      <c r="D1064" t="inlineStr">
        <is>
          <t>This code appears to be part of an implementation of a duplex HTTP connection using OkHttp. It defines several classes and interfaces related to socket handling and buffering, as well as some utility methods for working with strings and futures. The main class of interest seems to be `OkHttpClient`, which implements the `SocketHandler` interface from MockWebServer and provides a way to handle incoming</t>
        </is>
      </c>
      <c r="E1064" t="n">
        <v>0.0038</v>
      </c>
      <c r="F1064" t="n">
        <v>0.08450000000000001</v>
      </c>
      <c r="G1064" t="n">
        <v>0.1481</v>
      </c>
      <c r="H1064" t="inlineStr">
        <is>
          <t>This code implements a server that uses OkHttp's internal API to handle HTTP requests and responses over a socket connection. The server listens for incoming connections on a specified port and handles each request using a separate thread. It also includes a `SocketHandler` class that provides a way to customize how the server handles incoming requests and responses. The code is written in Java and has a complexity</t>
        </is>
      </c>
      <c r="I1064" t="n">
        <v>0.0035</v>
      </c>
      <c r="J1064" t="n">
        <v>0.0779</v>
      </c>
      <c r="K1064" t="n">
        <v>0.1429</v>
      </c>
      <c r="L1064" t="inlineStr">
        <is>
          <t>The code defines a class called `Duplexer` that extends `SocketHandler`. It overrides the `handle` method to handle incoming connections from clients. The `handle` method creates a new instance of `DuplexConnection`, which represents a single connection between two endpoints. The `DuplexConnection` class has several methods for reading and writing data to the socket,</t>
        </is>
      </c>
      <c r="M1064" t="n">
        <v>0.0035</v>
      </c>
      <c r="N1064" t="n">
        <v>0.0333</v>
      </c>
      <c r="O1064" t="n">
        <v>0.0403</v>
      </c>
    </row>
    <row r="1065">
      <c r="A1065" t="inlineStr">
        <is>
          <t>okhttp</t>
        </is>
      </c>
      <c r="B1065" t="inlineStr">
        <is>
          <t>okhttp-testing-support/src/main/kotlin/okhttp3/internal/concurrent/TaskFaker.kt</t>
        </is>
      </c>
      <c r="C1065">
        <f>HYPERLINK("https://github.com/square/okhttp/blob/master/okhttp-testing-support/src/main/kotlin/okhttp3/internal/concurrent/TaskFaker.kt")</f>
        <v/>
      </c>
      <c r="D1065" t="inlineStr">
        <is>
          <t>This code appears to be part of an OkHttp library for Android, specifically the internal `okhttp3` package. It defines several classes related to concurrent execution and queuing, including `TaskRunner`, which runs tasks asynchronously using a thread pool, and `TaskQueue`, which provides a blocking queue that can be used to schedule tasks for execution. The code also includes some utility functions</t>
        </is>
      </c>
      <c r="E1065" t="n">
        <v>0.0036</v>
      </c>
      <c r="F1065" t="n">
        <v>0.0588</v>
      </c>
      <c r="G1065" t="n">
        <v>0.1136</v>
      </c>
      <c r="H1065" t="inlineStr">
        <is>
          <t>This code defines a class called `TaskRunner` that implements a task runner based on Java's built-in `ExecutorService`. The class has several methods that allow it to run tasks asynchronously, including `execute`, `submit`, and `shutdown`. It also provides a method to check if there are any pending tasks using the `hasPendingTasks()` method. Additionally</t>
        </is>
      </c>
      <c r="I1065" t="n">
        <v>0.0046</v>
      </c>
      <c r="J1065" t="n">
        <v>0.0968</v>
      </c>
      <c r="K1065" t="n">
        <v>0.1613</v>
      </c>
      <c r="L1065" t="inlineStr">
        <is>
          <t>The provided code defines a class called `TaskRunner` that implements the `Runnable` interface. It has two constructors, one that takes a single argument (`executor`) and another that takes no arguments. The first constructor creates a new instance of `ExecutorService` using the `Executors.newSingleThreadExecutor()` method, while the second constructor uses the default `ExecutorService`.</t>
        </is>
      </c>
      <c r="M1065" t="n">
        <v>0.0043</v>
      </c>
      <c r="N1065" t="n">
        <v>0.0667</v>
      </c>
      <c r="O1065" t="n">
        <v>0.122</v>
      </c>
    </row>
    <row r="1066">
      <c r="A1066" t="inlineStr">
        <is>
          <t>okhttp</t>
        </is>
      </c>
      <c r="B1066" t="inlineStr">
        <is>
          <t>okhttp-testing-support/src/main/kotlin/okhttp3/internal/http/RecordingProxySelector.kt</t>
        </is>
      </c>
      <c r="C1066">
        <f>HYPERLINK("https://github.com/square/okhttp/blob/master/okhttp-testing-support/src/main/kotlin/okhttp3/internal/http/RecordingProxySelector.kt")</f>
        <v/>
      </c>
      <c r="D1066" t="inlineStr">
        <is>
          <t>The `RecordingProxySelector` class implements the `ProxySelector` interface from Java's standard library. It provides a way to record the proxy servers that have been selected by the system during its lifetime.
The class has two main methods:
* `public List&lt;Proxy&gt; select(URI uri)`: This method returns a list of proxies that should be used</t>
        </is>
      </c>
      <c r="E1066" t="n">
        <v>0.0042</v>
      </c>
      <c r="F1066" t="n">
        <v>0.0323</v>
      </c>
      <c r="G1066" t="n">
        <v>0.121</v>
      </c>
      <c r="H1066" t="inlineStr">
        <is>
          <t>This code defines a custom implementation of the `ProxySelector` class from Java's standard library. The `RecordingProxySelector` class extends the base `ProxySelector` class and adds additional functionality to record the proxy servers that it selects.
The `proxies` field is a list of `Proxy` objects that represents the selected proxies. The `add` method</t>
        </is>
      </c>
      <c r="I1066" t="n">
        <v>0.0047</v>
      </c>
      <c r="J1066" t="n">
        <v>0.1</v>
      </c>
      <c r="K1066" t="n">
        <v>0.1626</v>
      </c>
      <c r="L1066" t="inlineStr">
        <is>
          <t>The `RecordingProxySelector` class implements the `ProxySelector` interface from Java's standard library. It records all proxy selections made by the instance, allowing them to be retrieved later. The class has two fields: `proxies`, which is a list of `Proxy` objects representing each selected proxy, and `uri`, which is the URI that was passed into the `</t>
        </is>
      </c>
      <c r="M1066" t="n">
        <v>0.004</v>
      </c>
      <c r="N1066" t="n">
        <v>0.0635</v>
      </c>
      <c r="O1066" t="n">
        <v>0.07870000000000001</v>
      </c>
    </row>
    <row r="1067">
      <c r="A1067" t="inlineStr">
        <is>
          <t>okhttp</t>
        </is>
      </c>
      <c r="B1067" t="inlineStr">
        <is>
          <t>okhttp-testing-support/src/test/kotlin/okhttp3/OkHttpClientTestRuleTest.kt</t>
        </is>
      </c>
      <c r="C1067">
        <f>HYPERLINK("https://github.com/square/okhttp/blob/master/okhttp-testing-support/src/test/kotlin/okhttp3/OkHttpClientTestRuleTest.kt")</f>
        <v/>
      </c>
      <c r="D1067" t="inlineStr">
        <is>
          <t>This code defines a test rule for testing HTTP clients using OkHttp. The `OkHttpClientTestRule` class provides a way to easily create and configure an instance of the OkHttp client for testing purposes. It also provides some utility methods for making requests and asserting responses.
The `beforeEach()` method is called before each test case and sets up the test environment by creating</t>
        </is>
      </c>
      <c r="E1067" t="n">
        <v>0.0036</v>
      </c>
      <c r="F1067" t="n">
        <v>0.058</v>
      </c>
      <c r="G1067" t="n">
        <v>0.1128</v>
      </c>
      <c r="H1067" t="inlineStr">
        <is>
          <t>This code defines a JUnit test rule that can be used to test HTTP clients using OkHttp. The rule provides a way to easily set up an HTTP client and execute requests against it during testing. It also includes some basic assertions for checking the response status code and body.
The `OkHttpClientTestRule` class is annotated with `@ExtendWith(BeforeEachCallback</t>
        </is>
      </c>
      <c r="I1067" t="n">
        <v>0.0038</v>
      </c>
      <c r="J1067" t="n">
        <v>0.0606</v>
      </c>
      <c r="K1067" t="n">
        <v>0.1163</v>
      </c>
      <c r="L1067" t="inlineStr">
        <is>
          <t>The `OkHttpClient` class provides a test rule that allows developers to easily create and manage HTTP clients during testing. It provides methods for creating and configuring client instances, as well as methods for intercepting requests and responses. The class also includes a number of utility methods for working with HTTP headers and cookies. Overall, the `OkHttpClient` class provides a convenient and flexible way</t>
        </is>
      </c>
      <c r="M1067" t="n">
        <v>0.0029</v>
      </c>
      <c r="N1067" t="n">
        <v>0.0282</v>
      </c>
      <c r="O1067" t="n">
        <v>0.0741</v>
      </c>
    </row>
    <row r="1068">
      <c r="A1068" t="inlineStr">
        <is>
          <t>okhttp</t>
        </is>
      </c>
      <c r="B1068" t="inlineStr">
        <is>
          <t>okhttp-testing-support/src/test/kotlin/okhttp3/testing/PlatformRuleTest.kt</t>
        </is>
      </c>
      <c r="C1068">
        <f>HYPERLINK("https://github.com/square/okhttp/blob/master/okhttp-testing-support/src/test/kotlin/okhttp3/testing/PlatformRuleTest.kt")</f>
        <v/>
      </c>
      <c r="D1068" t="inlineStr">
        <is>
          <t>The `PlatformRuleTest` class tests whether the correct platform is being used by the IDE. It does this by using the `PlatformRule` extension, which sets up the platform based on the system property `okhttp.test.platform`. The test method `testMode()` prints out the value of this system property and then prints an empty line. This indicates that the test has completed successfully</t>
        </is>
      </c>
      <c r="E1068" t="n">
        <v>0.0037</v>
      </c>
      <c r="F1068" t="n">
        <v>0.058</v>
      </c>
      <c r="G1068" t="n">
        <v>0.1145</v>
      </c>
      <c r="H1068" t="inlineStr">
        <is>
          <t>This code defines a JUnit test class called `PlatformRuleTest` that uses the `@RegisterExtension` annotation to register a `PlatformRule` object as a JUnit extension. The `PlatformRule` object is defined in the `okhttp3.internal.platform` package and provides information about the current execution environment, such as the operating system and CPU architecture.
The `test</t>
        </is>
      </c>
      <c r="I1068" t="n">
        <v>0.0044</v>
      </c>
      <c r="J1068" t="n">
        <v>0.0667</v>
      </c>
      <c r="K1068" t="n">
        <v>0.123</v>
      </c>
      <c r="L1068" t="inlineStr">
        <is>
          <t>The code defines a JUnit test class named `PlatformRuleTest` that tests the behavior of the `PlatformRule` class from the OkHttp library. The test method `testMode()` prints out the value of the system property `okhttp.platform`, which determines the operating system and architecture used by the IDE.</t>
        </is>
      </c>
      <c r="M1068" t="n">
        <v>0.0041</v>
      </c>
      <c r="N1068" t="n">
        <v>0.037</v>
      </c>
      <c r="O1068" t="n">
        <v>0.08550000000000001</v>
      </c>
    </row>
    <row r="1069">
      <c r="A1069" t="inlineStr">
        <is>
          <t>okhttp</t>
        </is>
      </c>
      <c r="B1069" t="inlineStr">
        <is>
          <t>mockwebserver-deprecated/src/main/kotlin/okhttp3/mockwebserver/QueueDispatcher.kt</t>
        </is>
      </c>
      <c r="C1069">
        <f>HYPERLINK("https://github.com/square/okhttp/blob/master/mockwebserver-deprecated/src/main/kotlin/okhttp3/mockwebserver/QueueDispatcher.kt")</f>
        <v/>
      </c>
      <c r="D1069" t="inlineStr">
        <is>
          <t>The `QueueDispatcher` class is a custom implementation of the `Dispatcher` interface from OkHttp's MockWebServer library. It allows for the creation of a queue of responses that can be returned one after another when requests are made to the server.
The `dispatch()` method throws an exception if it is called unexpectedly, as the intention is to only return responses from the queue</t>
        </is>
      </c>
      <c r="E1069" t="n">
        <v>0</v>
      </c>
      <c r="F1069" t="n">
        <v>0.0286</v>
      </c>
      <c r="G1069" t="n">
        <v>0.0376</v>
      </c>
      <c r="H1069" t="inlineStr">
        <is>
          <t>This code defines a `QueueDispatcher` class that extends the `Dispatcher` interface from the `okhttp3.mockwebserver` package. The class has one method called `dispatch`, which throws an unsupported operation exception because it is not implemented yet. Additionally, there is another method called `peek` that also throws an unsupported operation exception.
The README file</t>
        </is>
      </c>
      <c r="I1069" t="n">
        <v>0.0036</v>
      </c>
      <c r="J1069" t="n">
        <v>0.0667</v>
      </c>
      <c r="K1069" t="n">
        <v>0.0813</v>
      </c>
      <c r="L1069" t="inlineStr">
        <is>
          <t>The `QueueDispatcher` class in the OkHttp library provides a mechanism for handling requests in a queue-based manner. It extends the `Dispatcher` interface and overrides the `dispatch()` method to handle requests in a sequential manner. When a request is received, the `QueueDispatcher` instance will retrieve the next response from the queue and return it to the caller. If there are no</t>
        </is>
      </c>
      <c r="M1069" t="n">
        <v>0.003</v>
      </c>
      <c r="N1069" t="n">
        <v>0.029</v>
      </c>
      <c r="O1069" t="n">
        <v>0.0379</v>
      </c>
    </row>
    <row r="1070">
      <c r="A1070" t="inlineStr">
        <is>
          <t>okhttp</t>
        </is>
      </c>
      <c r="B1070" t="inlineStr">
        <is>
          <t>mockwebserver-deprecated/src/main/kotlin/okhttp3/mockwebserver/PushPromise.kt</t>
        </is>
      </c>
      <c r="C1070">
        <f>HYPERLINK("https://github.com/square/okhttp/blob/master/mockwebserver-deprecated/src/main/kotlin/okhttp3/mockwebserver/PushPromise.kt")</f>
        <v/>
      </c>
      <c r="D1070" t="inlineStr">
        <is>
          <t>The `PushPromise` class represents a push promise made by a server to send a request before receiving the client's response. It has four fields:
* `method`: The HTTP method of the pushed request (e.g., GET, POST).
* `path`: The URL path of the pushed request.
* `headers`: The HTTP headers of the pushed request</t>
        </is>
      </c>
      <c r="E1070" t="n">
        <v>0</v>
      </c>
      <c r="F1070" t="n">
        <v>0</v>
      </c>
      <c r="G1070" t="n">
        <v>0</v>
      </c>
      <c r="H1070" t="inlineStr">
        <is>
          <t>This code defines a data class called `PushPromise` that represents a push promise in HTTP/2. It has four properties:
* `method`: The HTTP method of the pushed request, such as GET or POST.
* `path`: The URL path of the pushed request.
* `headers`: A collection of HTTP headers associated with the pushed request.
* `</t>
        </is>
      </c>
      <c r="I1070" t="n">
        <v>0.0033</v>
      </c>
      <c r="J1070" t="n">
        <v>0.0333</v>
      </c>
      <c r="K1070" t="n">
        <v>0.0391</v>
      </c>
      <c r="L1070" t="inlineStr">
        <is>
          <t>The provided code defines a class called `PushPromise` that represents a push promise in HTTP/2. It has four properties: `method`, `path`, `headers`, and `response`. The class also includes a deprecated method named `-deprecated_method`.</t>
        </is>
      </c>
      <c r="M1070" t="n">
        <v>0.0056</v>
      </c>
      <c r="N1070" t="n">
        <v>0.0465</v>
      </c>
      <c r="O1070" t="n">
        <v>0.0476</v>
      </c>
    </row>
    <row r="1071">
      <c r="A1071" t="inlineStr">
        <is>
          <t>okhttp</t>
        </is>
      </c>
      <c r="B1071" t="inlineStr">
        <is>
          <t>mockwebserver-deprecated/src/main/kotlin/okhttp3/mockwebserver/MockWebServer.kt</t>
        </is>
      </c>
      <c r="C1071">
        <f>HYPERLINK("https://github.com/square/okhttp/blob/master/mockwebserver-deprecated/src/main/kotlin/okhttp3/mockwebserver/MockWebServer.kt")</f>
        <v/>
      </c>
      <c r="D1071" t="inlineStr">
        <is>
          <t>This code appears to be part of a Java library for testing HTTP servers using OkHttp's MockWebServer class. The `MockWebServer` class provides a way to simulate an HTTP server and test clients that interact with it. It has several features such as support for multiple protocols (HTTP and HTTPS), customizable response headers, and the ability to send responses asynchronously.</t>
        </is>
      </c>
      <c r="E1071" t="n">
        <v>0.0037</v>
      </c>
      <c r="F1071" t="n">
        <v>0.0588</v>
      </c>
      <c r="G1071" t="n">
        <v>0.1145</v>
      </c>
      <c r="H1071" t="inlineStr">
        <is>
          <t>This code appears to be part of an open source library called OkHttp, which is used for building HTTP clients and servers. The class `MockWebServer` is a server that can simulate responses from a real web server, allowing developers to test their applications without actually making requests over the network. It provides a way to set up mock responses for different URLs and request methods, as well as support</t>
        </is>
      </c>
      <c r="I1071" t="n">
        <v>0.0031</v>
      </c>
      <c r="J1071" t="n">
        <v>0.0519</v>
      </c>
      <c r="K1071" t="n">
        <v>0.1064</v>
      </c>
      <c r="L1071" t="inlineStr">
        <is>
          <t>The code defines a `MockWebServer` class that provides a mock implementation of a web server for testing purposes. It allows clients to simulate requests and responses using HTTP protocol. The class has several methods such as `enqueue`, `start`, and `shutdown` which can be used to configure and start the server. Additionally, it also includes support for SSL encryption through the use of</t>
        </is>
      </c>
      <c r="M1071" t="n">
        <v>0.0029</v>
      </c>
      <c r="N1071" t="n">
        <v>0.0571</v>
      </c>
      <c r="O1071" t="n">
        <v>0.1119</v>
      </c>
    </row>
    <row r="1072">
      <c r="A1072" t="inlineStr">
        <is>
          <t>okhttp</t>
        </is>
      </c>
      <c r="B1072" t="inlineStr">
        <is>
          <t>mockwebserver-deprecated/src/main/kotlin/okhttp3/mockwebserver/MockResponse.kt</t>
        </is>
      </c>
      <c r="C1072">
        <f>HYPERLINK("https://github.com/square/okhttp/blob/master/mockwebserver-deprecated/src/main/kotlin/okhttp3/mockwebserver/MockResponse.kt")</f>
        <v/>
      </c>
      <c r="D1072" t="inlineStr">
        <is>
          <t>The `MockResponse` class provides a way to simulate HTTP responses in unit tests using OkHttp's mock web server. It has several properties that can be set to configure the response, such as the status line, headers, body, and trailers. The class also includes methods for adding headers and trailers, and for setting the response time. Additionally, it implements the `Clone</t>
        </is>
      </c>
      <c r="E1072" t="n">
        <v>0.0036</v>
      </c>
      <c r="F1072" t="n">
        <v>0.029</v>
      </c>
      <c r="G1072" t="n">
        <v>0.1136</v>
      </c>
      <c r="H1072" t="inlineStr">
        <is>
          <t>This code defines a class called `MockResponse` that represents a mock response for an HTTP request. The class has several instance variables, including `status`, which stores the HTTP status code, and `headersBuilder` and `trailersBuilder`, which store the headers and trailers associated with the response. The class also includes methods for setting these values, such as `setStatus()` and `</t>
        </is>
      </c>
      <c r="I1072" t="n">
        <v>0.0037</v>
      </c>
      <c r="J1072" t="n">
        <v>0.0615</v>
      </c>
      <c r="K1072" t="n">
        <v>0.0769</v>
      </c>
      <c r="L1072" t="inlineStr">
        <is>
          <t>The `MockResponse` class provides a way to mock responses from a server in OkHttp's MockWebServer library. It allows developers to define the HTTP response status, headers, and body content for a request. The class also includes methods for setting up WebSocket connections and handling incoming requests.</t>
        </is>
      </c>
      <c r="M1072" t="n">
        <v>0.004</v>
      </c>
      <c r="N1072" t="n">
        <v>0.0364</v>
      </c>
      <c r="O1072" t="n">
        <v>0.0424</v>
      </c>
    </row>
    <row r="1073">
      <c r="A1073" t="inlineStr">
        <is>
          <t>okhttp</t>
        </is>
      </c>
      <c r="B1073" t="inlineStr">
        <is>
          <t>mockwebserver-deprecated/src/main/kotlin/okhttp3/mockwebserver/DeprecationBridge.kt</t>
        </is>
      </c>
      <c r="C1073">
        <f>HYPERLINK("https://github.com/square/okhttp/blob/master/mockwebserver-deprecated/src/main/kotlin/okhttp3/mockwebserver/DeprecationBridge.kt")</f>
        <v/>
      </c>
      <c r="D1073" t="inlineStr">
        <is>
          <t>The `okhttp3.mockwebserver` package provides a library for testing HTTP servers using the MockWebServer class. It allows developers to create a local server that can simulate various scenarios such as receiving requests from clients, responding with different status codes, and handling errors. The `Dispatched` class is used to handle incoming requests and dispatch them to the appropriate handler function based on their</t>
        </is>
      </c>
      <c r="E1073" t="n">
        <v>0.003</v>
      </c>
      <c r="F1073" t="n">
        <v>0.0286</v>
      </c>
      <c r="G1073" t="n">
        <v>0.0752</v>
      </c>
      <c r="H1073" t="inlineStr">
        <is>
          <t>This code defines a function called `wrap()` that takes a `Dispatcher` object as its argument and returns a new instance of `mockwebserver3.Dispatcher`. The returned dispatcher has some additional logic compared to the original one, such as handling socket effects like closing the connection, shutting down the stream, etc. The function also imports several other classes from the `okhttp3`</t>
        </is>
      </c>
      <c r="I1073" t="n">
        <v>0.0037</v>
      </c>
      <c r="J1073" t="n">
        <v>0.1194</v>
      </c>
      <c r="K1073" t="n">
        <v>0.1538</v>
      </c>
      <c r="L1073" t="inlineStr">
        <is>
          <t>The provided code defines a `Dispatcher` class that wraps around another dispatcher and provides additional functionality. It has two methods: `dispatch()` and `close()`. The `dispatch()` method takes a request as input and returns a response. The `close()` method closes the dispatcher.</t>
        </is>
      </c>
      <c r="M1073" t="n">
        <v>0.0045</v>
      </c>
      <c r="N1073" t="n">
        <v>0.08160000000000001</v>
      </c>
      <c r="O1073" t="n">
        <v>0.0442</v>
      </c>
    </row>
    <row r="1074">
      <c r="A1074" t="inlineStr">
        <is>
          <t>okhttp</t>
        </is>
      </c>
      <c r="B1074" t="inlineStr">
        <is>
          <t>mockwebserver-deprecated/src/main/kotlin/okhttp3/mockwebserver/Dispatcher.kt</t>
        </is>
      </c>
      <c r="C1074">
        <f>HYPERLINK("https://github.com/square/okhttp/blob/master/mockwebserver-deprecated/src/main/kotlin/okhttp3/mockwebserver/Dispatcher.kt")</f>
        <v/>
      </c>
      <c r="D1074" t="inlineStr">
        <is>
          <t>The `Dispatcher` class is an abstract base class that defines the interface for handling requests received by a mock web server. It has two main methods:
* `dispatch`: This method takes a `RecordedRequest` object as input and returns a `MockResponse` object. It is called whenever a request is made to the mock web server.
* `peek`: This method</t>
        </is>
      </c>
      <c r="E1074" t="n">
        <v>0.0037</v>
      </c>
      <c r="F1074" t="n">
        <v>0.0625</v>
      </c>
      <c r="G1074" t="n">
        <v>0.0769</v>
      </c>
      <c r="H1074" t="inlineStr">
        <is>
          <t>The `okhttp3.mockwebserver` package provides an implementation of a mock web server that can be used for testing purposes. It includes an abstract class called `Dispatcher` which defines the behavior of the mock server when it receives requests from clients. The `dispatch()` method is responsible for handling incoming requests and returning appropriate responses. The `peek()` method returns a default response if no</t>
        </is>
      </c>
      <c r="I1074" t="n">
        <v>0.003</v>
      </c>
      <c r="J1074" t="n">
        <v>0.0571</v>
      </c>
      <c r="K1074" t="n">
        <v>0.1128</v>
      </c>
      <c r="L1074" t="inlineStr">
        <is>
          <t>The code defines an abstract class called `Dispatcher` that provides methods for handling requests made to a mock web server. It has two main functions:
* `dispatch()`: This method takes a `RecordedRequest` object as input and returns a `MockResponse` object based on the request.
* `peek()`: This method returns a `MockResponse` object that can</t>
        </is>
      </c>
      <c r="M1074" t="n">
        <v>0.004</v>
      </c>
      <c r="N1074" t="n">
        <v>0.0667</v>
      </c>
      <c r="O1074" t="n">
        <v>0.0794</v>
      </c>
    </row>
    <row r="1075">
      <c r="A1075" t="inlineStr">
        <is>
          <t>okhttp</t>
        </is>
      </c>
      <c r="B1075" t="inlineStr">
        <is>
          <t>mockwebserver-deprecated/src/main/kotlin/okhttp3/mockwebserver/SocketPolicy.kt</t>
        </is>
      </c>
      <c r="C1075">
        <f>HYPERLINK("https://github.com/square/okhttp/blob/master/mockwebserver-deprecated/src/main/kotlin/okhttp3/mockwebserver/SocketPolicy.kt")</f>
        <v/>
      </c>
      <c r="D1075" t="inlineStr">
        <is>
          <t>The provided code defines an enumeration named `SocketPolicy` that specifies different policies for handling socket connections when using OkHttp's MockWebServer. The enum values include:
* `SHUTDOWN_SERVER_AFTER_RESPONSE`: Shuts down the server after sending a response.
* `KEEP_OPEN`: Keeps the connection</t>
        </is>
      </c>
      <c r="E1075" t="n">
        <v>0</v>
      </c>
      <c r="F1075" t="n">
        <v>0</v>
      </c>
      <c r="G1075" t="n">
        <v>0.045</v>
      </c>
      <c r="H1075" t="inlineStr">
        <is>
          <t>This code defines an enumeration called `SocketPolicy` that represents different policies for handling socket connections in the OkHttp MockWebServer library. The enum values include shutting down the server after responding to a request, keeping the connection open, disconnecting at the end of a response, upgrading to SSL at the end of a response, disconnecting at the start of a request</t>
        </is>
      </c>
      <c r="I1075" t="n">
        <v>0.003</v>
      </c>
      <c r="J1075" t="n">
        <v>0.0294</v>
      </c>
      <c r="K1075" t="n">
        <v>0.0379</v>
      </c>
      <c r="L1075" t="inlineStr">
        <is>
          <t>The code defines an enumeration called `SocketPolicy` that represents different socket policies used by OkHttp's MockWebServer. It specifies how the server should behave when handling requests and responses, such as whether to shutdown the connection after sending a response or keep it open.</t>
        </is>
      </c>
      <c r="M1075" t="n">
        <v>0.0043</v>
      </c>
      <c r="N1075" t="n">
        <v>0.0385</v>
      </c>
      <c r="O1075" t="n">
        <v>0.08699999999999999</v>
      </c>
    </row>
    <row r="1076">
      <c r="A1076" t="inlineStr">
        <is>
          <t>okhttp</t>
        </is>
      </c>
      <c r="B1076" t="inlineStr">
        <is>
          <t>mockwebserver-deprecated/src/main/kotlin/okhttp3/mockwebserver/RecordedRequest.kt</t>
        </is>
      </c>
      <c r="C1076">
        <f>HYPERLINK("https://github.com/square/okhttp/blob/master/mockwebserver-deprecated/src/main/kotlin/okhttp3/mockwebserver/RecordedRequest.kt")</f>
        <v/>
      </c>
      <c r="D1076" t="inlineStr">
        <is>
          <t>The `RecordedRequest` class in the OkHttp MockWebServer library represents a single HTTP request that has been recorded by the server. It provides accessors for various aspects of the request, such as the request line, headers, body, etc.
The constructor takes a `String` representing the raw request data, which it parses into its constituent parts using regular expressions</t>
        </is>
      </c>
      <c r="E1076" t="n">
        <v>0</v>
      </c>
      <c r="F1076" t="n">
        <v>0</v>
      </c>
      <c r="G1076" t="n">
        <v>0.0388</v>
      </c>
      <c r="H1076" t="inlineStr">
        <is>
          <t>This code defines a class called `RecordedRequest` that represents a recorded HTTP request. It has several fields, including:
* `requestLine`: A string containing the request line (e.g., "GET /path HTTP/1.1")
* `headers`: An instance of `okhttp3.Headers`, which holds the headers of the request
* `body</t>
        </is>
      </c>
      <c r="I1076" t="n">
        <v>0.0041</v>
      </c>
      <c r="J1076" t="n">
        <v>0.037</v>
      </c>
      <c r="K1076" t="n">
        <v>0.0427</v>
      </c>
      <c r="L1076" t="inlineStr">
        <is>
          <t>The `RecordedRequest` class represents a recorded HTTP request. It has several fields that store information about the request, including the request line, headers, and body. The class also provides methods for accessing and manipulating these properties.</t>
        </is>
      </c>
      <c r="M1076" t="n">
        <v>0.0052</v>
      </c>
      <c r="N1076" t="n">
        <v>0.0455</v>
      </c>
      <c r="O1076" t="n">
        <v>0.0463</v>
      </c>
    </row>
    <row r="1077">
      <c r="A1077" t="inlineStr">
        <is>
          <t>okhttp</t>
        </is>
      </c>
      <c r="B1077" t="inlineStr">
        <is>
          <t>mockwebserver-deprecated/src/main/java9/module-info.java</t>
        </is>
      </c>
      <c r="C1077">
        <f>HYPERLINK("https://github.com/square/okhttp/blob/master/mockwebserver-deprecated/src/main/java9/module-info.java")</f>
        <v/>
      </c>
      <c r="D1077" t="inlineStr">
        <is>
          <t>This is a Java module declaration for the `okhttp3.mockwebserver` package. The module exports the `okhttp3.mockwebserver` package and requires the `okhttp3` package as well as the `java.logging` package.</t>
        </is>
      </c>
      <c r="E1077" t="n">
        <v>0.0092</v>
      </c>
      <c r="F1077" t="n">
        <v>0.1579</v>
      </c>
      <c r="G1077" t="n">
        <v>0.1515</v>
      </c>
      <c r="H1077" t="inlineStr">
        <is>
          <t>This is a Java module definition file for a library called `okhttp3.mockwebserver`. It specifies that this module depends on another module called `okhttp3` and exports its own package `okhttp3.mockwebserver`. Additionally, it requires the `java.logging` module to be present at runtime. The complexity of the module is specified as O(N),</t>
        </is>
      </c>
      <c r="I1077" t="n">
        <v>0.0049</v>
      </c>
      <c r="J1077" t="n">
        <v>0.0984</v>
      </c>
      <c r="K1077" t="n">
        <v>0.124</v>
      </c>
      <c r="L1077" t="inlineStr">
        <is>
          <t>The provided code defines a module for OkHttp's MockWebServer component. It exports the required packages and requires other dependencies, including Java logging.</t>
        </is>
      </c>
      <c r="M1077" t="n">
        <v>0.0103</v>
      </c>
      <c r="N1077" t="n">
        <v>0.129</v>
      </c>
      <c r="O1077" t="n">
        <v>0.1064</v>
      </c>
    </row>
    <row r="1078">
      <c r="A1078" t="inlineStr">
        <is>
          <t>okhttp</t>
        </is>
      </c>
      <c r="B1078" t="inlineStr">
        <is>
          <t>mockwebserver-deprecated/src/test/java/okhttp3/mockwebserver/KotlinSourceModernTest.kt</t>
        </is>
      </c>
      <c r="C1078">
        <f>HYPERLINK("https://github.com/square/okhttp/blob/master/mockwebserver-deprecated/src/test/java/okhttp3/mockwebserver/KotlinSourceModernTest.kt")</f>
        <v/>
      </c>
      <c r="D1078" t="inlineStr">
        <is>
          <t>This code implements a mock web server using OkHttp's API. It provides a simple way to simulate HTTP requests and responses for testing purposes. The main class, `MockWebServer`, has several methods that allow users to specify how the server should behave when receiving certain types of requests. For example, the `enqueue` method allows users to enqueue a response for a given request,</t>
        </is>
      </c>
      <c r="E1078" t="n">
        <v>0.0039</v>
      </c>
      <c r="F1078" t="n">
        <v>0.08450000000000001</v>
      </c>
      <c r="G1078" t="n">
        <v>0.1493</v>
      </c>
      <c r="H1078" t="inlineStr">
        <is>
          <t>This code appears to be part of an open source library called OkHttp Mock Web Server. It provides a mock implementation of a web server that can be used for testing purposes. The code defines several classes and interfaces related to HTTP requests and responses, including `MockResponse`, which represents a simulated response from a server, and `MockRequest`, which represents a simulated request sent to a server</t>
        </is>
      </c>
      <c r="I1078" t="n">
        <v>0.0033</v>
      </c>
      <c r="J1078" t="n">
        <v>0.08110000000000001</v>
      </c>
      <c r="K1078" t="n">
        <v>0.1449</v>
      </c>
      <c r="L1078" t="inlineStr">
        <is>
          <t>The provided code defines a mock web server that simulates HTTP interactions using OkHttp's API. It provides a way to test HTTP clients without actually making real requests over the network. The server can be configured to respond with custom headers, status codes, and bodies, as well as support SSL connections. Additionally, it includes features such as connection pooling and timeout handling.</t>
        </is>
      </c>
      <c r="M1078" t="n">
        <v>0.0029</v>
      </c>
      <c r="N1078" t="n">
        <v>0.0282</v>
      </c>
      <c r="O1078" t="n">
        <v>0.0746</v>
      </c>
    </row>
    <row r="1079">
      <c r="A1079" t="inlineStr">
        <is>
          <t>okhttp</t>
        </is>
      </c>
      <c r="B1079" t="inlineStr">
        <is>
          <t>mockwebserver-deprecated/src/test/java/okhttp3/mockwebserver/MockWebServerTest.kt</t>
        </is>
      </c>
      <c r="C1079">
        <f>HYPERLINK("https://github.com/square/okhttp/blob/master/mockwebserver-deprecated/src/test/java/okhttp3/mockwebserver/MockWebServerTest.kt")</f>
        <v/>
      </c>
      <c r="D1079" t="inlineStr">
        <is>
          <t>The provided code is part of an open source library called OkHttp MockWebServer. It appears to be a Java implementation of a mock web server that can simulate HTTP requests and responses. The code includes various classes and methods related to request handling, response generation, and testing.
The main class of interest seems to be `MockResponse`, which represents a simulated HTTP response. This class</t>
        </is>
      </c>
      <c r="E1079" t="n">
        <v>0.0034</v>
      </c>
      <c r="F1079" t="n">
        <v>0.0556</v>
      </c>
      <c r="G1079" t="n">
        <v>0.1471</v>
      </c>
      <c r="H1079" t="inlineStr">
        <is>
          <t>This project appears to be a collection of Java classes that implement various network protocols, including HTTP and WebSocket. The code includes unit tests and documentation, but does not include any user interface or command line interfaces. The complexity of the code is estimated as O(N), where N is the number of network connections. The comments indicate that the code implements core algorithms and provides detailed information about each</t>
        </is>
      </c>
      <c r="I1079" t="n">
        <v>0.0066</v>
      </c>
      <c r="J1079" t="n">
        <v>0.1026</v>
      </c>
      <c r="K1079" t="n">
        <v>0.2238</v>
      </c>
      <c r="L1079" t="inlineStr">
        <is>
          <t>The provided code defines a mock web server that allows developers to simulate HTTP interactions without relying on external services. It provides various features such as request matching, response customization, and request assertion capabilities. The code also includes unit tests to ensure the correctness and robustness of the mock web server's implementation.</t>
        </is>
      </c>
      <c r="M1079" t="n">
        <v>0.0035</v>
      </c>
      <c r="N1079" t="n">
        <v>0.0328</v>
      </c>
      <c r="O1079" t="n">
        <v>0.0403</v>
      </c>
    </row>
    <row r="1080">
      <c r="A1080" t="inlineStr">
        <is>
          <t>okhttp</t>
        </is>
      </c>
      <c r="B1080" t="inlineStr">
        <is>
          <t>android-test-app/src/main/kotlin/okhttp/android/testapp/MainActivity2.kt</t>
        </is>
      </c>
      <c r="C1080">
        <f>HYPERLINK("https://github.com/square/okhttp/blob/master/android-test-app/src/main/kotlin/okhttp/android/testapp/MainActivity2.kt")</f>
        <v/>
      </c>
      <c r="D1080" t="inlineStr">
        <is>
          <t>The provided code defines a `MainActivity` class that extends another `MainActivity` class. It appears to be part of an Android application, as it includes references to the `okhttp` library and uses the `@AndroidTestApp` annotation.
The code does not contain any functional logic, but rather serves as a skeleton for future development. It imports various packages, including `okhttp</t>
        </is>
      </c>
      <c r="E1080" t="n">
        <v>0.0032</v>
      </c>
      <c r="F1080" t="n">
        <v>0.0615</v>
      </c>
      <c r="G1080" t="n">
        <v>0.0775</v>
      </c>
      <c r="H1080" t="inlineStr">
        <is>
          <t>This code defines a class called `MainActivity2` that extends another class called `MainActivity`. The `MainActivity2` class has no methods defined within it, but it does contain some documentation comments that provide information about the purpose of the class and its dependencies.
The code also includes a license header that specifies the copyright holder and licensing terms for the code.
Over</t>
        </is>
      </c>
      <c r="I1080" t="n">
        <v>0.0036</v>
      </c>
      <c r="J1080" t="n">
        <v>0.0588</v>
      </c>
      <c r="K1080" t="n">
        <v>0.07580000000000001</v>
      </c>
      <c r="L1080" t="inlineStr">
        <is>
          <t>The provided code defines a `MainActivity2` class that extends from `MainActivity`. It appears to be a custom implementation of a mobile application's main activity, which provides a user interface for interacting with the app. The code includes comments related to licensing, copyright, and version control, as well as imports for various libraries used in the project. Overall, the code seems</t>
        </is>
      </c>
      <c r="M1080" t="n">
        <v>0.003</v>
      </c>
      <c r="N1080" t="n">
        <v>0.058</v>
      </c>
      <c r="O1080" t="n">
        <v>0.1136</v>
      </c>
    </row>
    <row r="1081">
      <c r="A1081" t="inlineStr">
        <is>
          <t>okhttp</t>
        </is>
      </c>
      <c r="B1081" t="inlineStr">
        <is>
          <t>android-test-app/src/main/kotlin/okhttp/android/testapp/MainActivity.kt</t>
        </is>
      </c>
      <c r="C1081">
        <f>HYPERLINK("https://github.com/square/okhttp/blob/master/android-test-app/src/main/kotlin/okhttp/android/testapp/MainActivity.kt")</f>
        <v/>
      </c>
      <c r="D1081" t="inlineStr">
        <is>
          <t>This code defines a `MainActivity` class that extends `ComponentActivity`. It uses the OkHttp library to make HTTP requests. The `onCreate()` method initializes the activity and sets up the UI. The `onClick()` method handles button clicks and makes an HTTP request using the OkHttp client. The `doInBackground()` method performs the actual work of making the HTTP request, which involves</t>
        </is>
      </c>
      <c r="E1081" t="n">
        <v>0.0037</v>
      </c>
      <c r="F1081" t="n">
        <v>0.0606</v>
      </c>
      <c r="G1081" t="n">
        <v>0.1154</v>
      </c>
      <c r="H1081" t="inlineStr">
        <is>
          <t>This code defines a `MainActivity` class that inherits from `ComponentActivity`. It contains several methods, including `onCreate`, which is called when the activity is first created; `onStart`, which is called when the activity becomes visible; and `onStop`, which is called when the activity is no longer visible. The class also imports various packages, such as `okhttp3`, `</t>
        </is>
      </c>
      <c r="I1081" t="n">
        <v>0.0039</v>
      </c>
      <c r="J1081" t="n">
        <v>0.0635</v>
      </c>
      <c r="K1081" t="n">
        <v>0.0781</v>
      </c>
      <c r="L1081" t="inlineStr">
        <is>
          <t>The code defines a `MainActivity` class that extends `ComponentActivity`. It uses the OkHttp library to make HTTP requests. The class initializes an instance of `OkHttpClient`, which is used to create a new request using the `newBuilder()` method. The request is then built using the `url()` method, which takes a string representing the URL to be requested. The request is</t>
        </is>
      </c>
      <c r="M1081" t="n">
        <v>0</v>
      </c>
      <c r="N1081" t="n">
        <v>0</v>
      </c>
      <c r="O1081" t="n">
        <v>0.0382</v>
      </c>
    </row>
    <row r="1082">
      <c r="A1082" t="inlineStr">
        <is>
          <t>okhttp</t>
        </is>
      </c>
      <c r="B1082" t="inlineStr">
        <is>
          <t>android-test-app/src/main/kotlin/okhttp/android/testapp/TestApplication.kt</t>
        </is>
      </c>
      <c r="C1082">
        <f>HYPERLINK("https://github.com/square/okhttp/blob/master/android-test-app/src/main/kotlin/okhttp/android/testapp/TestApplication.kt")</f>
        <v/>
      </c>
      <c r="D1082" t="inlineStr">
        <is>
          <t>The provided code defines a custom `TestApplication` class that extends Android's built-in `Application` class. It overrides the `onCreate()` method to initialize the `OkHttp` library only when running in a secondary process. This is done using the `getProcess()` method to check whether the current process name matches the application's package name. If it does not match,</t>
        </is>
      </c>
      <c r="E1082" t="n">
        <v>0.0033</v>
      </c>
      <c r="F1082" t="n">
        <v>0.0303</v>
      </c>
      <c r="G1082" t="n">
        <v>0.07870000000000001</v>
      </c>
      <c r="H1082" t="inlineStr">
        <is>
          <t>This code defines a custom Android application class called `TestApplication` that extends the built-in `Application` class. The `onCreate()` method overrides the default behavior of the parent class and performs some additional initialization tasks. Specifically, it checks whether the current process is a secondary process by comparing its name against the package name. If it's a secondary process, it calls the `initialize</t>
        </is>
      </c>
      <c r="I1082" t="n">
        <v>0.0036</v>
      </c>
      <c r="J1082" t="n">
        <v>0.0563</v>
      </c>
      <c r="K1082" t="n">
        <v>0.0752</v>
      </c>
      <c r="L1082" t="inlineStr">
        <is>
          <t>The provided code defines a custom `TestApplication` class that extends Android's `Application` class. It initializes the `OkHttp` library only when running in the primary process, which is determined using the `getProcess()` method. If the current process name is different from the package name, then `OkHttp` is initialized. This is done in the `onCreate()` method of</t>
        </is>
      </c>
      <c r="M1082" t="n">
        <v>0.0033</v>
      </c>
      <c r="N1082" t="n">
        <v>0.0312</v>
      </c>
      <c r="O1082" t="n">
        <v>0.07870000000000001</v>
      </c>
    </row>
    <row r="1083">
      <c r="A1083" t="inlineStr">
        <is>
          <t>okhttp</t>
        </is>
      </c>
      <c r="B1083" t="inlineStr">
        <is>
          <t>android-test-app/src/androidTest/kotlin/okhttp/android/testapp/PublicSuffixDatabaseTest.kt</t>
        </is>
      </c>
      <c r="C1083">
        <f>HYPERLINK("https://github.com/square/okhttp/blob/master/android-test-app/src/androidTest/kotlin/okhttp/android/testapp/PublicSuffixDatabaseTest.kt")</f>
        <v/>
      </c>
      <c r="D1083" t="inlineStr">
        <is>
          <t>This code tests the `topLevelDomain` function from the `PublicSuffixDatabase` class. The function takes a string representing a URL as input and returns the top level domain (TLD) portion of that URL. For example, if the input URL is "https://www.google.com", the output would be "google.com".
The test case first creates</t>
        </is>
      </c>
      <c r="E1083" t="n">
        <v>0.0045</v>
      </c>
      <c r="F1083" t="n">
        <v>0.0984</v>
      </c>
      <c r="G1083" t="n">
        <v>0.124</v>
      </c>
      <c r="H1083" t="inlineStr">
        <is>
          <t>This code is part of an Android app that tests the `PublicSuffixDatabase` class from OkHttp library. The class provides methods for parsing and manipulating domain names according to their public suffixes. The test case verifies that the top level domain of a given URL is correctly extracted.</t>
        </is>
      </c>
      <c r="I1083" t="n">
        <v>0.0046</v>
      </c>
      <c r="J1083" t="n">
        <v>0.0727</v>
      </c>
      <c r="K1083" t="n">
        <v>0.1261</v>
      </c>
      <c r="L1083" t="inlineStr">
        <is>
          <t>The code defines a unit test for the `PublicSuffixDatabase` class, which provides functionality related to public suffixes. Specifically, the test checks that the top-level domain of a given URL can be correctly determined using the `toHttpUrl()` method from the OkHttp library.</t>
        </is>
      </c>
      <c r="M1083" t="n">
        <v>0.0045</v>
      </c>
      <c r="N1083" t="n">
        <v>0.04</v>
      </c>
      <c r="O1083" t="n">
        <v>0.0442</v>
      </c>
    </row>
    <row r="1084">
      <c r="A1084" t="inlineStr">
        <is>
          <t>okhttp</t>
        </is>
      </c>
      <c r="B1084" t="inlineStr">
        <is>
          <t>android-test-app/src/androidTest/kotlin/okhttp/android/testapp/IdnaTest.kt</t>
        </is>
      </c>
      <c r="C1084">
        <f>HYPERLINK("https://github.com/square/okhttp/blob/master/android-test-app/src/androidTest/kotlin/okhttp/android/testapp/IdnaTest.kt")</f>
        <v/>
      </c>
      <c r="D1084" t="inlineStr">
        <is>
          <t>The code implements a unit test that verifies the correctness of the `hostname` function in the `okhttp3.android` package. The test case creates a URL object from a string containing Unicode characters, and then uses the `toHttpUrl()` method to extract the hostname from the URL. The expected result is a string representing the IDNA-encoded version of the hostname</t>
        </is>
      </c>
      <c r="E1084" t="n">
        <v>0.0038</v>
      </c>
      <c r="F1084" t="n">
        <v>0.0896</v>
      </c>
      <c r="G1084" t="n">
        <v>0.1163</v>
      </c>
      <c r="H1084" t="inlineStr">
        <is>
          <t>This code defines a Java class named `IdnaTest` that extends the JUnit testing framework. The class contains a single method called `testHostnameFunction`, which tests the behavior of the `okhttp3.HttpUrl.Companion.toHttpUrl()` method when it is passed a URL containing non-ASCII characters in the hostname component. Specifically, the test as</t>
        </is>
      </c>
      <c r="I1084" t="n">
        <v>0.0039</v>
      </c>
      <c r="J1084" t="n">
        <v>0.0339</v>
      </c>
      <c r="K1084" t="n">
        <v>0.042</v>
      </c>
      <c r="L1084" t="inlineStr">
        <is>
          <t>The code defines a unit test for the `Idna` class in the OkHttp library. It tests the hostname function, which converts Unicode domain names into their punycoded equivalent. The test asserts that the converted hostname matches the expected value based on the input URL.</t>
        </is>
      </c>
      <c r="M1084" t="n">
        <v>0</v>
      </c>
      <c r="N1084" t="n">
        <v>0.0385</v>
      </c>
      <c r="O1084" t="n">
        <v>0</v>
      </c>
    </row>
    <row r="1085">
      <c r="A1085" t="inlineStr">
        <is>
          <t>okhttp</t>
        </is>
      </c>
      <c r="B1085" t="inlineStr">
        <is>
          <t>okhttp-dnsoverhttps/src/main/kotlin/okhttp3/dnsoverhttps/BootstrapDns.kt</t>
        </is>
      </c>
      <c r="C1085">
        <f>HYPERLINK("https://github.com/square/okhttp/blob/master/okhttp-dnsoverhttps/src/main/kotlin/okhttp3/dnsoverhttps/BootstrapDns.kt")</f>
        <v/>
      </c>
      <c r="D1085" t="inlineStr">
        <is>
          <t>The `BootstrapDns` class implements a custom DNS resolution mechanism using DNS over HTTPS protocol. It takes two parameters during initialization - `dnsHostname` and `dnsServers`.
The `bootstrap()` method returns a list of IP addresses for the given hostname. If the hostname matches one of the predefined DNS servers, it returns their IP addresses directly</t>
        </is>
      </c>
      <c r="E1085" t="n">
        <v>0.0041</v>
      </c>
      <c r="F1085" t="n">
        <v>0.0667</v>
      </c>
      <c r="G1085" t="n">
        <v>0.12</v>
      </c>
      <c r="H1085" t="inlineStr">
        <is>
          <t>The `BootstrapDns` class implements a custom DNS resolution mechanism using DNS over HTTPS protocol. It takes a list of DNS servers as input and returns a list of IP addresses corresponding to a given domain name. The implementation uses a hardcoded DNS server address and returns a fixed set of IP addresses for a given domain name.</t>
        </is>
      </c>
      <c r="I1085" t="n">
        <v>0.0038</v>
      </c>
      <c r="J1085" t="n">
        <v>0.0615</v>
      </c>
      <c r="K1085" t="n">
        <v>0.1163</v>
      </c>
      <c r="L1085" t="inlineStr">
        <is>
          <t>The provided code implements a custom DNS resolver that uses the DNS over HTTPS protocol to resolve domain names. It is designed to be used as a bootstrap DNS resolver during the initial connection establishment process. The `BootstrapDns` class takes two parameters upon construction: `dnsHostname`, which represents the hostname of the DNS over HTTPS server, and `dnsSer</t>
        </is>
      </c>
      <c r="M1085" t="n">
        <v>0.0038</v>
      </c>
      <c r="N1085" t="n">
        <v>0.0615</v>
      </c>
      <c r="O1085" t="n">
        <v>0.1163</v>
      </c>
    </row>
    <row r="1086">
      <c r="A1086" t="inlineStr">
        <is>
          <t>okhttp</t>
        </is>
      </c>
      <c r="B1086" t="inlineStr">
        <is>
          <t>okhttp-dnsoverhttps/src/main/kotlin/okhttp3/dnsoverhttps/DnsRecordCodec.kt</t>
        </is>
      </c>
      <c r="C1086">
        <f>HYPERLINK("https://github.com/square/okhttp/blob/master/okhttp-dnsoverhttps/src/main/kotlin/okhttp3/dnsoverhttps/DnsRecordCodec.kt")</f>
        <v/>
      </c>
      <c r="D1086" t="inlineStr">
        <is>
          <t>This code implements a simple DNS encoder/decoder using Java. It provides methods for encoding and decoding DNS messages, as well as some utility functions for working with DNS data structures.
The `DnsRecordCodec` class has two main methods: `encode()` and `decode()`. These methods take a `DnsMessage` object as input and return a byte array representing</t>
        </is>
      </c>
      <c r="E1086" t="n">
        <v>0.0045</v>
      </c>
      <c r="F1086" t="n">
        <v>0.127</v>
      </c>
      <c r="G1086" t="n">
        <v>0.1587</v>
      </c>
      <c r="H1086" t="inlineStr">
        <is>
          <t>This code defines a class called `DnsRecordCodec` that provides methods for encoding and decoding DNS records using the DNS over HTTPS protocol. The class has several static methods that perform various operations related to DNS record encoding and decoding. These methods include:
* `encodeName`: encodes a domain name into its DNS wire format representation.
* `decodeName`:</t>
        </is>
      </c>
      <c r="I1086" t="n">
        <v>0.0039</v>
      </c>
      <c r="J1086" t="n">
        <v>0.0645</v>
      </c>
      <c r="K1086" t="n">
        <v>0.1172</v>
      </c>
      <c r="L1086" t="inlineStr">
        <is>
          <t>This code defines a simple DNS encoder/decoder that can be used to encode and decode DNS records. It provides functions for encoding and decoding DNS messages, as well as functions for extracting certain types of data from DNS responses.
The code includes constants for DNS response codes such as `SERVFAIL` and `NXDOMAIN`, which can be used to determine</t>
        </is>
      </c>
      <c r="M1086" t="n">
        <v>0.0037</v>
      </c>
      <c r="N1086" t="n">
        <v>0.0896</v>
      </c>
      <c r="O1086" t="n">
        <v>0.1154</v>
      </c>
    </row>
    <row r="1087">
      <c r="A1087" t="inlineStr">
        <is>
          <t>okhttp</t>
        </is>
      </c>
      <c r="B1087" t="inlineStr">
        <is>
          <t>okhttp-dnsoverhttps/src/main/kotlin/okhttp3/dnsoverhttps/DnsOverHttps.kt</t>
        </is>
      </c>
      <c r="C1087">
        <f>HYPERLINK("https://github.com/square/okhttp/blob/master/okhttp-dnsoverhttps/src/main/kotlin/okhttp3/dnsoverhttps/DnsOverHttps.kt")</f>
        <v/>
      </c>
      <c r="D1087" t="inlineStr">
        <is>
          <t>This code appears to be a Java implementation of a DNS over HTTPS client using the OkHttp library. It provides a custom `Dns` class that implements the `okhttp3.Dns` interface and uses the OkHttp client to perform DNS lookups over HTTPS. The `Dns` class has a single method called `lookup`, which takes a hostname as input and</t>
        </is>
      </c>
      <c r="E1087" t="n">
        <v>0.0043</v>
      </c>
      <c r="F1087" t="n">
        <v>0.09229999999999999</v>
      </c>
      <c r="G1087" t="n">
        <v>0.1563</v>
      </c>
      <c r="H1087" t="inlineStr">
        <is>
          <t>This code appears to be a Java implementation of a DNS over HTTPS client using OkHttp library. It provides a Dns class that implements the OkHttp Dns interface and uses the OkHttp Client to make HTTP requests to retrieve DNS records. The Dns class has a single method called lookup() which takes a hostname as input and returns a list of InetAddress objects representing the IP</t>
        </is>
      </c>
      <c r="I1087" t="n">
        <v>0.0036</v>
      </c>
      <c r="J1087" t="n">
        <v>0.08110000000000001</v>
      </c>
      <c r="K1087" t="n">
        <v>0.1449</v>
      </c>
      <c r="L1087" t="inlineStr">
        <is>
          <t>The code defines a custom DNS resolver that uses HTTPS requests to resolve domain names using the OkHttp library. It implements the Dns interface from the OkHttp project and provides a way to perform DNS lookups over HTTPS. The implementation includes methods for initializing the client, making DNS requests, and handling responses.</t>
        </is>
      </c>
      <c r="M1087" t="n">
        <v>0.0042</v>
      </c>
      <c r="N1087" t="n">
        <v>0.0667</v>
      </c>
      <c r="O1087" t="n">
        <v>0.121</v>
      </c>
    </row>
    <row r="1088">
      <c r="A1088" t="inlineStr">
        <is>
          <t>okhttp</t>
        </is>
      </c>
      <c r="B1088" t="inlineStr">
        <is>
          <t>okhttp-dnsoverhttps/src/main/java9/module-info.java</t>
        </is>
      </c>
      <c r="C1088">
        <f>HYPERLINK("https://github.com/square/okhttp/blob/master/okhttp-dnsoverhttps/src/main/java9/module-info.java")</f>
        <v/>
      </c>
      <c r="D1088" t="inlineStr">
        <is>
          <t>The provided code defines a module for OkHttp called "okhttp3.dnsoverhttps". It requires the "okhttp3" module and exports its own package. This module is used to implement DNS over HTTPS (DoH), which allows clients to perform DNS lookups using HTTPS instead of traditional UDP-based protocols.</t>
        </is>
      </c>
      <c r="E1088" t="n">
        <v>0.0055</v>
      </c>
      <c r="F1088" t="n">
        <v>0.1111</v>
      </c>
      <c r="G1088" t="n">
        <v>0.2155</v>
      </c>
      <c r="H1088" t="inlineStr">
        <is>
          <t>This is a Java module definition file that defines a new module called "okhttp3.dnsoverhttps". The module requires the "okhttp3" module and exports its own package. It has a complexity of O(N), with N being the number of modules required by this module. The comments indicate that it implements core algorithms. There have been one initial commit to the codebase</t>
        </is>
      </c>
      <c r="I1088" t="n">
        <v>0.008200000000000001</v>
      </c>
      <c r="J1088" t="n">
        <v>0.1159</v>
      </c>
      <c r="K1088" t="n">
        <v>0.284</v>
      </c>
      <c r="L1088" t="inlineStr">
        <is>
          <t>The provided code defines a module for OkHttp that enables DNS over HTTPS (DoH). It exports the necessary classes and interfaces from the `okhttp3` package and requires the `okhttp3` module.</t>
        </is>
      </c>
      <c r="M1088" t="n">
        <v>0.0074</v>
      </c>
      <c r="N1088" t="n">
        <v>0.1053</v>
      </c>
      <c r="O1088" t="n">
        <v>0.098</v>
      </c>
    </row>
    <row r="1089">
      <c r="A1089" t="inlineStr">
        <is>
          <t>okhttp</t>
        </is>
      </c>
      <c r="B1089" t="inlineStr">
        <is>
          <t>okhttp-dnsoverhttps/src/test/java/okhttp3/dnsoverhttps/DnsOverHttpsTest.kt</t>
        </is>
      </c>
      <c r="C1089">
        <f>HYPERLINK("https://github.com/square/okhttp/blob/master/okhttp-dnsoverhttps/src/test/java/okhttp3/dnsoverhttps/DnsOverHttpsTest.kt")</f>
        <v/>
      </c>
      <c r="D1089" t="inlineStr">
        <is>
          <t>This code appears to be a Java implementation of DNS over HTTPS (DoH), which is a protocol that allows clients to perform DNS lookups using HTTPS instead of traditional UDP-based DNS. The code defines several classes related to DoH, including `OkHttpClient`, `DohResolver`, and `DohResponse`. It also includes some unit tests for these classes.</t>
        </is>
      </c>
      <c r="E1089" t="n">
        <v>0.0041</v>
      </c>
      <c r="F1089" t="n">
        <v>0.0968</v>
      </c>
      <c r="G1089" t="n">
        <v>0.16</v>
      </c>
      <c r="H1089" t="inlineStr">
        <is>
          <t>This repository contains backend software components that implement core algorithms. The code is written in Java and uses the OkHttp library for DNS over HTTPS support. It has a complexity of O(N) due to its implementation of the algorithm. There are no comments in the code, but there is a README file that describes the purpose of the repository and provides information about the commits and code size</t>
        </is>
      </c>
      <c r="I1089" t="n">
        <v>0.0038</v>
      </c>
      <c r="J1089" t="n">
        <v>0.1299</v>
      </c>
      <c r="K1089" t="n">
        <v>0.2143</v>
      </c>
      <c r="L1089" t="inlineStr">
        <is>
          <t>The provided code implements DNS over HTTPS (DoH) client functionality using OkHttp library. It provides methods for sending and receiving DNS requests and responses over HTTPS connections. The code also includes error handling and logging features.</t>
        </is>
      </c>
      <c r="M1089" t="n">
        <v>0.0068</v>
      </c>
      <c r="N1089" t="n">
        <v>0.1364</v>
      </c>
      <c r="O1089" t="n">
        <v>0.1389</v>
      </c>
    </row>
    <row r="1090">
      <c r="A1090" t="inlineStr">
        <is>
          <t>okhttp</t>
        </is>
      </c>
      <c r="B1090" t="inlineStr">
        <is>
          <t>okhttp-dnsoverhttps/src/test/java/okhttp3/dnsoverhttps/TestDohMain.kt</t>
        </is>
      </c>
      <c r="C1090">
        <f>HYPERLINK("https://github.com/square/okhttp/blob/master/okhttp-dnsoverhttps/src/test/java/okhttp3/dnsoverhttps/TestDohMain.kt")</f>
        <v/>
      </c>
      <c r="D1090" t="inlineStr">
        <is>
          <t>This is a Java program that uses OkHttp library to perform DNS lookups over HTTPS using the DOH protocol. The program takes two command line arguments: a list of DNS providers to use, and a list of domain names to resolve. It then iterates through each provider and resolves each name using the `resolve` method of the `DnsOverHttps` class</t>
        </is>
      </c>
      <c r="E1090" t="n">
        <v>0.0037</v>
      </c>
      <c r="F1090" t="n">
        <v>0.0597</v>
      </c>
      <c r="G1090" t="n">
        <v>0.1145</v>
      </c>
      <c r="H1090" t="inlineStr">
        <is>
          <t>This code appears to be part of an Android app that uses DNS over HTTPS (DoH) as its primary DNS resolver. It includes several classes and functions related to implementing and using DoH, including:
* `DnsOverHttps`: A class representing a single DNS provider that supports DoH, such as Cloudflare or Google's public DNS service.</t>
        </is>
      </c>
      <c r="I1090" t="n">
        <v>0.004</v>
      </c>
      <c r="J1090" t="n">
        <v>0.0968</v>
      </c>
      <c r="K1090" t="n">
        <v>0.1587</v>
      </c>
      <c r="L1090" t="inlineStr">
        <is>
          <t>The provided code defines a function called `runBatch` that takes two arguments: `dnsProviders` and `names`. It appears to be responsible for performing DNS lookups using a list of DNS over HTTPS providers and a list of domain names.
The function first initializes some variables, including `time`, which is set to the current system time. It then iter</t>
        </is>
      </c>
      <c r="M1090" t="n">
        <v>0.0032</v>
      </c>
      <c r="N1090" t="n">
        <v>0.0615</v>
      </c>
      <c r="O1090" t="n">
        <v>0.0775</v>
      </c>
    </row>
    <row r="1091">
      <c r="A1091" t="inlineStr">
        <is>
          <t>okhttp</t>
        </is>
      </c>
      <c r="B1091" t="inlineStr">
        <is>
          <t>okhttp-dnsoverhttps/src/test/java/okhttp3/dnsoverhttps/DohProviders.kt</t>
        </is>
      </c>
      <c r="C1091">
        <f>HYPERLINK("https://github.com/square/okhttp/blob/master/okhttp-dnsoverhttps/src/test/java/okhttp3/dnsoverhttps/DohProviders.kt")</f>
        <v/>
      </c>
      <c r="D1091" t="inlineStr">
        <is>
          <t>The `DohProviders` class provides a temporary registry of known DNS over HTTPS providers. It defines several methods that return instances of the `DnsOverHttps` interface, which can be used to perform DNS lookups using DNS over HTTPS protocol. The `buildGoogle()` method returns an instance of `DnsOverHttps` that uses Google's</t>
        </is>
      </c>
      <c r="E1091" t="n">
        <v>0</v>
      </c>
      <c r="F1091" t="n">
        <v>0</v>
      </c>
      <c r="G1091" t="n">
        <v>0.0417</v>
      </c>
      <c r="H1091" t="inlineStr">
        <is>
          <t>This code defines a class called `DohProviders` that provides a temporary registry of known DNS over HTTPS providers. The class has several methods that perform various tasks related to DNS over HTTPS, including building Google's DNS over HTTPS provider using the given bootstrap client. The comments provide information about the purpose of each method and its complexity.</t>
        </is>
      </c>
      <c r="I1091" t="n">
        <v>0.0038</v>
      </c>
      <c r="J1091" t="n">
        <v>0.0606</v>
      </c>
      <c r="K1091" t="n">
        <v>0.1163</v>
      </c>
      <c r="L1091" t="inlineStr">
        <is>
          <t>The `okhttp3.dnsoverhttps` package provides a temporary registry of known DNS over HTTPS providers. It includes a list of DNS over HTTPS servers that can be used as a fallback when a user's device cannot resolve DNS queries using traditional methods. The package also includes a utility class called `DohProviders` which provides a way to retrieve the list</t>
        </is>
      </c>
      <c r="M1091" t="n">
        <v>0</v>
      </c>
      <c r="N1091" t="n">
        <v>0</v>
      </c>
      <c r="O1091" t="n">
        <v>0.0388</v>
      </c>
    </row>
    <row r="1092">
      <c r="A1092" t="inlineStr">
        <is>
          <t>okhttp</t>
        </is>
      </c>
      <c r="B1092" t="inlineStr">
        <is>
          <t>okhttp-dnsoverhttps/src/test/java/okhttp3/dnsoverhttps/DnsRecordCodecTest.kt</t>
        </is>
      </c>
      <c r="C1092">
        <f>HYPERLINK("https://github.com/square/okhttp/blob/master/okhttp-dnsoverhttps/src/test/java/okhttp3/dnsoverhttps/DnsRecordCodecTest.kt")</f>
        <v/>
      </c>
      <c r="D1092" t="inlineStr">
        <is>
          <t>This code appears to be part of an implementation of DNS over HTTPS (DoH), which allows clients to perform DNS queries using the HTTPS protocol instead of traditional UDP-based DNS. The code defines several classes and functions related to DNS record encoding and decoding, as well as some basic tests for these functions.
The `DnsRecordCodec` class provides methods for</t>
        </is>
      </c>
      <c r="E1092" t="n">
        <v>0.0037</v>
      </c>
      <c r="F1092" t="n">
        <v>0.1176</v>
      </c>
      <c r="G1092" t="n">
        <v>0.1527</v>
      </c>
      <c r="H1092" t="inlineStr">
        <is>
          <t>This code appears to be a Java library for performing DNS over HTTPS (DoH) queries. It includes classes for encoding and decoding DNS messages using the DNS protocol's wire format, as well as functions for querying DNS servers and processing their responses. The README describes the overall purpose of the project and provides some basic information about its complexity and commits.</t>
        </is>
      </c>
      <c r="I1092" t="n">
        <v>0.0036</v>
      </c>
      <c r="J1092" t="n">
        <v>0.0857</v>
      </c>
      <c r="K1092" t="n">
        <v>0.1128</v>
      </c>
      <c r="L1092" t="inlineStr">
        <is>
          <t>The code defines a class called DnsOverHttps that allows users to perform DNS lookups over HTTPS using OkHttp. It provides two methods: `lookup` and `close`. The `lookup` method takes a hostname as input and returns a list of IP addresses associated with that hostname. The `close` method releases any resources used by the instance of the Dns</t>
        </is>
      </c>
      <c r="M1092" t="n">
        <v>0.0032</v>
      </c>
      <c r="N1092" t="n">
        <v>0.0308</v>
      </c>
      <c r="O1092" t="n">
        <v>0.0775</v>
      </c>
    </row>
    <row r="1093">
      <c r="A1093" t="inlineStr">
        <is>
          <t>okhttp</t>
        </is>
      </c>
      <c r="B1093" t="inlineStr">
        <is>
          <t>samples/guide/src/main/java/okhttp3/guide/PostExample.java</t>
        </is>
      </c>
      <c r="C1093">
        <f>HYPERLINK("https://github.com/square/okhttp/blob/master/samples/guide/src/main/java/okhttp3/guide/PostExample.java")</f>
        <v/>
      </c>
      <c r="D1093" t="inlineStr">
        <is>
          <t>The provided code defines a Java class called `PostExample` that demonstrates how to make a POST request using the OkHttp library. It includes several methods that perform various operations related to HTTP requests and responses, such as creating a new `OkHttpClient`, building a `Request` object, sending the request, and parsing the response body.
The main method of the class takes two</t>
        </is>
      </c>
      <c r="E1093" t="n">
        <v>0.003</v>
      </c>
      <c r="F1093" t="n">
        <v>0.029</v>
      </c>
      <c r="G1093" t="n">
        <v>0.0752</v>
      </c>
      <c r="H1093" t="inlineStr">
        <is>
          <t>This code defines a Java class called `PostExample` that uses the OkHttp library to send HTTP POST requests to a server. The class has three methods:
* `post`: sends a POST request to the specified URL with the given JSON payload. It returns the response body as a string.
* `main`: demonstrates how to use the `post` method to send a</t>
        </is>
      </c>
      <c r="I1093" t="n">
        <v>0.003</v>
      </c>
      <c r="J1093" t="n">
        <v>0.0299</v>
      </c>
      <c r="K1093" t="n">
        <v>0.0752</v>
      </c>
      <c r="L1093" t="inlineStr">
        <is>
          <t>The code in `PostExample` sends a POST request using the OkHttp library. It takes two parameters: `url`, which specifies the URL to send the request to, and `json`, which contains the data to be sent as a JSON string. The method uses the `OkHttpClient` instance to create a request and then sends it to the specified URL. If the response status</t>
        </is>
      </c>
      <c r="M1093" t="n">
        <v>0.003</v>
      </c>
      <c r="N1093" t="n">
        <v>0.029</v>
      </c>
      <c r="O1093" t="n">
        <v>0.0752</v>
      </c>
    </row>
    <row r="1094">
      <c r="A1094" t="inlineStr">
        <is>
          <t>okhttp</t>
        </is>
      </c>
      <c r="B1094" t="inlineStr">
        <is>
          <t>samples/guide/src/main/java/okhttp3/guide/GetExample.java</t>
        </is>
      </c>
      <c r="C1094">
        <f>HYPERLINK("https://github.com/square/okhttp/blob/master/samples/guide/src/main/java/okhttp3/guide/GetExample.java")</f>
        <v/>
      </c>
      <c r="D1094" t="inlineStr">
        <is>
          <t>The `GetExample` class provides an example of how to make a GET request using the OkHttp library. It creates an instance of the `OkHttpClient` class and uses it to execute a GET request against a specified URL. The method takes a single argument, which represents the URL to be requested, and returns a string containing the response body.
The implementation of the `run</t>
        </is>
      </c>
      <c r="E1094" t="n">
        <v>0.0029</v>
      </c>
      <c r="F1094" t="n">
        <v>0.0282</v>
      </c>
      <c r="G1094" t="n">
        <v>0.1111</v>
      </c>
      <c r="H1094" t="inlineStr">
        <is>
          <t>This Java package named `okhttp3` provides an HTTP client library that allows users to send GET requests to web servers and receive responses. The package includes a single class called `GetExample`, which has a method called `run` that takes a URL as input and returns the response body as a string. The method uses the `OkHttpClient` class from the same package to create a</t>
        </is>
      </c>
      <c r="I1094" t="n">
        <v>0.0034</v>
      </c>
      <c r="J1094" t="n">
        <v>0.0556</v>
      </c>
      <c r="K1094" t="n">
        <v>0.1103</v>
      </c>
      <c r="L1094" t="inlineStr">
        <is>
          <t>The provided code is a Java implementation of a GET HTTP request using the OkHttp library. It creates a new instance of the `OkHttpClient` class, builds a `Request` object with the specified URL, and executes the request using the `client.newCall()` method. The resulting `Response` object is then closed using the `try-with-resources` statement.</t>
        </is>
      </c>
      <c r="M1094" t="n">
        <v>0.0035</v>
      </c>
      <c r="N1094" t="n">
        <v>0.0635</v>
      </c>
      <c r="O1094" t="n">
        <v>0.121</v>
      </c>
    </row>
    <row r="1095">
      <c r="A1095" t="inlineStr">
        <is>
          <t>okhttp</t>
        </is>
      </c>
      <c r="B1095" t="inlineStr">
        <is>
          <t>samples/guide/src/main/java/okhttp3/recipes/PostStreamingWithPipe.java</t>
        </is>
      </c>
      <c r="C1095">
        <f>HYPERLINK("https://github.com/square/okhttp/blob/master/samples/guide/src/main/java/okhttp3/recipes/PostStreamingWithPipe.java")</f>
        <v/>
      </c>
      <c r="D1095" t="inlineStr">
        <is>
          <t>This Java code defines a `PostStreamingWithPipe` class that demonstrates how to perform streaming HTTP requests using OkHttp's Pipe feature. The class takes a Markdown string as input and sends it to a server over HTTP POST request. The implementation uses the `Pipe` class from Okio library to create a pipe between the client and server, allowing for efficient streaming</t>
        </is>
      </c>
      <c r="E1095" t="n">
        <v>0.0037</v>
      </c>
      <c r="F1095" t="n">
        <v>0.0882</v>
      </c>
      <c r="G1095" t="n">
        <v>0.1527</v>
      </c>
      <c r="H1095" t="inlineStr">
        <is>
          <t>This Java code defines a `PostStreamingWithPipe` class that uses OkHttp to send a streaming request body to a server. The class takes a `String` as input and sends it to the server using a pipe. It also includes comments and documentation explaining the purpose of each method and variable.
The `main()` method demonstrates how to use the `PostStreaming</t>
        </is>
      </c>
      <c r="I1095" t="n">
        <v>0.0037</v>
      </c>
      <c r="J1095" t="n">
        <v>0.0606</v>
      </c>
      <c r="K1095" t="n">
        <v>0.1154</v>
      </c>
      <c r="L1095" t="inlineStr">
        <is>
          <t>The provided code defines a method that posts a stream of data using OkHttp's Pipe feature. It takes a string as input and sends it as a request body to a server, where it is processed and returned as a response. The method uses the `okhttp3` library and is written in Java.</t>
        </is>
      </c>
      <c r="M1095" t="n">
        <v>0.0035</v>
      </c>
      <c r="N1095" t="n">
        <v>0.0328</v>
      </c>
      <c r="O1095" t="n">
        <v>0.0806</v>
      </c>
    </row>
    <row r="1096">
      <c r="A1096" t="inlineStr">
        <is>
          <t>okhttp</t>
        </is>
      </c>
      <c r="B1096" t="inlineStr">
        <is>
          <t>samples/guide/src/main/java/okhttp3/recipes/CertificatePinning.java</t>
        </is>
      </c>
      <c r="C1096">
        <f>HYPERLINK("https://github.com/square/okhttp/blob/master/samples/guide/src/main/java/okhttp3/recipes/CertificatePinning.java")</f>
        <v/>
      </c>
      <c r="D1096" t="inlineStr">
        <is>
          <t>The `CertificatePinning` class provides a way to pin SSL certificates for HTTPS requests using OkHttp. It does this by creating an instance of `OkHttpClient`, which is then configured with a `CertificatePinner`. The `CertificatePinner` allows us to specify a set of pinned certificates that must be used when making HTTPS requests. This</t>
        </is>
      </c>
      <c r="E1096" t="n">
        <v>0.0036</v>
      </c>
      <c r="F1096" t="n">
        <v>0.0339</v>
      </c>
      <c r="G1096" t="n">
        <v>0.0813</v>
      </c>
      <c r="H1096" t="inlineStr">
        <is>
          <t>This Java package named `okhttp3.recipes` provides a set of recipes for using the `OkHttpClient` library from Square, which is a popular HTTP client library for Android and other platforms. The package includes several classes that demonstrate how to perform various tasks such as making HTTP requests, handling SSL certificates, and working with cookies.
The main entry point for the</t>
        </is>
      </c>
      <c r="I1096" t="n">
        <v>0.0037</v>
      </c>
      <c r="J1096" t="n">
        <v>0.0588</v>
      </c>
      <c r="K1096" t="n">
        <v>0.1145</v>
      </c>
      <c r="L1096" t="inlineStr">
        <is>
          <t>The `CertificatePinning` class provides a way to pin SSL certificates used by an HTTPS connection. It takes an `OkHttpClient` instance as input and returns a new `OkHttpClient` instance that uses certificate pinning. The method `pinCertificates()` takes a list of SHA-256 hashes of trusted certificates and pins</t>
        </is>
      </c>
      <c r="M1096" t="n">
        <v>0.004</v>
      </c>
      <c r="N1096" t="n">
        <v>0.0364</v>
      </c>
      <c r="O1096" t="n">
        <v>0.0847</v>
      </c>
    </row>
    <row r="1097">
      <c r="A1097" t="inlineStr">
        <is>
          <t>okhttp</t>
        </is>
      </c>
      <c r="B1097" t="inlineStr">
        <is>
          <t>samples/guide/src/main/java/okhttp3/recipes/AccessHeaders.java</t>
        </is>
      </c>
      <c r="C1097">
        <f>HYPERLINK("https://github.com/square/okhttp/blob/master/samples/guide/src/main/java/okhttp3/recipes/AccessHeaders.java")</f>
        <v/>
      </c>
      <c r="D1097" t="inlineStr">
        <is>
          <t>The `AccessHeaders` class provides an example of how to access HTTP headers using the OkHttp library. It creates an instance of `OkHttpClient`, which is used to send requests to a server and retrieve responses. The `run()` method sends a GET request to the specified URL and prints out all the response headers.</t>
        </is>
      </c>
      <c r="E1097" t="n">
        <v>0.0035</v>
      </c>
      <c r="F1097" t="n">
        <v>0.0333</v>
      </c>
      <c r="G1097" t="n">
        <v>0.0806</v>
      </c>
      <c r="H1097" t="inlineStr">
        <is>
          <t>The provided code defines a Java package called `okhttp3.recipes` that contains a single class named `AccessHeaders`. This class has a single method named `run()` which makes an HTTP GET request to the specified URL using the `OkHttpClient` library and prints out the response headers. The method also demonstrates how to set custom headers for the request.
The code</t>
        </is>
      </c>
      <c r="I1097" t="n">
        <v>0.0037</v>
      </c>
      <c r="J1097" t="n">
        <v>0.0597</v>
      </c>
      <c r="K1097" t="n">
        <v>0.1154</v>
      </c>
      <c r="L1097" t="inlineStr">
        <is>
          <t>The provided code defines a Java class called `AccessHeaders` that uses the OkHttp library to access the headers of a response from an API endpoint. The class has a single method called `run()` which makes a GET request to the specified URL and prints out the values of the `Content-Type`, `Date`, and `Server` headers.</t>
        </is>
      </c>
      <c r="M1097" t="n">
        <v>0.0034</v>
      </c>
      <c r="N1097" t="n">
        <v>0.0317</v>
      </c>
      <c r="O1097" t="n">
        <v>0.0794</v>
      </c>
    </row>
    <row r="1098">
      <c r="A1098" t="inlineStr">
        <is>
          <t>okhttp</t>
        </is>
      </c>
      <c r="B1098" t="inlineStr">
        <is>
          <t>samples/guide/src/main/java/okhttp3/recipes/RequestBodyCompression.java</t>
        </is>
      </c>
      <c r="C1098">
        <f>HYPERLINK("https://github.com/square/okhttp/blob/master/samples/guide/src/main/java/okhttp3/recipes/RequestBodyCompression.java")</f>
        <v/>
      </c>
      <c r="D1098" t="inlineStr">
        <is>
          <t>The `Reques` class implements a client for sending HTTP requests using OkHttp. It provides methods for constructing requests, adding headers and query parameters, setting request bodies, and executing the requests. The class also includes a method for parsing JSON responses using Moshi.
The `build()` method creates a new `Request.Builder` instance and sets the URL, method, and headers</t>
        </is>
      </c>
      <c r="E1098" t="n">
        <v>0.0038</v>
      </c>
      <c r="F1098" t="n">
        <v>0.0606</v>
      </c>
      <c r="G1098" t="n">
        <v>0.1163</v>
      </c>
      <c r="H1098" t="inlineStr">
        <is>
          <t>This code defines a Java package named `okhttp3.recipes` that provides various utility functions for working with HTTP requests and responses using the OkHttp library. The package includes several classes and interfaces that provide support for serializing and deserializing JSON data, as well as implementing custom request interceptors.
The main entry point for the package is the `Reques` class,</t>
        </is>
      </c>
      <c r="I1098" t="n">
        <v>0.0037</v>
      </c>
      <c r="J1098" t="n">
        <v>0.0896</v>
      </c>
      <c r="K1098" t="n">
        <v>0.1538</v>
      </c>
      <c r="L1098" t="inlineStr">
        <is>
          <t>The provided code defines a Java class named `Reques` that implements an interceptor for OkHttp requests. It uses Moshi library to parse JSON responses and extract data from them. The class has two methods: `intercept()` which intercepts the request and adds a header with a custom value, and `getData()` which returns a map containing the extracted data from the response body.</t>
        </is>
      </c>
      <c r="M1098" t="n">
        <v>0.0036</v>
      </c>
      <c r="N1098" t="n">
        <v>0.058</v>
      </c>
      <c r="O1098" t="n">
        <v>0.1128</v>
      </c>
    </row>
    <row r="1099">
      <c r="A1099" t="inlineStr">
        <is>
          <t>okhttp</t>
        </is>
      </c>
      <c r="B1099" t="inlineStr">
        <is>
          <t>samples/guide/src/main/java/okhttp3/recipes/AsynchronousGet.java</t>
        </is>
      </c>
      <c r="C1099">
        <f>HYPERLINK("https://github.com/square/okhttp/blob/master/samples/guide/src/main/java/okhttp3/recipes/AsynchronousGet.java")</f>
        <v/>
      </c>
      <c r="D1099" t="inlineStr">
        <is>
          <t>This Java code implements an asynchronous HTTP GET request using the OkHttp library. It creates an instance of `OkHttpClient` and uses it to send a GET request to a specified URL. The response from the server is then processed asynchronously using a callback function.
The main method of the program first sets up the HTTP client and then sends a GET request to a specified URL.</t>
        </is>
      </c>
      <c r="E1099" t="n">
        <v>0.0036</v>
      </c>
      <c r="F1099" t="n">
        <v>0.1081</v>
      </c>
      <c r="G1099" t="n">
        <v>0.1449</v>
      </c>
      <c r="H1099" t="inlineStr">
        <is>
          <t>This Java code defines a class called `AsynchronousGet` that uses the OkHttp library to make an asynchronous HTTP GET request to a specified URL. The class has a single method called `run()` which makes the request asynchronously using the `enqueue()` method of the `OkHttpClient`. The response is then processed using a callback function that prints out the status line and headers of</t>
        </is>
      </c>
      <c r="I1099" t="n">
        <v>0.0035</v>
      </c>
      <c r="J1099" t="n">
        <v>0.0857</v>
      </c>
      <c r="K1099" t="n">
        <v>0.1119</v>
      </c>
      <c r="L1099" t="inlineStr">
        <is>
          <t>The provided code implements an asynchronous HTTP GET request using the OkHttp library. It creates an instance of `OkHttpClient` and uses it to send a request to a server. When the response is received, it processes the headers and body of the response using callback methods.</t>
        </is>
      </c>
      <c r="M1099" t="n">
        <v>0.0048</v>
      </c>
      <c r="N1099" t="n">
        <v>0.0741</v>
      </c>
      <c r="O1099" t="n">
        <v>0.1271</v>
      </c>
    </row>
    <row r="1100">
      <c r="A1100" t="inlineStr">
        <is>
          <t>okhttp</t>
        </is>
      </c>
      <c r="B1100" t="inlineStr">
        <is>
          <t>samples/guide/src/main/java/okhttp3/recipes/PostFile.java</t>
        </is>
      </c>
      <c r="C1100">
        <f>HYPERLINK("https://github.com/square/okhttp/blob/master/samples/guide/src/main/java/okhttp3/recipes/PostFile.java")</f>
        <v/>
      </c>
      <c r="D1100" t="inlineStr">
        <is>
          <t>The `PostFile` class provides a simple example of how to upload a file using the OkHttp library. It takes two arguments: a `String` representing the URL to post to, and a `File` object representing the file to be uploaded. It uses the `OkHttpClient` class to send a POST request to the specified URL with the contents of the file as the body.</t>
        </is>
      </c>
      <c r="E1100" t="n">
        <v>0.0029</v>
      </c>
      <c r="F1100" t="n">
        <v>0.0286</v>
      </c>
      <c r="G1100" t="n">
        <v>0.0746</v>
      </c>
      <c r="H1100" t="inlineStr">
        <is>
          <t>This Java package named `okhttp3.recipes` includes a single class called `PostFile`. The main method of this class takes three parameters: a string representing the URL where the request will be sent, a File object containing the data that needs to be uploaded, and a MediaType object indicating the type of media being transmitted. It then sends a POST request to the specified URL</t>
        </is>
      </c>
      <c r="I1100" t="n">
        <v>0.0034</v>
      </c>
      <c r="J1100" t="n">
        <v>0.0556</v>
      </c>
      <c r="K1100" t="n">
        <v>0.0741</v>
      </c>
      <c r="L1100" t="inlineStr">
        <is>
          <t>The `PostFile` class provides a method for uploading a file using the OkHttp library. It takes two parameters: `file` which represents the file to be uploaded, and `url` which represents the URL where the file should be sent. The method returns a `Response` object that can be used to retrieve the response from the server.</t>
        </is>
      </c>
      <c r="M1100" t="n">
        <v>0.0033</v>
      </c>
      <c r="N1100" t="n">
        <v>0.0317</v>
      </c>
      <c r="O1100" t="n">
        <v>0.07870000000000001</v>
      </c>
    </row>
    <row r="1101">
      <c r="A1101" t="inlineStr">
        <is>
          <t>okhttp</t>
        </is>
      </c>
      <c r="B1101" t="inlineStr">
        <is>
          <t>samples/guide/src/main/java/okhttp3/recipes/Progress.java</t>
        </is>
      </c>
      <c r="C1101">
        <f>HYPERLINK("https://github.com/square/okhttp/blob/master/samples/guide/src/main/java/okhttp3/recipes/Progress.java")</f>
        <v/>
      </c>
      <c r="D1101" t="inlineStr">
        <is>
          <t>The `Progress` class provides a way to track the progress of a download operation using OkHttp. It takes a `Request` object as input and returns a `Response` object that includes information about the download's progress.
The implementation uses a custom `Source` subclass called `CountingSource` to count the number of bytes read from the response body. This allows us to</t>
        </is>
      </c>
      <c r="E1101" t="n">
        <v>0.0037</v>
      </c>
      <c r="F1101" t="n">
        <v>0.0294</v>
      </c>
      <c r="G1101" t="n">
        <v>0.1527</v>
      </c>
      <c r="H1101" t="inlineStr">
        <is>
          <t>This Java package `okhttp3.recipes` contains a single class called `Progress`, which has a single method `run()` that demonstrates how to track the progress of a download using OkHttp. The method creates a request object, sends it over the network, and then reads the response body as a stream. It uses a custom source implementation to wrap the original source and report the</t>
        </is>
      </c>
      <c r="I1101" t="n">
        <v>0.0035</v>
      </c>
      <c r="J1101" t="n">
        <v>0.08450000000000001</v>
      </c>
      <c r="K1101" t="n">
        <v>0.1493</v>
      </c>
      <c r="L1101" t="inlineStr">
        <is>
          <t>The `Progress` class provides a way to monitor the progress of HTTP requests made using OkHttp. It allows clients to track the number of bytes transferred and the total size of the response body. The class uses a custom `ForwardingSource` implementation that wraps around the original response body and reports progress updates as data is consumed. The `run()` method demonstrates how to create</t>
        </is>
      </c>
      <c r="M1101" t="n">
        <v>0.0029</v>
      </c>
      <c r="N1101" t="n">
        <v>0.0563</v>
      </c>
      <c r="O1101" t="n">
        <v>0.1111</v>
      </c>
    </row>
    <row r="1102">
      <c r="A1102" t="inlineStr">
        <is>
          <t>okhttp</t>
        </is>
      </c>
      <c r="B1102" t="inlineStr">
        <is>
          <t>samples/guide/src/main/java/okhttp3/recipes/PostForm.java</t>
        </is>
      </c>
      <c r="C1102">
        <f>HYPERLINK("https://github.com/square/okhttp/blob/master/samples/guide/src/main/java/okhttp3/recipes/PostForm.java")</f>
        <v/>
      </c>
      <c r="D1102" t="inlineStr">
        <is>
          <t>The `PostForm` class provides a simple example of how to send a POST request using the OkHttp library. It demonstrates how to create a `FormBody` object that encodes key-value pairs as a URL-encoded string, and then creates a `Request` object with the appropriate method (`POST`) and body. Finally, it sends the request using the `client` instance</t>
        </is>
      </c>
      <c r="E1102" t="n">
        <v>0.0033</v>
      </c>
      <c r="F1102" t="n">
        <v>0.0303</v>
      </c>
      <c r="G1102" t="n">
        <v>0.0781</v>
      </c>
      <c r="H1102" t="inlineStr">
        <is>
          <t>The provided code defines a Java class named `PostForm` that uses the OkHttp library to send a POST request with form data to a server. The class has a single method called `run()` which performs the actual HTTP request.
The method first creates an instance of the `OkHttpClient` class and then constructs a `RequestBody` object using the `FormBody.</t>
        </is>
      </c>
      <c r="I1102" t="n">
        <v>0.0031</v>
      </c>
      <c r="J1102" t="n">
        <v>0.0303</v>
      </c>
      <c r="K1102" t="n">
        <v>0.0769</v>
      </c>
      <c r="L1102" t="inlineStr">
        <is>
          <t>The code defines a `PostForm` class that sends a POST request with form data using the OkHttp library. It takes a search query as input and returns the response body as a string. The class has a single method called `run()` which creates a new instance of the `OkHttpClient`, builds a `FormBody` object with the search query, creates a `Request` object</t>
        </is>
      </c>
      <c r="M1102" t="n">
        <v>0.003</v>
      </c>
      <c r="N1102" t="n">
        <v>0.029</v>
      </c>
      <c r="O1102" t="n">
        <v>0.0752</v>
      </c>
    </row>
    <row r="1103">
      <c r="A1103" t="inlineStr">
        <is>
          <t>okhttp</t>
        </is>
      </c>
      <c r="B1103" t="inlineStr">
        <is>
          <t>samples/guide/src/main/java/okhttp3/recipes/CurrentDateHeader.java</t>
        </is>
      </c>
      <c r="C1103">
        <f>HYPERLINK("https://github.com/square/okhttp/blob/master/samples/guide/src/main/java/okhttp3/recipes/CurrentDateHeader.java")</f>
        <v/>
      </c>
      <c r="D1103" t="inlineStr">
        <is>
          <t>The `CurrentDateHeader` class provides a simple example of how to add a custom header to an HTTP request using OkHttp. It creates an instance of `OkHttpClient`, which is configured with an interceptor that adds a custom header containing the current date. This interceptor is added to the client's interceptor chain using the `addInterceptor()` method. When the client sends a</t>
        </is>
      </c>
      <c r="E1103" t="n">
        <v>0.0031</v>
      </c>
      <c r="F1103" t="n">
        <v>0.0294</v>
      </c>
      <c r="G1103" t="n">
        <v>0.07630000000000001</v>
      </c>
      <c r="H1103" t="inlineStr">
        <is>
          <t>The provided code defines a Java package named `okhttp3.recipes` that contains a single class called `CurrentDateHeader`. This class has a single method called `run()` which takes no arguments and returns nothing.
The `run()` method creates a new instance of the `OkHttpClient` class from the `okhttp3` library and sets up an interceptor using</t>
        </is>
      </c>
      <c r="I1103" t="n">
        <v>0.0042</v>
      </c>
      <c r="J1103" t="n">
        <v>0.06560000000000001</v>
      </c>
      <c r="K1103" t="n">
        <v>0.121</v>
      </c>
      <c r="L1103" t="inlineStr">
        <is>
          <t>The `CurrentDateHeader` class provides a simple example of adding a custom header to HTTP requests using OkHttp. It demonstrates how to create a custom interceptor that sets the value of a custom header based on the current date. The interceptor is added to an instance of `OkHttpClient`, which is then used to make a GET request to a specified URL. The response from the</t>
        </is>
      </c>
      <c r="M1103" t="n">
        <v>0</v>
      </c>
      <c r="N1103" t="n">
        <v>0</v>
      </c>
      <c r="O1103" t="n">
        <v>0.0368</v>
      </c>
    </row>
    <row r="1104">
      <c r="A1104" t="inlineStr">
        <is>
          <t>okhttp</t>
        </is>
      </c>
      <c r="B1104" t="inlineStr">
        <is>
          <t>samples/guide/src/main/java/okhttp3/recipes/CustomTrust.java</t>
        </is>
      </c>
      <c r="C1104">
        <f>HYPERLINK("https://github.com/square/okhttp/blob/master/samples/guide/src/main/java/okhttp3/recipes/CustomTrust.java")</f>
        <v/>
      </c>
      <c r="D1104" t="inlineStr">
        <is>
          <t>The `CustomTrust` class provides a way to customize the trusted certificate authorities used by OkHttp when making HTTP requests. It allows users to specify their own list of trusted CA certificates using the `setAcceptedIssuers()` method, which takes a list of X.509 certificates as input. This method can be called before creating any HTTP connections</t>
        </is>
      </c>
      <c r="E1104" t="n">
        <v>0.0034</v>
      </c>
      <c r="F1104" t="n">
        <v>0.0317</v>
      </c>
      <c r="G1104" t="n">
        <v>0.0794</v>
      </c>
      <c r="H1104" t="inlineStr">
        <is>
          <t>This Java package `okhttp3.recipes` contains a custom trust implementation using OkHttp. The package defines a `CustomTrust` class that provides a way to configure the SSL certificate trust chain for HTTPS requests made using OkHttp's `OkHttpClient`. The class takes an array of X509 certificates as input and uses them to create a new instance of</t>
        </is>
      </c>
      <c r="I1104" t="n">
        <v>0.004</v>
      </c>
      <c r="J1104" t="n">
        <v>0.09379999999999999</v>
      </c>
      <c r="K1104" t="n">
        <v>0.1587</v>
      </c>
      <c r="L1104" t="inlineStr">
        <is>
          <t>The `CustomTrust` class provides a way to customize the trusted certificate authorities used by OkHttp's HTTP client. It allows users to specify their own set of trusted CA certificates, which can be useful in situations where the default set of trusted CAs is not appropriate. The class uses the `okhttp3.tls.Certificates` and `</t>
        </is>
      </c>
      <c r="M1104" t="n">
        <v>0.0035</v>
      </c>
      <c r="N1104" t="n">
        <v>0.0323</v>
      </c>
      <c r="O1104" t="n">
        <v>0.0806</v>
      </c>
    </row>
    <row r="1105">
      <c r="A1105" t="inlineStr">
        <is>
          <t>okhttp</t>
        </is>
      </c>
      <c r="B1105" t="inlineStr">
        <is>
          <t>samples/guide/src/main/java/okhttp3/recipes/PostStreaming.java</t>
        </is>
      </c>
      <c r="C1105">
        <f>HYPERLINK("https://github.com/square/okhttp/blob/master/samples/guide/src/main/java/okhttp3/recipes/PostStreaming.java")</f>
        <v/>
      </c>
      <c r="D1105" t="inlineStr">
        <is>
          <t>The provided code defines a Java class called `PostStreaming` that uses the OkHttp library to make a POST request to a server while streaming the request body. Here's a high-level overview of what the code does:
1. It imports several packages, including `okhttp3`, which provides the OkHttp API for making HTTP requests.
2. It defines</t>
        </is>
      </c>
      <c r="E1105" t="n">
        <v>0</v>
      </c>
      <c r="F1105" t="n">
        <v>0</v>
      </c>
      <c r="G1105" t="n">
        <v>0.0394</v>
      </c>
      <c r="H1105" t="inlineStr">
        <is>
          <t>This Java package `okhttp3.recipes` contains a single class called `PostStreaming`. It provides a method called `post()` that takes a string as input and sends it to a server using HTTP POST request. The method returns a response object that can be used to retrieve information about the server's response. The method also has a comment explaining its purpose and the complexity of</t>
        </is>
      </c>
      <c r="I1105" t="n">
        <v>0.0035</v>
      </c>
      <c r="J1105" t="n">
        <v>0.0556</v>
      </c>
      <c r="K1105" t="n">
        <v>0.1119</v>
      </c>
      <c r="L1105" t="inlineStr">
        <is>
          <t>The `PostStreaming` class provides a way to send a streaming request body using OkHttp. It takes a Markdown string as input and sends it to a server as a POST request. The class uses the `OkHttpClient` class from the OkHttp library to handle HTTP requests and responses.</t>
        </is>
      </c>
      <c r="M1105" t="n">
        <v>0.0039</v>
      </c>
      <c r="N1105" t="n">
        <v>0.0364</v>
      </c>
      <c r="O1105" t="n">
        <v>0.08400000000000001</v>
      </c>
    </row>
    <row r="1106">
      <c r="A1106" t="inlineStr">
        <is>
          <t>okhttp</t>
        </is>
      </c>
      <c r="B1106" t="inlineStr">
        <is>
          <t>samples/guide/src/main/java/okhttp3/recipes/SynchronousGet.java</t>
        </is>
      </c>
      <c r="C1106">
        <f>HYPERLINK("https://github.com/square/okhttp/blob/master/samples/guide/src/main/java/okhttp3/recipes/SynchronousGet.java")</f>
        <v/>
      </c>
      <c r="D1106" t="inlineStr">
        <is>
          <t>The provided code defines a simple synchronous HTTP GET request using the `okhttp` library. It creates an instance of `OkHttpClient`, sets up a `Request` object with the URL of the target resource, and then sends the request using the `newCall()` method. The response is obtained from the `execute()` method and can be processed as needed.</t>
        </is>
      </c>
      <c r="E1106" t="n">
        <v>0.0033</v>
      </c>
      <c r="F1106" t="n">
        <v>0.0317</v>
      </c>
      <c r="G1106" t="n">
        <v>0.07870000000000001</v>
      </c>
      <c r="H1106" t="inlineStr">
        <is>
          <t>This Java code defines a `SynchronousGet` class that uses the OkHttp library to make a GET request to a specified URL and print the response headers and body to the console. The `run()` method creates an instance of the `OkHttpClient`, builds a `Request` object with the specified URL, sends the request using the `newCall()` method, and prints the response headers</t>
        </is>
      </c>
      <c r="I1106" t="n">
        <v>0.0036</v>
      </c>
      <c r="J1106" t="n">
        <v>0.0588</v>
      </c>
      <c r="K1106" t="n">
        <v>0.1136</v>
      </c>
      <c r="L1106" t="inlineStr">
        <is>
          <t>The provided code snippet demonstrates how to make a GET request using the `okhttp` library in Java. It creates an instance of the `OkHttpClient` class and uses it to send a synchronous HTTP request to the specified URL. The response headers and body are then printed to the console.</t>
        </is>
      </c>
      <c r="M1106" t="n">
        <v>0.0037</v>
      </c>
      <c r="N1106" t="n">
        <v>0.0351</v>
      </c>
      <c r="O1106" t="n">
        <v>0.08260000000000001</v>
      </c>
    </row>
    <row r="1107">
      <c r="A1107" t="inlineStr">
        <is>
          <t>okhttp</t>
        </is>
      </c>
      <c r="B1107" t="inlineStr">
        <is>
          <t>samples/guide/src/main/java/okhttp3/recipes/PostString.java</t>
        </is>
      </c>
      <c r="C1107">
        <f>HYPERLINK("https://github.com/square/okhttp/blob/master/samples/guide/src/main/java/okhttp3/recipes/PostString.java")</f>
        <v/>
      </c>
      <c r="D1107" t="inlineStr">
        <is>
          <t>This Java code defines a `PostString` class that sends a POST request to a server using the OkHttp library. The class has one method, `post`, which takes two parameters: a URL string and a String body. It creates an OkHttpClient object, builds a Request object from the given URL and body, and then executes the request using the `newCall()` method. The</t>
        </is>
      </c>
      <c r="E1107" t="n">
        <v>0.0036</v>
      </c>
      <c r="F1107" t="n">
        <v>0.058</v>
      </c>
      <c r="G1107" t="n">
        <v>0.1128</v>
      </c>
      <c r="H1107" t="inlineStr">
        <is>
          <t>This code implements a POST request using the OkHttp library. It takes a string as input and sends it to a server as a Markdown document. The code uses the `okhttp3` package and defines a `PostString` class that has a single method called `post`. The method creates an instance of the `OkHttpClient`, sets up a `Request` object with the appropriate</t>
        </is>
      </c>
      <c r="I1107" t="n">
        <v>0.004</v>
      </c>
      <c r="J1107" t="n">
        <v>0.0882</v>
      </c>
      <c r="K1107" t="n">
        <v>0.1515</v>
      </c>
      <c r="L1107" t="inlineStr">
        <is>
          <t>The `PostString` class provides a simple example of how to send a POST request using the OkHttp library. It takes a string as input and sends it as the body of the request. The response from the server is then printed to the console.</t>
        </is>
      </c>
      <c r="M1107" t="n">
        <v>0.0042</v>
      </c>
      <c r="N1107" t="n">
        <v>0.0385</v>
      </c>
      <c r="O1107" t="n">
        <v>0.0862</v>
      </c>
    </row>
    <row r="1108">
      <c r="A1108" t="inlineStr">
        <is>
          <t>okhttp</t>
        </is>
      </c>
      <c r="B1108" t="inlineStr">
        <is>
          <t>samples/guide/src/main/java/okhttp3/recipes/PostMultipart.java</t>
        </is>
      </c>
      <c r="C1108">
        <f>HYPERLINK("https://github.com/square/okhttp/blob/master/samples/guide/src/main/java/okhttp3/recipes/PostMultipart.java")</f>
        <v/>
      </c>
      <c r="D1108" t="inlineStr">
        <is>
          <t>This Java code defines a `PostMultipart` class that uses the OkHttp library to post multipart data to a server. It takes two parameters:
* A string representing the URL to which the request should be sent
* An object implementing the `okhttp3.MultipartBody` interface, which represents the multipart body of the HTTP request
The method first creates</t>
        </is>
      </c>
      <c r="E1108" t="n">
        <v>0.0033</v>
      </c>
      <c r="F1108" t="n">
        <v>0.0635</v>
      </c>
      <c r="G1108" t="n">
        <v>0.1172</v>
      </c>
      <c r="H1108" t="inlineStr">
        <is>
          <t>This Java package `okhttp3.recipes` contains an example implementation of uploading files using Multipart Form Data in OkHttp. It includes a single class called `PostMultipart`, which has a main method that demonstrates how to send a multipart request with a file attachment.
The code defines a constant variable `IMGUR_CLIENT_ID` that holds</t>
        </is>
      </c>
      <c r="I1108" t="n">
        <v>0.0037</v>
      </c>
      <c r="J1108" t="n">
        <v>0.06560000000000001</v>
      </c>
      <c r="K1108" t="n">
        <v>0.123</v>
      </c>
      <c r="L1108" t="inlineStr">
        <is>
          <t>This Java code defines a `PostMultipart` class that uses the OkHttp library to send a multipart HTTP request to the imgur API. The class takes two parameters: `clientId`, which is the client ID for the imgur API, and `file`, which is the path to the image file to be uploaded. It then constructs a `MultipartBody` object from</t>
        </is>
      </c>
      <c r="M1108" t="n">
        <v>0.0038</v>
      </c>
      <c r="N1108" t="n">
        <v>0.0615</v>
      </c>
      <c r="O1108" t="n">
        <v>0.1163</v>
      </c>
    </row>
    <row r="1109">
      <c r="A1109" t="inlineStr">
        <is>
          <t>okhttp</t>
        </is>
      </c>
      <c r="B1109" t="inlineStr">
        <is>
          <t>samples/guide/src/main/java/okhttp3/recipes/Authenticate.java</t>
        </is>
      </c>
      <c r="C1109">
        <f>HYPERLINK("https://github.com/square/okhttp/blob/master/samples/guide/src/main/java/okhttp3/recipes/Authenticate.java")</f>
        <v/>
      </c>
      <c r="D1109" t="inlineStr">
        <is>
          <t>The `Authenticate` class provides an example of how to implement authentication using the OkHttp library. It creates an instance of the `OkHttpClient` class and sets up an authenticator that can be used to handle HTTP basic auth challenges. Whenever a request is made and the server responds with a 401 status code indicating that authentication is required, the authenticator</t>
        </is>
      </c>
      <c r="E1109" t="n">
        <v>0.0031</v>
      </c>
      <c r="F1109" t="n">
        <v>0.0597</v>
      </c>
      <c r="G1109" t="n">
        <v>0.1145</v>
      </c>
      <c r="H1109" t="inlineStr">
        <is>
          <t>This code defines a Java class called `Authenticate` that uses the OkHttp library to perform authentication using HTTP Basic Authentication. The class takes no arguments in its constructor and has one method, `authenticate`, which returns an instance of `okhttp3.Response`.
The `authenticate` method creates an `OkHttpClient` object and sets up an authenticator function that</t>
        </is>
      </c>
      <c r="I1109" t="n">
        <v>0.0041</v>
      </c>
      <c r="J1109" t="n">
        <v>0.0645</v>
      </c>
      <c r="K1109" t="n">
        <v>0.12</v>
      </c>
      <c r="L1109" t="inlineStr">
        <is>
          <t>The `Authenticate` class provides authentication capabilities using the OkHttp library. It creates an instance of the `OkHttpClient` class and sets up an authenticator that can handle challenges from the server. When a request requires authentication, the authenticator will be called, which will then add the necessary credentials to the request header.</t>
        </is>
      </c>
      <c r="M1109" t="n">
        <v>0.0036</v>
      </c>
      <c r="N1109" t="n">
        <v>0.0339</v>
      </c>
      <c r="O1109" t="n">
        <v>0.0813</v>
      </c>
    </row>
    <row r="1110">
      <c r="A1110" t="inlineStr">
        <is>
          <t>okhttp</t>
        </is>
      </c>
      <c r="B1110" t="inlineStr">
        <is>
          <t>samples/guide/src/main/java/okhttp3/recipes/HttpsServer.java</t>
        </is>
      </c>
      <c r="C1110">
        <f>HYPERLINK("https://github.com/square/okhttp/blob/master/samples/guide/src/main/java/okhttp3/recipes/HttpsServer.java")</f>
        <v/>
      </c>
      <c r="D1110" t="inlineStr">
        <is>
          <t>This Java code creates an HTTPS server using the OkHttp library with a self-signed certificate that is trusted by OkHttp. The `MockWebServer` class from the OkHttp library is used to create a mock web server that can be used to test HTTPS connections. The `HeldCertificate` class from the OkHttp library is used to generate a self-signed certificate</t>
        </is>
      </c>
      <c r="E1110" t="n">
        <v>0.0032</v>
      </c>
      <c r="F1110" t="n">
        <v>0.0299</v>
      </c>
      <c r="G1110" t="n">
        <v>0.0775</v>
      </c>
      <c r="H1110" t="inlineStr">
        <is>
          <t>This Java code creates an HTTPS server using the `okhttp3` library, which serves as a mock web server for testing purposes. The server uses a self-signed SSL/TLS certificate generated using the `okhttp3.tls.HeldCertificate` class, which is included in the `okhttp3` library. The server listens on port 44</t>
        </is>
      </c>
      <c r="I1110" t="n">
        <v>0.004</v>
      </c>
      <c r="J1110" t="n">
        <v>0.0345</v>
      </c>
      <c r="K1110" t="n">
        <v>0.0847</v>
      </c>
      <c r="L1110" t="inlineStr">
        <is>
          <t>The code defines an HTTPS server using the `okhttp3` library, specifically the `OkHttpClient` class. It creates a new instance of the `OkHttpClient` class and sets up a mock web server using the `MockWebServer` class. The server listens on port 8443 and responds with a predefined message when a request is made.</t>
        </is>
      </c>
      <c r="M1110" t="n">
        <v>0.0036</v>
      </c>
      <c r="N1110" t="n">
        <v>0.0339</v>
      </c>
      <c r="O1110" t="n">
        <v>0.0813</v>
      </c>
    </row>
    <row r="1111">
      <c r="A1111" t="inlineStr">
        <is>
          <t>okhttp</t>
        </is>
      </c>
      <c r="B1111" t="inlineStr">
        <is>
          <t>samples/guide/src/main/java/okhttp3/recipes/UploadProgress.java</t>
        </is>
      </c>
      <c r="C1111">
        <f>HYPERLINK("https://github.com/square/okhttp/blob/master/samples/guide/src/main/java/okhttp3/recipes/UploadProgress.java")</f>
        <v/>
      </c>
      <c r="D1111" t="inlineStr">
        <is>
          <t>The provided code defines a Java class called `UploadProgress` that allows users to upload files to Imgur using OkHttp. The class has several methods, including a constructor, two inner classes (`UploadingCallback` and `CountingSink`), and three instance variables (`client`, `requestBuilder`, and `file`).
The `constructor` takes an `OkHttpClient`</t>
        </is>
      </c>
      <c r="E1111" t="n">
        <v>0.004</v>
      </c>
      <c r="F1111" t="n">
        <v>0.037</v>
      </c>
      <c r="G1111" t="n">
        <v>0.0847</v>
      </c>
      <c r="H1111" t="inlineStr">
        <is>
          <t>This Java package named `okhttp3.recipes` implements a feature called "upload progress" using the OkHttp library. The package provides a single class called `UploadProgress`, which allows users to upload files to a server while tracking their progress.
The implementation uses the `OkHttpClient` class from the OkHttp library to make HTTP requests to the server. It also uses</t>
        </is>
      </c>
      <c r="I1111" t="n">
        <v>0.0039</v>
      </c>
      <c r="J1111" t="n">
        <v>0.0615</v>
      </c>
      <c r="K1111" t="n">
        <v>0.1172</v>
      </c>
      <c r="L1111" t="inlineStr">
        <is>
          <t>The provided code defines a Java class called `UploadProgress` that allows users to upload files to Imgur using the OkHttp library. The class takes in a file path as input and uses the Imgur API to upload the file to their account. The uploaded file's URL is then returned to the user.
The class has several methods that handle different aspects of the upload</t>
        </is>
      </c>
      <c r="M1111" t="n">
        <v>0.0028</v>
      </c>
      <c r="N1111" t="n">
        <v>0.0274</v>
      </c>
      <c r="O1111" t="n">
        <v>0.0735</v>
      </c>
    </row>
    <row r="1112">
      <c r="A1112" t="inlineStr">
        <is>
          <t>okhttp</t>
        </is>
      </c>
      <c r="B1112" t="inlineStr">
        <is>
          <t>samples/guide/src/main/java/okhttp3/recipes/CancelCall.java</t>
        </is>
      </c>
      <c r="C1112">
        <f>HYPERLINK("https://github.com/square/okhttp/blob/master/samples/guide/src/main/java/okhttp3/recipes/CancelCall.java")</f>
        <v/>
      </c>
      <c r="D1112" t="inlineStr">
        <is>
          <t>This Java code defines a `CancelCall` class that allows cancelling HTTP requests using OkHttp. The class has a single method, `cancel`, which takes a request object as input and schedules it to be cancelled after a specified delay. The request will only be cancelled if it has not yet been executed. The class also includes a scheduled executor service to handle the task</t>
        </is>
      </c>
      <c r="E1112" t="n">
        <v>0.0034</v>
      </c>
      <c r="F1112" t="n">
        <v>0.0563</v>
      </c>
      <c r="G1112" t="n">
        <v>0.1111</v>
      </c>
      <c r="H1112" t="inlineStr">
        <is>
          <t>This Java code defines a `CancelCall` class that uses OkHttp to make HTTP requests and cancel them after a specified timeout period. The class has a single method called `cancel()` which takes a `Call` object as input and cancels it using the `cancel()` method of the `Call` interface. The class also includes a scheduled thread pool using the `Executors` class</t>
        </is>
      </c>
      <c r="I1112" t="n">
        <v>0.0036</v>
      </c>
      <c r="J1112" t="n">
        <v>0.0588</v>
      </c>
      <c r="K1112" t="n">
        <v>0.1136</v>
      </c>
      <c r="L1112" t="inlineStr">
        <is>
          <t>The `CancelCall` class provides a mechanism to cancel HTTP requests made using OkHttp. It uses a scheduled executor service to schedule a task that cancels the request after a specified timeout period. When the request completes or is canceled, the executor service is shut down. The class also includes comments describing the purpose of each method and the expected input parameters.</t>
        </is>
      </c>
      <c r="M1112" t="n">
        <v>0.003</v>
      </c>
      <c r="N1112" t="n">
        <v>0.029</v>
      </c>
      <c r="O1112" t="n">
        <v>0.0752</v>
      </c>
    </row>
    <row r="1113">
      <c r="A1113" t="inlineStr">
        <is>
          <t>okhttp</t>
        </is>
      </c>
      <c r="B1113" t="inlineStr">
        <is>
          <t>samples/guide/src/main/java/okhttp3/recipes/PerCallSettings.java</t>
        </is>
      </c>
      <c r="C1113">
        <f>HYPERLINK("https://github.com/square/okhttp/blob/master/samples/guide/src/main/java/okhttp3/recipes/PerCallSettings.java")</f>
        <v/>
      </c>
      <c r="D1113" t="inlineStr">
        <is>
          <t>The `PerCallSettings` class provides a way to set per-call settings for an HTTP client using the OkHttp library. It creates an instance of the `OkHttpClient` class and sets up a single request to be made. The request is created using the `Request.Builder` class and specifies the URL to which it should be sent. The method then calls the `client</t>
        </is>
      </c>
      <c r="E1113" t="n">
        <v>0.0031</v>
      </c>
      <c r="F1113" t="n">
        <v>0.029</v>
      </c>
      <c r="G1113" t="n">
        <v>0.07630000000000001</v>
      </c>
      <c r="H1113" t="inlineStr">
        <is>
          <t>The `PerCallSettings` class provides a way to set up HTTP requests with custom settings that apply only to that particular request. It does this by creating an instance of `OkHttpClient`, which is then used to make the request. The `run()` method takes no arguments and returns nothing. It sets up a request using the `new Request.Builder()` constructor, sets the URL to</t>
        </is>
      </c>
      <c r="I1113" t="n">
        <v>0.003</v>
      </c>
      <c r="J1113" t="n">
        <v>0.0571</v>
      </c>
      <c r="K1113" t="n">
        <v>0.1128</v>
      </c>
      <c r="L1113" t="inlineStr">
        <is>
          <t>The `PerCallSettings` class provides a simple example of how to set per-call timeout settings using the OkHttp library. It creates an instance of the `OkHttpClient` class and sets the connect and write timeouts to 1 second each. Then, it makes a GET request to the specified URL with the customized client object.</t>
        </is>
      </c>
      <c r="M1113" t="n">
        <v>0.0035</v>
      </c>
      <c r="N1113" t="n">
        <v>0.0328</v>
      </c>
      <c r="O1113" t="n">
        <v>0.0806</v>
      </c>
    </row>
    <row r="1114">
      <c r="A1114" t="inlineStr">
        <is>
          <t>okhttp</t>
        </is>
      </c>
      <c r="B1114" t="inlineStr">
        <is>
          <t>samples/guide/src/main/java/okhttp3/recipes/RewriteResponseCacheControl.java</t>
        </is>
      </c>
      <c r="C1114">
        <f>HYPERLINK("https://github.com/square/okhttp/blob/master/samples/guide/src/main/java/okhttp3/recipes/RewriteResponseCacheControl.java")</f>
        <v/>
      </c>
      <c r="D1114" t="inlineStr">
        <is>
          <t>The `RewriteResponseCacheControl` class provides an implementation of an HTTP interceptor that modifies the `cache-control` header returned by the server. It takes a `String` parameter representing the new value of the `cache-control` header and returns an instance of `okhttp3.Interceptor`. When called, it creates a new `Interceptor` object that overrides the `</t>
        </is>
      </c>
      <c r="E1114" t="n">
        <v>0.0037</v>
      </c>
      <c r="F1114" t="n">
        <v>0.0667</v>
      </c>
      <c r="G1114" t="n">
        <v>0.082</v>
      </c>
      <c r="H1114" t="inlineStr">
        <is>
          <t>This Java package named `okhttp3.recipes` implements a caching mechanism using OkHttp library. The package consists of a single class called `RewriteResponseCacheControl`. It has a `REWRITE_CACHE_CONTROL_INTERCEPT` field which is an instance of the `Interceptor` interface. The `intercept()` method of this object takes a request</t>
        </is>
      </c>
      <c r="I1114" t="n">
        <v>0.0051</v>
      </c>
      <c r="J1114" t="n">
        <v>0.0727</v>
      </c>
      <c r="K1114" t="n">
        <v>0.1304</v>
      </c>
      <c r="L1114" t="inlineStr">
        <is>
          <t>The `RewriteResponseCacheControl` class provides an implementation of an OkHttp interceptor that modifies the cache-control header returned by the server. It takes into account the complexity of the code, existing comments, commit messages, and other relevant contextual information to provide a concise and clear summary of its functionality.
The class defines a single instance field, `REWRITE_</t>
        </is>
      </c>
      <c r="M1114" t="n">
        <v>0.0033</v>
      </c>
      <c r="N1114" t="n">
        <v>0.0625</v>
      </c>
      <c r="O1114" t="n">
        <v>0.07870000000000001</v>
      </c>
    </row>
    <row r="1115">
      <c r="A1115" t="inlineStr">
        <is>
          <t>okhttp</t>
        </is>
      </c>
      <c r="B1115" t="inlineStr">
        <is>
          <t>samples/guide/src/main/java/okhttp3/recipes/ParseResponseWithMoshi.java</t>
        </is>
      </c>
      <c r="C1115">
        <f>HYPERLINK("https://github.com/square/okhttp/blob/master/samples/guide/src/main/java/okhttp3/recipes/ParseResponseWithMoshi.java")</f>
        <v/>
      </c>
      <c r="D1115" t="inlineStr">
        <is>
          <t>This Java code defines a `ParseResponseWithMoshi` class that uses the Moshi library to parse JSON responses from an HTTP request made using the OkHttpClient library. The class has two main methods: `parseResponse()` and `getJson()`.
The `parseResponse()` method takes a Response object as input and returns a Map containing the parsed JSON data. It does this by</t>
        </is>
      </c>
      <c r="E1115" t="n">
        <v>0.0039</v>
      </c>
      <c r="F1115" t="n">
        <v>0.0625</v>
      </c>
      <c r="G1115" t="n">
        <v>0.1172</v>
      </c>
      <c r="H1115" t="inlineStr">
        <is>
          <t>This Java code defines a `ParseResponseWithMoshi` class that uses the Moshi library to parse JSON responses from an HTTP request made using the OkHttpClient library. The class takes a URL as input and returns a parsed response object containing the deserialized data. The parsing process is done using the Moshi library's built-in JSON adapter mechanism, which allows for efficient and</t>
        </is>
      </c>
      <c r="I1115" t="n">
        <v>0.0036</v>
      </c>
      <c r="J1115" t="n">
        <v>0.0571</v>
      </c>
      <c r="K1115" t="n">
        <v>0.1136</v>
      </c>
      <c r="L1115" t="inlineStr">
        <is>
          <t>The `ParseResponseWithMoshi` class uses the Moshi library to parse JSON responses from an HTTP request made using the OkHttpClient. It takes a URL as input and returns a Map object containing the parsed response data.</t>
        </is>
      </c>
      <c r="M1115" t="n">
        <v>0.0053</v>
      </c>
      <c r="N1115" t="n">
        <v>0.0465</v>
      </c>
      <c r="O1115" t="n">
        <v>0.0935</v>
      </c>
    </row>
    <row r="1116">
      <c r="A1116" t="inlineStr">
        <is>
          <t>okhttp</t>
        </is>
      </c>
      <c r="B1116" t="inlineStr">
        <is>
          <t>samples/guide/src/main/java/okhttp3/recipes/PrintEventsNonConcurrent.java</t>
        </is>
      </c>
      <c r="C1116">
        <f>HYPERLINK("https://github.com/square/okhttp/blob/master/samples/guide/src/main/java/okhttp3/recipes/PrintEventsNonConcurrent.java")</f>
        <v/>
      </c>
      <c r="D1116" t="inlineStr">
        <is>
          <t>This code defines a custom `OkHttpClient` that allows users to specify a list of IP addresses and ports to proxy requests through. The client uses these proxies in a round-robin fashion to load balance traffic across multiple servers. It also includes an event listener that logs information about each request and response, including the URL, method, status code, and duration.</t>
        </is>
      </c>
      <c r="E1116" t="n">
        <v>0.0036</v>
      </c>
      <c r="F1116" t="n">
        <v>0.058</v>
      </c>
      <c r="G1116" t="n">
        <v>0.1136</v>
      </c>
      <c r="H1116" t="inlineStr">
        <is>
          <t>The code defines a Java package called `okhttp3.recipes` that provides a set of classes and interfaces related to HTTP requests and responses using the OkHttp library. The package includes several classes such as `OkHttpClient`, `Request`, `Response`, `Handshake`, and `EventListener`. These classes provide various functionalities such as creating HTTP connections, sending and receiving requests and</t>
        </is>
      </c>
      <c r="I1116" t="n">
        <v>0.0034</v>
      </c>
      <c r="J1116" t="n">
        <v>0.0635</v>
      </c>
      <c r="K1116" t="n">
        <v>0.0794</v>
      </c>
      <c r="L1116" t="inlineStr">
        <is>
          <t>The code defines a custom OkHttp client that supports proxying requests through a list of IP addresses. It achieves this by overriding the `newConnection` method of the `OkHttpClient` class, which creates new connections when making HTTP requests. The method first checks if there are any available proxies in the list, and if so, it returns a connection object that uses the</t>
        </is>
      </c>
      <c r="M1116" t="n">
        <v>0.003</v>
      </c>
      <c r="N1116" t="n">
        <v>0.058</v>
      </c>
      <c r="O1116" t="n">
        <v>0.1128</v>
      </c>
    </row>
    <row r="1117">
      <c r="A1117" t="inlineStr">
        <is>
          <t>okhttp</t>
        </is>
      </c>
      <c r="B1117" t="inlineStr">
        <is>
          <t>samples/guide/src/main/java/okhttp3/recipes/WebSocketEcho.java</t>
        </is>
      </c>
      <c r="C1117">
        <f>HYPERLINK("https://github.com/square/okhttp/blob/master/samples/guide/src/main/java/okhttp3/recipes/WebSocketEcho.java")</f>
        <v/>
      </c>
      <c r="D1117" t="inlineStr">
        <is>
          <t>The code is a Java implementation of a simple WebSocket client that connects to the echo.websocket.org server and sends three messages ("Hello...", "...World!", and "deadbeef" in hexadecimal format). It then closes the connection with status code 1000 and reason message "Goodbye, World!" after sending all the messages.</t>
        </is>
      </c>
      <c r="E1117" t="n">
        <v>0.0039</v>
      </c>
      <c r="F1117" t="n">
        <v>0.0702</v>
      </c>
      <c r="G1117" t="n">
        <v>0.08400000000000001</v>
      </c>
      <c r="H1117" t="inlineStr">
        <is>
          <t>This is a Java program that uses the OkHttp library to establish a WebSocket connection with a server at "ws://echo.websocket.org". The program sends three messages (two strings and one byte string) over the WebSocket connection before closing it with status code 1000 and a reason message "Goodbye, World!". The program also includes a `run()`</t>
        </is>
      </c>
      <c r="I1117" t="n">
        <v>0.004</v>
      </c>
      <c r="J1117" t="n">
        <v>0.0615</v>
      </c>
      <c r="K1117" t="n">
        <v>0.119</v>
      </c>
      <c r="L1117" t="inlineStr">
        <is>
          <t>The provided code is a Java implementation of a WebSocket echo client using the OkHttp library. It establishes a connection to a remote WebSocket server at "ws://echo.websocket.org" and sends a series of messages through the socket before closing the connection. The code also includes a custom listener that overrides the `onOpen` method to send three messages upon opening the socket</t>
        </is>
      </c>
      <c r="M1117" t="n">
        <v>0.003</v>
      </c>
      <c r="N1117" t="n">
        <v>0.0563</v>
      </c>
      <c r="O1117" t="n">
        <v>0.1136</v>
      </c>
    </row>
    <row r="1118">
      <c r="A1118" t="inlineStr">
        <is>
          <t>okhttp</t>
        </is>
      </c>
      <c r="B1118" t="inlineStr">
        <is>
          <t>samples/guide/src/main/java/okhttp3/recipes/PrintEvents.java</t>
        </is>
      </c>
      <c r="C1118">
        <f>HYPERLINK("https://github.com/square/okhttp/blob/master/samples/guide/src/main/java/okhttp3/recipes/PrintEvents.java")</f>
        <v/>
      </c>
      <c r="D1118" t="inlineStr">
        <is>
          <t>This code appears to be part of an OkHttp client implementation, specifically the `okhttp3` package. It defines several classes related to networking and HTTP requests, including `OkHttpClient`, `Call`, `EventListener`, `Handshake`, and others. The code also includes some utility methods for working with IP addresses and proxy servers.
The main class of interest seems to be</t>
        </is>
      </c>
      <c r="E1118" t="n">
        <v>0.004</v>
      </c>
      <c r="F1118" t="n">
        <v>0.09520000000000001</v>
      </c>
      <c r="G1118" t="n">
        <v>0.1181</v>
      </c>
      <c r="H1118" t="inlineStr">
        <is>
          <t>This code appears to be part of an HTTP client library called OkHttp. It defines several classes related to network communication, including `OkHttpClient`, `Call`, `EventListener`, `Connection`, and `Handshake`. The code also includes some utility methods for working with IP addresses and socket connections.
The `OkHttpClient` class is used to create instances of the HTTP client</t>
        </is>
      </c>
      <c r="I1118" t="n">
        <v>0.004</v>
      </c>
      <c r="J1118" t="n">
        <v>0.0635</v>
      </c>
      <c r="K1118" t="n">
        <v>0.1181</v>
      </c>
      <c r="L1118" t="inlineStr">
        <is>
          <t>The code defines a custom implementation of the OkHttp client that allows users to specify a list of proxy servers to be used when making HTTP requests. It also includes support for tracking connection counts and handshakes.</t>
        </is>
      </c>
      <c r="M1118" t="n">
        <v>0.005</v>
      </c>
      <c r="N1118" t="n">
        <v>0.08890000000000001</v>
      </c>
      <c r="O1118" t="n">
        <v>0.1376</v>
      </c>
    </row>
    <row r="1119">
      <c r="A1119" t="inlineStr">
        <is>
          <t>okhttp</t>
        </is>
      </c>
      <c r="B1119" t="inlineStr">
        <is>
          <t>samples/guide/src/main/java/okhttp3/recipes/CheckHandshake.java</t>
        </is>
      </c>
      <c r="C1119">
        <f>HYPERLINK("https://github.com/square/okhttp/blob/master/samples/guide/src/main/java/okhttp3/recipes/CheckHandshake.java")</f>
        <v/>
      </c>
      <c r="D1119" t="inlineStr">
        <is>
          <t>This code defines a `CheckHandshake` class that extends OkHttp's `Interceptor` interface. It overrides the `intercept` method to check if the server certificate chain is trusted using Java's built-in SSL/TLS API. If the certificate chain is not trusted, it throws an exception. The `intercept` method takes two parameters: a</t>
        </is>
      </c>
      <c r="E1119" t="n">
        <v>0.0038</v>
      </c>
      <c r="F1119" t="n">
        <v>0.0333</v>
      </c>
      <c r="G1119" t="n">
        <v>0.0833</v>
      </c>
      <c r="H1119" t="inlineStr">
        <is>
          <t>This code defines a Java package named `okhttp3.recipes` that provides a utility method called `checkHandshake()` for checking the validity of SSL/TLS handshakes. The method takes an instance of `OkHttpClient`, which is used to perform HTTP requests, and returns a boolean value indicating whether the handshake was successful.
The implementation of</t>
        </is>
      </c>
      <c r="I1119" t="n">
        <v>0.0044</v>
      </c>
      <c r="J1119" t="n">
        <v>0.0667</v>
      </c>
      <c r="K1119" t="n">
        <v>0.1639</v>
      </c>
      <c r="L1119" t="inlineStr">
        <is>
          <t>The `CheckHandshake` class provides a way to check the handshake between an HTTP client and server using OkHttp. It uses the `CertificatePinner` API to pin trusted certificates and rejects otherwise-trusted certificates.</t>
        </is>
      </c>
      <c r="M1119" t="n">
        <v>0.006</v>
      </c>
      <c r="N1119" t="n">
        <v>0.05</v>
      </c>
      <c r="O1119" t="n">
        <v>0.09710000000000001</v>
      </c>
    </row>
    <row r="1120">
      <c r="A1120" t="inlineStr">
        <is>
          <t>okhttp</t>
        </is>
      </c>
      <c r="B1120" t="inlineStr">
        <is>
          <t>samples/guide/src/main/java/okhttp3/recipes/CustomCipherSuites.java</t>
        </is>
      </c>
      <c r="C1120">
        <f>HYPERLINK("https://github.com/square/okhttp/blob/master/samples/guide/src/main/java/okhttp3/recipes/CustomCipherSuites.java")</f>
        <v/>
      </c>
      <c r="D1120" t="inlineStr">
        <is>
          <t>This code appears to be a Java implementation of an HTTP client using the OkHttp library. It includes several classes and methods that provide various functionalities related to HTTP requests and responses, such as setting up SSL connections, handling redirects, and parsing response headers. The main class, `OkHttpClient`, creates an instance of the `OkHttpClient` class and sets up an SSL connection using the</t>
        </is>
      </c>
      <c r="E1120" t="n">
        <v>0.0034</v>
      </c>
      <c r="F1120" t="n">
        <v>0.1127</v>
      </c>
      <c r="G1120" t="n">
        <v>0.1481</v>
      </c>
      <c r="H1120" t="inlineStr">
        <is>
          <t>This code appears to be a Java package called `okhttp3.recipes` that provides some recipes for using OkHttp library. The package includes several classes and interfaces related to networking, including `OkHttpClient`, `Request`, `Response`, and `Interceptor`.
The code also includes a class called `TlsUtil` which has methods for creating SSL contexts and config</t>
        </is>
      </c>
      <c r="I1120" t="n">
        <v>0.0043</v>
      </c>
      <c r="J1120" t="n">
        <v>0.0667</v>
      </c>
      <c r="K1120" t="n">
        <v>0.122</v>
      </c>
      <c r="L1120" t="inlineStr">
        <is>
          <t>The code in this package provides a set of recipes for working with OkHttp client library. It includes several classes that provide different functionalities such as creating custom SSL socket factories, implementing secure DNS lookups, and providing utility methods for working with HTTP requests and responses.</t>
        </is>
      </c>
      <c r="M1120" t="n">
        <v>0.004</v>
      </c>
      <c r="N1120" t="n">
        <v>0.1111</v>
      </c>
      <c r="O1120" t="n">
        <v>0.1695</v>
      </c>
    </row>
    <row r="1121">
      <c r="A1121" t="inlineStr">
        <is>
          <t>okhttp</t>
        </is>
      </c>
      <c r="B1121" t="inlineStr">
        <is>
          <t>samples/guide/src/main/java/okhttp3/recipes/CacheResponse.java</t>
        </is>
      </c>
      <c r="C1121">
        <f>HYPERLINK("https://github.com/square/okhttp/blob/master/samples/guide/src/main/java/okhttp3/recipes/CacheResponse.java")</f>
        <v/>
      </c>
      <c r="D1121" t="inlineStr">
        <is>
          <t>The `okhttp3.recipes.CacheResponse` class provides a simple example of using the OkHttp caching mechanism to store responses from a server in a local cache directory. It demonstrates how to create an instance of the `OkHttpClient` class with a customized cache configuration, make a request to a server, receive a response, and then retrieve the cached response if it exists</t>
        </is>
      </c>
      <c r="E1121" t="n">
        <v>0.0031</v>
      </c>
      <c r="F1121" t="n">
        <v>0.0294</v>
      </c>
      <c r="G1121" t="n">
        <v>0.0769</v>
      </c>
      <c r="H1121" t="inlineStr">
        <is>
          <t>The provided code defines a Java class named `CacheResponse` that uses the OkHttp library to make HTTP requests and store their responses in a local cache. The class has a constructor that takes a `File` object representing the directory where the cache should be stored, and it also has a method called `execute()` that makes an HTTP request using the OkHttp client instance and returns the response as</t>
        </is>
      </c>
      <c r="I1121" t="n">
        <v>0.0027</v>
      </c>
      <c r="J1121" t="n">
        <v>0.0263</v>
      </c>
      <c r="K1121" t="n">
        <v>0.07140000000000001</v>
      </c>
      <c r="L1121" t="inlineStr">
        <is>
          <t>The provided code implements a caching mechanism using the OkHttp library. It creates a `Cache` object that stores responses from HTTP requests in a specified directory. When a request is made, the code checks if there's a cached response available, and if so, returns it instead of making a network request. If no cached response exists, it makes a network request and caches the response for</t>
        </is>
      </c>
      <c r="M1121" t="n">
        <v>0.0033</v>
      </c>
      <c r="N1121" t="n">
        <v>0.0533</v>
      </c>
      <c r="O1121" t="n">
        <v>0.1087</v>
      </c>
    </row>
    <row r="1122">
      <c r="A1122" t="inlineStr">
        <is>
          <t>okhttp</t>
        </is>
      </c>
      <c r="B1122" t="inlineStr">
        <is>
          <t>samples/guide/src/main/java/okhttp3/recipes/LoggingInterceptors.java</t>
        </is>
      </c>
      <c r="C1122">
        <f>HYPERLINK("https://github.com/square/okhttp/blob/master/samples/guide/src/main/java/okhttp3/recipes/LoggingInterceptors.java")</f>
        <v/>
      </c>
      <c r="D1122" t="inlineStr">
        <is>
          <t>The code defines two classes: `LoggingInterceptors` and `LoggingInterceptor`.
The `LoggingInterceptors` class has a single method called `log()`, which takes a `String` message as input and logs it using Java's built-in logging mechanism.
The `LoggingInterceptor` class extends the `Interceptor` interface from the `ok</t>
        </is>
      </c>
      <c r="E1122" t="n">
        <v>0.0044</v>
      </c>
      <c r="F1122" t="n">
        <v>0.0385</v>
      </c>
      <c r="G1122" t="n">
        <v>0.0877</v>
      </c>
      <c r="H1122" t="inlineStr">
        <is>
          <t>This Java package named `okhttp3.recipes` implements logging interceptor classes using the OkHttp library. The main purpose of these interceptors is to log HTTP requests and responses made through the OkHttp client. The package includes two classes: `LoggingInterceptor` and `ChainedInterceptor`.
The `LoggingInterceptor` class extends the `Interceptor` interface from OkHttp</t>
        </is>
      </c>
      <c r="I1122" t="n">
        <v>0.005</v>
      </c>
      <c r="J1122" t="n">
        <v>0.1053</v>
      </c>
      <c r="K1122" t="n">
        <v>0.1667</v>
      </c>
      <c r="L1122" t="inlineStr">
        <is>
          <t>The provided code defines a Java package named `okhttp3.recipes` that provides logging interceptors for HTTP requests using the OkHttp library. The package includes a single class named `LoggingInterceptors`, which has a constructor method that creates an instance of the `OkHttpClient.Builder` class and sets up a chain of interceptors to log HTTP request and response data.</t>
        </is>
      </c>
      <c r="M1122" t="n">
        <v>0.0033</v>
      </c>
      <c r="N1122" t="n">
        <v>0.0308</v>
      </c>
      <c r="O1122" t="n">
        <v>0.07870000000000001</v>
      </c>
    </row>
    <row r="1123">
      <c r="A1123" t="inlineStr">
        <is>
          <t>okhttp</t>
        </is>
      </c>
      <c r="B1123" t="inlineStr">
        <is>
          <t>samples/guide/src/main/java/okhttp3/recipes/PreemptiveAuth.java</t>
        </is>
      </c>
      <c r="C1123">
        <f>HYPERLINK("https://github.com/square/okhttp/blob/master/samples/guide/src/main/java/okhttp3/recipes/PreemptiveAuth.java")</f>
        <v/>
      </c>
      <c r="D1123" t="inlineStr">
        <is>
          <t>The `PreemptiveAuth` class provides a basic authentication interceptor that can be used to preemptively authenticate requests made using the `OkHttpClient`. It does this by adding a custom authorization header to each request before it is sent. The authorization header includes the username and password specified in the constructor. This allows the server to authenticate the user without requiring them to provide credentials for</t>
        </is>
      </c>
      <c r="E1123" t="n">
        <v>0.0034</v>
      </c>
      <c r="F1123" t="n">
        <v>0.0563</v>
      </c>
      <c r="G1123" t="n">
        <v>0.1111</v>
      </c>
      <c r="H1123" t="inlineStr">
        <is>
          <t>This Java package `okhttp3.recipes` contains an implementation of preemptive authentication using the OkHttp library. The package includes a single class called `PreemptiveAuth`, which has a constructor that takes no arguments and creates a new instance of the `OkHttpClient` class with a custom interceptor added to it. The interceptor intercepts outgoing requests and adds a</t>
        </is>
      </c>
      <c r="I1123" t="n">
        <v>0.004</v>
      </c>
      <c r="J1123" t="n">
        <v>0.09520000000000001</v>
      </c>
      <c r="K1123" t="n">
        <v>0.1587</v>
      </c>
      <c r="L1123" t="inlineStr">
        <is>
          <t>The code defines a `PreemptiveAuth` class that extends the `OkHttpClient` class from the `okhttp3` library. It adds a basic authentication interceptor using the `BasicAuthInterceptor` class, which sets the `Authorization` header with a preemptive value based on the username and password passed in the constructor. The `client` field is initialized with the builder</t>
        </is>
      </c>
      <c r="M1123" t="n">
        <v>0.0035</v>
      </c>
      <c r="N1123" t="n">
        <v>0.0333</v>
      </c>
      <c r="O1123" t="n">
        <v>0.0806</v>
      </c>
    </row>
    <row r="1124">
      <c r="A1124" t="inlineStr">
        <is>
          <t>okhttp</t>
        </is>
      </c>
      <c r="B1124" t="inlineStr">
        <is>
          <t>samples/guide/src/main/java/okhttp3/recipes/ConfigureTimeouts.java</t>
        </is>
      </c>
      <c r="C1124">
        <f>HYPERLINK("https://github.com/square/okhttp/blob/master/samples/guide/src/main/java/okhttp3/recipes/ConfigureTimeouts.java")</f>
        <v/>
      </c>
      <c r="D1124" t="inlineStr">
        <is>
          <t>The `ConfigureTimeouts` class provides methods for configuring timeouts for HTTP requests using the OkHttp library. It creates an instance of the `OkHttpClient` class and sets the connect and write timeouts to 5 seconds each using the `connectTimeout()` and `writeTimeout()` methods respectively.</t>
        </is>
      </c>
      <c r="E1124" t="n">
        <v>0.0045</v>
      </c>
      <c r="F1124" t="n">
        <v>0.0408</v>
      </c>
      <c r="G1124" t="n">
        <v>0.0885</v>
      </c>
      <c r="H1124" t="inlineStr">
        <is>
          <t>This Java package named `okhttp3.recipes` provides a utility class called `ConfigureTimeouts`. The class takes no arguments in its constructor and creates a new instance of `OkHttpClient` using the builder pattern. It then sets the connect timeout to 5 seconds and the write timeout to 5 seconds using the `.connectTimeout()` and `.writeTimeout()` methods respectively.</t>
        </is>
      </c>
      <c r="I1124" t="n">
        <v>0.0041</v>
      </c>
      <c r="J1124" t="n">
        <v>0.0645</v>
      </c>
      <c r="K1124" t="n">
        <v>0.12</v>
      </c>
      <c r="L1124" t="inlineStr">
        <is>
          <t>The `ConfigureTimeouts` class sets up timeouts for HTTP requests using the OkHttp library. It creates a new instance of the `OkHttpClient` builder and configures two timeouts: connect timeout and write timeout. These timeouts specify how long the client should wait before establishing a connection or sending data over an established connection. The class then builds the `OkHttpClient</t>
        </is>
      </c>
      <c r="M1124" t="n">
        <v>0.0032</v>
      </c>
      <c r="N1124" t="n">
        <v>0.0308</v>
      </c>
      <c r="O1124" t="n">
        <v>0.0775</v>
      </c>
    </row>
    <row r="1125">
      <c r="A1125" t="inlineStr">
        <is>
          <t>okhttp</t>
        </is>
      </c>
      <c r="B1125" t="inlineStr">
        <is>
          <t>samples/guide/src/main/java/okhttp3/recipes/kt/AsynchronousGet.kt</t>
        </is>
      </c>
      <c r="C1125">
        <f>HYPERLINK("https://github.com/square/okhttp/blob/master/samples/guide/src/main/java/okhttp3/recipes/kt/AsynchronousGet.kt")</f>
        <v/>
      </c>
      <c r="D1125" t="inlineStr">
        <is>
          <t>The `AsynchronousGet` class provides a simple example of how to make an asynchronous HTTP GET request using the OkHttp library. It creates an instance of the `OkHttpClient` class and uses it to create a new call object for the given URL. The `run()` method then executes the call asynchronously, passing in a callback that will be executed when the response is received.</t>
        </is>
      </c>
      <c r="E1125" t="n">
        <v>0.0029</v>
      </c>
      <c r="F1125" t="n">
        <v>0.0286</v>
      </c>
      <c r="G1125" t="n">
        <v>0.0746</v>
      </c>
      <c r="H1125" t="inlineStr">
        <is>
          <t>This code defines a class called `AsynchronousGet` that uses the OkHttp library to make an HTTP GET request asynchronously. The class has a single method called `run()` which creates a new instance of the OkHttpClient, builds a request object using the builder pattern, and then calls the `newCall()` method on the client to start the asynchronous request. The callback passed to</t>
        </is>
      </c>
      <c r="I1125" t="n">
        <v>0.0036</v>
      </c>
      <c r="J1125" t="n">
        <v>0.058</v>
      </c>
      <c r="K1125" t="n">
        <v>0.1128</v>
      </c>
      <c r="L1125" t="inlineStr">
        <is>
          <t>The provided code implements an asynchronous HTTP GET request using the OkHttp library. It creates an instance of `OkHttpClient` and uses it to create a new call object for the specified URL. The method then executes the call asynchronously, passing in a callback that will handle the response when it arrives. If there is an error during the execution of the call, the callback's</t>
        </is>
      </c>
      <c r="M1125" t="n">
        <v>0.0034</v>
      </c>
      <c r="N1125" t="n">
        <v>0.0548</v>
      </c>
      <c r="O1125" t="n">
        <v>0.1103</v>
      </c>
    </row>
    <row r="1126">
      <c r="A1126" t="inlineStr">
        <is>
          <t>okhttp</t>
        </is>
      </c>
      <c r="B1126" t="inlineStr">
        <is>
          <t>samples/guide/src/main/java/okhttp3/recipes/kt/CertificatePinning.kt</t>
        </is>
      </c>
      <c r="C1126">
        <f>HYPERLINK("https://github.com/square/okhttp/blob/master/samples/guide/src/main/java/okhttp3/recipes/kt/CertificatePinning.kt")</f>
        <v/>
      </c>
      <c r="D1126" t="inlineStr">
        <is>
          <t>The `CertificatePinning` class provides a way to pin SSL certificates for HTTP requests using the OkHttp library. It uses the `CertificatePinner` class from OkHttp to specify the expected hashes of the server's SSL certificate. The `build()` method creates a new instance of the `CertificatePinner` class and adds the specified pins. The</t>
        </is>
      </c>
      <c r="E1126" t="n">
        <v>0.0036</v>
      </c>
      <c r="F1126" t="n">
        <v>0.0333</v>
      </c>
      <c r="G1126" t="n">
        <v>0.0813</v>
      </c>
      <c r="H1126" t="inlineStr">
        <is>
          <t>This code defines a class called `CertificatePinning` that uses the OkHttp library to make HTTP requests while pinning the server's SSL certificate fingerprint. The class takes no arguments in its constructor and has one method, `get`, which returns an `OkHttpClient` object configured with the specified certificate pinner. The `CertificatePinner` object is created using</t>
        </is>
      </c>
      <c r="I1126" t="n">
        <v>0.0041</v>
      </c>
      <c r="J1126" t="n">
        <v>0.0645</v>
      </c>
      <c r="K1126" t="n">
        <v>0.12</v>
      </c>
      <c r="L1126" t="inlineStr">
        <is>
          <t>The code defines a `CertificatePinning` class that uses the `OkHttpClient` library to make HTTP requests while pinning the server's SSL certificate. It achieves this by using the `CertificatePinner` class from the same library, which allows specifying one or more SHA-256 hashes of the expected server certificates. The `Certificate</t>
        </is>
      </c>
      <c r="M1126" t="n">
        <v>0</v>
      </c>
      <c r="N1126" t="n">
        <v>0.0345</v>
      </c>
      <c r="O1126" t="n">
        <v>0.0833</v>
      </c>
    </row>
    <row r="1127">
      <c r="A1127" t="inlineStr">
        <is>
          <t>okhttp</t>
        </is>
      </c>
      <c r="B1127" t="inlineStr">
        <is>
          <t>samples/guide/src/main/java/okhttp3/recipes/kt/PostStreaming.kt</t>
        </is>
      </c>
      <c r="C1127">
        <f>HYPERLINK("https://github.com/square/okhttp/blob/master/samples/guide/src/main/java/okhttp3/recipes/kt/PostStreaming.kt")</f>
        <v/>
      </c>
      <c r="D1127" t="inlineStr">
        <is>
          <t>The `PostStreaming` class provides a way to send a streaming request body using the OkHttp library. It has one method called `run`, which takes no arguments and returns nothing.
The implementation of `run` creates a new instance of `OkHttpClient`, which is used to make the HTTP request. It then constructs a `Request` object that specifies the URL</t>
        </is>
      </c>
      <c r="E1127" t="n">
        <v>0.0032</v>
      </c>
      <c r="F1127" t="n">
        <v>0.0308</v>
      </c>
      <c r="G1127" t="n">
        <v>0.1163</v>
      </c>
      <c r="H1127" t="inlineStr">
        <is>
          <t>This code defines a `PostStreaming` class that uses the `OkHttpClient` library to make HTTP POST requests with streaming bodies. The class has a single method called `run()` which makes a POST request to the given URL with the specified body content. The body content is passed as a `RequestBody` instance, which can be created from a string using the `okhttp3</t>
        </is>
      </c>
      <c r="I1127" t="n">
        <v>0.003</v>
      </c>
      <c r="J1127" t="n">
        <v>0.0294</v>
      </c>
      <c r="K1127" t="n">
        <v>0.07580000000000001</v>
      </c>
      <c r="L1127" t="inlineStr">
        <is>
          <t>The provided code implements a POST request using streaming API from the `okhttp3` library. It takes in a URL as input and sends a JSON payload containing a list of strings. The code uses the `OkHttpClient` class to create a new HTTP client instance, which is then used to send the POST request. The request body is created using a custom implementation of the `RequestBody</t>
        </is>
      </c>
      <c r="M1127" t="n">
        <v>0.0033</v>
      </c>
      <c r="N1127" t="n">
        <v>0.0548</v>
      </c>
      <c r="O1127" t="n">
        <v>0.1095</v>
      </c>
    </row>
    <row r="1128">
      <c r="A1128" t="inlineStr">
        <is>
          <t>okhttp</t>
        </is>
      </c>
      <c r="B1128" t="inlineStr">
        <is>
          <t>samples/guide/src/main/java/okhttp3/recipes/kt/PostFile.kt</t>
        </is>
      </c>
      <c r="C1128">
        <f>HYPERLINK("https://github.com/square/okhttp/blob/master/samples/guide/src/main/java/okhttp3/recipes/kt/PostFile.kt")</f>
        <v/>
      </c>
      <c r="D1128" t="inlineStr">
        <is>
          <t>The `PostFile` class provides a simple example of how to upload a file using the `okhttp3` library in Kotlin. It creates an instance of the `OkHttpClient` class and uses it to send a POST request to a server with the contents of a local file attached as the request body. The method takes a single argument, which should be a `File` object</t>
        </is>
      </c>
      <c r="E1128" t="n">
        <v>0.0029</v>
      </c>
      <c r="F1128" t="n">
        <v>0.0286</v>
      </c>
      <c r="G1128" t="n">
        <v>0.0746</v>
      </c>
      <c r="H1128" t="inlineStr">
        <is>
          <t>This code defines a class called `PostFile` that uses the OkHttp library to send a POST request to a server with a file attached as the request body. The class has a single method called `run()` which takes no parameters and returns nothing.
The `run()` method first creates an instance of the `OkHttpClient` class and stores it in a field called `client</t>
        </is>
      </c>
      <c r="I1128" t="n">
        <v>0.0035</v>
      </c>
      <c r="J1128" t="n">
        <v>0.0571</v>
      </c>
      <c r="K1128" t="n">
        <v>0.1119</v>
      </c>
      <c r="L1128" t="inlineStr">
        <is>
          <t>The provided code is a Kotlin implementation of a POST request that sends a file to a server using the `okhttp` library. It defines a `PostFile` class with a single method called `run`, which takes no arguments and returns nothing.
The method first creates an instance of the `OkHttpClient` class and then uses it to create a new HTTP request object.</t>
        </is>
      </c>
      <c r="M1128" t="n">
        <v>0.003</v>
      </c>
      <c r="N1128" t="n">
        <v>0.058</v>
      </c>
      <c r="O1128" t="n">
        <v>0.1128</v>
      </c>
    </row>
    <row r="1129">
      <c r="A1129" t="inlineStr">
        <is>
          <t>okhttp</t>
        </is>
      </c>
      <c r="B1129" t="inlineStr">
        <is>
          <t>samples/guide/src/main/java/okhttp3/recipes/kt/AccessHeaders.kt</t>
        </is>
      </c>
      <c r="C1129">
        <f>HYPERLINK("https://github.com/square/okhttp/blob/master/samples/guide/src/main/java/okhttp3/recipes/kt/AccessHeaders.kt")</f>
        <v/>
      </c>
      <c r="D1129" t="inlineStr">
        <is>
          <t>The `AccessHeaders` class provides a simple example of how to access HTTP headers using the OkHttp library. It creates an instance of the `OkHttpClient` class and uses it to send a GET request to the specified URL. The request includes two custom headers: `User-Agent` and `Accept`. The response from the server is then printed to the console.</t>
        </is>
      </c>
      <c r="E1129" t="n">
        <v>0.0032</v>
      </c>
      <c r="F1129" t="n">
        <v>0.0303</v>
      </c>
      <c r="G1129" t="n">
        <v>0.0775</v>
      </c>
      <c r="H1129" t="inlineStr">
        <is>
          <t>This code defines a class called `AccessHeaders` that uses the OkHttp library to make a GET request to the GitHub API and print out the response headers. The class has one method called `run()` which makes the HTTP request and prints out the headers using the `println()` function. The method also includes some comments describing what it does and why it's important.</t>
        </is>
      </c>
      <c r="I1129" t="n">
        <v>0.0035</v>
      </c>
      <c r="J1129" t="n">
        <v>0.08450000000000001</v>
      </c>
      <c r="K1129" t="n">
        <v>0.1119</v>
      </c>
      <c r="L1129" t="inlineStr">
        <is>
          <t>The provided code defines a class called `AccessHeaders` that uses the OkHttp library to send HTTP requests to the GitHub API. It demonstrates how to set headers using the `header()` method and retrieve them using the `headers()` property.</t>
        </is>
      </c>
      <c r="M1129" t="n">
        <v>0.0049</v>
      </c>
      <c r="N1129" t="n">
        <v>0.0435</v>
      </c>
      <c r="O1129" t="n">
        <v>0.09089999999999999</v>
      </c>
    </row>
    <row r="1130">
      <c r="A1130" t="inlineStr">
        <is>
          <t>okhttp</t>
        </is>
      </c>
      <c r="B1130" t="inlineStr">
        <is>
          <t>samples/guide/src/main/java/okhttp3/recipes/kt/UploadProgress.kt</t>
        </is>
      </c>
      <c r="C1130">
        <f>HYPERLINK("https://github.com/square/okhttp/blob/master/samples/guide/src/main/java/okhttp3/recipes/kt/UploadProgress.kt")</f>
        <v/>
      </c>
      <c r="D1130" t="inlineStr">
        <is>
          <t>The `UploadProgress` class provides a way to track the progress of uploading a file using OkHttp. It does this by extending the `ForwardingSink` class from OkHttp's `okio` package and overriding its `write()` method to report progress as data is written to it. When the `upload()` function is called, it creates an instance of `</t>
        </is>
      </c>
      <c r="E1130" t="n">
        <v>0.0034</v>
      </c>
      <c r="F1130" t="n">
        <v>0.0645</v>
      </c>
      <c r="G1130" t="n">
        <v>0.119</v>
      </c>
      <c r="H1130" t="inlineStr">
        <is>
          <t>This code defines a class called `UploadProgress` that provides a way to track the progress of uploading data using OkHttp. The class has a single method called `upload()` that takes a string parameter representing the path to a file to be uploaded, as well as a callback function that will be invoked periodically during the upload process. The method returns a `Call` object from the Ok</t>
        </is>
      </c>
      <c r="I1130" t="n">
        <v>0.0028</v>
      </c>
      <c r="J1130" t="n">
        <v>0.0541</v>
      </c>
      <c r="K1130" t="n">
        <v>0.0725</v>
      </c>
      <c r="L1130" t="inlineStr">
        <is>
          <t>The `UploadProgress` class provides a way to track the progress of uploading files using OkHttp. It takes a `File` object as input and returns a `RequestBody` that can be used to send the file data over HTTP. The request body includes a callback function that updates the caller with the current progress of the upload.</t>
        </is>
      </c>
      <c r="M1130" t="n">
        <v>0.0033</v>
      </c>
      <c r="N1130" t="n">
        <v>0.0317</v>
      </c>
      <c r="O1130" t="n">
        <v>0.07870000000000001</v>
      </c>
    </row>
    <row r="1131">
      <c r="A1131" t="inlineStr">
        <is>
          <t>okhttp</t>
        </is>
      </c>
      <c r="B1131" t="inlineStr">
        <is>
          <t>samples/guide/src/main/java/okhttp3/recipes/kt/ConfigureTimeouts.kt</t>
        </is>
      </c>
      <c r="C1131">
        <f>HYPERLINK("https://github.com/square/okhttp/blob/master/samples/guide/src/main/java/okhttp3/recipes/kt/ConfigureTimeouts.kt")</f>
        <v/>
      </c>
      <c r="D1131" t="inlineStr">
        <is>
          <t>The code defines a `ConfigureTimeouts` class that configures various timeouts for an HTTP client using the `okhttp3` library. It sets the following timeouts:
* Connect timeout: 5 seconds
* Write timeout: 5 seconds
* Read timeout: 5 seconds
* Call timeout: 10 seconds
The class uses the `Ok</t>
        </is>
      </c>
      <c r="E1131" t="n">
        <v>0</v>
      </c>
      <c r="F1131" t="n">
        <v>0</v>
      </c>
      <c r="G1131" t="n">
        <v>0.0417</v>
      </c>
      <c r="H1131" t="inlineStr">
        <is>
          <t>This code defines a class called `ConfigureTimeouts` that configures timeouts for HTTP requests using the OkHttp library. The class has one method, `configure`, which takes no arguments and returns nothing. It sets up an instance of the `OkHttpClient` class with customized timeout values for connect, write, read, and call timeouts. The timeout values are set to</t>
        </is>
      </c>
      <c r="I1131" t="n">
        <v>0.0039</v>
      </c>
      <c r="J1131" t="n">
        <v>0.0625</v>
      </c>
      <c r="K1131" t="n">
        <v>0.1172</v>
      </c>
      <c r="L1131" t="inlineStr">
        <is>
          <t>The provided code defines a class called `ConfigureTimeouts` that configures timeouts for HTTP requests using the OkHttp library. It sets connect, write, read, and call timeouts to 5 seconds each, as well as a total call timeout of 10 seconds.</t>
        </is>
      </c>
      <c r="M1131" t="n">
        <v>0.0046</v>
      </c>
      <c r="N1131" t="n">
        <v>0.0417</v>
      </c>
      <c r="O1131" t="n">
        <v>0.0893</v>
      </c>
    </row>
    <row r="1132">
      <c r="A1132" t="inlineStr">
        <is>
          <t>okhttp</t>
        </is>
      </c>
      <c r="B1132" t="inlineStr">
        <is>
          <t>samples/guide/src/main/java/okhttp3/recipes/kt/YubikeyClientAuth.kt</t>
        </is>
      </c>
      <c r="C1132">
        <f>HYPERLINK("https://github.com/square/okhttp/blob/master/samples/guide/src/main/java/okhttp3/recipes/kt/YubikeyClientAuth.kt")</f>
        <v/>
      </c>
      <c r="D1132" t="inlineStr">
        <is>
          <t>This code defines a set of functions that implement various cryptographic operations using the Java Security API. The functions include:
* `initTls`: Initializes an SSL context with a custom key manager that uses a hardcoded certificate chain and private key.
* `getCertificateChain`: Returns the X.509 certificate chain associated with the given alias.
* `get</t>
        </is>
      </c>
      <c r="E1132" t="n">
        <v>0.004</v>
      </c>
      <c r="F1132" t="n">
        <v>0.1333</v>
      </c>
      <c r="G1132" t="n">
        <v>0.1587</v>
      </c>
      <c r="H1132" t="inlineStr">
        <is>
          <t>This code defines a set of classes and functions related to implementing SSL/TLS connections using OkHttp library in Kotlin. The code includes several files, each containing a different component of the overall system.
The main class, `OkHttpClient`, provides a high-level API for making HTTP requests over SSL/TLS connections. It uses the `okhttp3` package and</t>
        </is>
      </c>
      <c r="I1132" t="n">
        <v>0.004</v>
      </c>
      <c r="J1132" t="n">
        <v>0.09229999999999999</v>
      </c>
      <c r="K1132" t="n">
        <v>0.1587</v>
      </c>
      <c r="L1132" t="inlineStr">
        <is>
          <t>The code provides a custom implementation of SSLContext that uses KeyStoreBuilderParameters to create a KeyStore from a PEM certificate chain. It also includes a custom X509ExtendedKeyManager that allows users to specify their own callback mechanism for handling client authentication. The code is written in Kotlin and uses the OkHttp library for HTTP requests.</t>
        </is>
      </c>
      <c r="M1132" t="n">
        <v>0.0035</v>
      </c>
      <c r="N1132" t="n">
        <v>0.06560000000000001</v>
      </c>
      <c r="O1132" t="n">
        <v>0.12</v>
      </c>
    </row>
    <row r="1133">
      <c r="A1133" t="inlineStr">
        <is>
          <t>okhttp</t>
        </is>
      </c>
      <c r="B1133" t="inlineStr">
        <is>
          <t>samples/guide/src/main/java/okhttp3/recipes/kt/CacheResponse.kt</t>
        </is>
      </c>
      <c r="C1133">
        <f>HYPERLINK("https://github.com/square/okhttp/blob/master/samples/guide/src/main/java/okhttp3/recipes/kt/CacheResponse.kt")</f>
        <v/>
      </c>
      <c r="D1133" t="inlineStr">
        <is>
          <t>The `CacheResponse` class provides a simple API for caching HTTP responses using OkHttp. It takes a `File` object representing the directory where the cache should be stored as its constructor argument, and it uses that directory to create an instance of the `okhttp3.Cache` class. The `maxSize` parameter of the `Cache` constructor specifies the maximum size of the cache</t>
        </is>
      </c>
      <c r="E1133" t="n">
        <v>0.0031</v>
      </c>
      <c r="F1133" t="n">
        <v>0.0299</v>
      </c>
      <c r="G1133" t="n">
        <v>0.0769</v>
      </c>
      <c r="H1133" t="inlineStr">
        <is>
          <t>This code defines a class called `CacheResponse` that takes a `File` object representing the location where the cache should be stored as its only constructor argument. It then creates an instance of `OkHttpClient`, which is used to make HTTP requests, and sets up a cache using the specified directory and maximum size. The class also has a single method called `execute` that takes a `</t>
        </is>
      </c>
      <c r="I1133" t="n">
        <v>0.0033</v>
      </c>
      <c r="J1133" t="n">
        <v>0.0556</v>
      </c>
      <c r="K1133" t="n">
        <v>0.1095</v>
      </c>
      <c r="L1133" t="inlineStr">
        <is>
          <t>The provided code defines a `CacheResponse` class that provides a response from a server using an HTTP request. It uses the `okhttp3` library to make the request and store the response in a local cache. The constructor takes a `File` object representing the location where the cache will be stored as input. The class has two methods: `request()` which makes the HTTP request and</t>
        </is>
      </c>
      <c r="M1133" t="n">
        <v>0.0028</v>
      </c>
      <c r="N1133" t="n">
        <v>0.0278</v>
      </c>
      <c r="O1133" t="n">
        <v>0.0735</v>
      </c>
    </row>
    <row r="1134">
      <c r="A1134" t="inlineStr">
        <is>
          <t>okhttp</t>
        </is>
      </c>
      <c r="B1134" t="inlineStr">
        <is>
          <t>samples/guide/src/main/java/okhttp3/recipes/kt/PostString.kt</t>
        </is>
      </c>
      <c r="C1134">
        <f>HYPERLINK("https://github.com/square/okhttp/blob/master/samples/guide/src/main/java/okhttp3/recipes/kt/PostString.kt")</f>
        <v/>
      </c>
      <c r="D1134" t="inlineStr">
        <is>
          <t>This code defines a `PostString` class that uses the `OkHttpClient` library to send a POST request with a string body. The constructor takes no arguments, but it initializes an instance variable called `client` which is an instance of `OkHttpClient`.
The `run()` method is where the magic happens. It first creates a new `Request` object using the</t>
        </is>
      </c>
      <c r="E1134" t="n">
        <v>0.0033</v>
      </c>
      <c r="F1134" t="n">
        <v>0.0312</v>
      </c>
      <c r="G1134" t="n">
        <v>0.0781</v>
      </c>
      <c r="H1134" t="inlineStr">
        <is>
          <t>This code defines a class called `PostString` that uses the OkHttp library to send a POST request to a server with a string body. The class has a single method called `run()` which sends the request using the `client` object. The request includes a header with the content type set to `application/json`, and the body of the request is a JSON string containing the text</t>
        </is>
      </c>
      <c r="I1134" t="n">
        <v>0.0033</v>
      </c>
      <c r="J1134" t="n">
        <v>0.0541</v>
      </c>
      <c r="K1134" t="n">
        <v>0.1095</v>
      </c>
      <c r="L1134" t="inlineStr">
        <is>
          <t>The `PostString` class provides a method called `run()` that sends a POST request to a server with a string body. It uses the `OkHttpClient` library to make the HTTP request. The method takes no arguments and returns nothing. The code includes comments explaining the purpose of each section of the code.</t>
        </is>
      </c>
      <c r="M1134" t="n">
        <v>0.0036</v>
      </c>
      <c r="N1134" t="n">
        <v>0.0339</v>
      </c>
      <c r="O1134" t="n">
        <v>0.0813</v>
      </c>
    </row>
    <row r="1135">
      <c r="A1135" t="inlineStr">
        <is>
          <t>okhttp</t>
        </is>
      </c>
      <c r="B1135" t="inlineStr">
        <is>
          <t>samples/guide/src/main/java/okhttp3/recipes/kt/CancelCall.kt</t>
        </is>
      </c>
      <c r="C1135">
        <f>HYPERLINK("https://github.com/square/okhttp/blob/master/samples/guide/src/main/java/okhttp3/recipes/kt/CancelCall.kt")</f>
        <v/>
      </c>
      <c r="D1135" t="inlineStr">
        <is>
          <t>The provided code defines a `CancelCall` class that demonstrates how to cancel a running HTTP request using the OkHttp library. It uses a scheduled thread pool to schedule a task that cancels the request after a specified amount of time.
Here's a high-level overview of the code:
* The `CancelCall` class has two main methods: `</t>
        </is>
      </c>
      <c r="E1135" t="n">
        <v>0</v>
      </c>
      <c r="F1135" t="n">
        <v>0</v>
      </c>
      <c r="G1135" t="n">
        <v>0.0391</v>
      </c>
      <c r="H1135" t="inlineStr">
        <is>
          <t>This code defines a class called `CancelCall` that uses the OkHttp library to make HTTP requests. The class has a single method called `run()`, which makes an HTTP GET request to the specified URL using the `OkHttpClient`. The request is made asynchronously using a scheduled thread pool, and the response is returned as a `Response` object.
The class also includes</t>
        </is>
      </c>
      <c r="I1135" t="n">
        <v>0.0036</v>
      </c>
      <c r="J1135" t="n">
        <v>0.0588</v>
      </c>
      <c r="K1135" t="n">
        <v>0.1136</v>
      </c>
      <c r="L1135" t="inlineStr">
        <is>
          <t>The provided code implements a simple HTTP GET request using the `okhttp` library. It sets up a scheduled thread pool with one worker thread and uses it to execute the request. The `run()` method creates a new `Request` object with the specified URL, adds it to the queue, and starts the execution of the request. If the request takes more than 5 seconds to complete,</t>
        </is>
      </c>
      <c r="M1135" t="n">
        <v>0.0033</v>
      </c>
      <c r="N1135" t="n">
        <v>0.0548</v>
      </c>
      <c r="O1135" t="n">
        <v>0.1095</v>
      </c>
    </row>
    <row r="1136">
      <c r="A1136" t="inlineStr">
        <is>
          <t>okhttp</t>
        </is>
      </c>
      <c r="B1136" t="inlineStr">
        <is>
          <t>samples/guide/src/main/java/okhttp3/recipes/kt/PostForm.kt</t>
        </is>
      </c>
      <c r="C1136">
        <f>HYPERLINK("https://github.com/square/okhttp/blob/master/samples/guide/src/main/java/okhttp3/recipes/kt/PostForm.kt")</f>
        <v/>
      </c>
      <c r="D1136" t="inlineStr">
        <is>
          <t>The provided code defines a class called `PostForm` that uses the OkHttp library to send a POST request with form data. The class has a single method called `run()` which sends a POST request to a specified URL with the form data. The form data is built using the `FormBody` builder and the URL is converted to an HTTP URL using the `toHttpUrl()` extension</t>
        </is>
      </c>
      <c r="E1136" t="n">
        <v>0.0028</v>
      </c>
      <c r="F1136" t="n">
        <v>0.0278</v>
      </c>
      <c r="G1136" t="n">
        <v>0.0735</v>
      </c>
      <c r="H1136" t="inlineStr">
        <is>
          <t>This code defines a class called `PostForm` that uses the OkHttp library to send a POST request with a form body containing a search query. The class has a single method called `run()` which sends the request using the `client` object. The `formBody` variable is created using the `FormBody.Builder` class and set to contain a search query. The `request</t>
        </is>
      </c>
      <c r="I1136" t="n">
        <v>0.0037</v>
      </c>
      <c r="J1136" t="n">
        <v>0.0588</v>
      </c>
      <c r="K1136" t="n">
        <v>0.1145</v>
      </c>
      <c r="L1136" t="inlineStr">
        <is>
          <t>The `PostForm` class provides a simple example of how to send a POST request with a form body using the OkHttp library. It takes a single argument, `url`, which specifies the URL to post to, and uses that URL as the target of the HTTP request. The method `run()` sends a POST request with a form body containing a search query string set to "J</t>
        </is>
      </c>
      <c r="M1136" t="n">
        <v>0.0028</v>
      </c>
      <c r="N1136" t="n">
        <v>0.0274</v>
      </c>
      <c r="O1136" t="n">
        <v>0.073</v>
      </c>
    </row>
    <row r="1137">
      <c r="A1137" t="inlineStr">
        <is>
          <t>okhttp</t>
        </is>
      </c>
      <c r="B1137" t="inlineStr">
        <is>
          <t>samples/guide/src/main/java/okhttp3/recipes/kt/CustomTrust.kt</t>
        </is>
      </c>
      <c r="C1137">
        <f>HYPERLINK("https://github.com/square/okhttp/blob/master/samples/guide/src/main/java/okhttp3/recipes/kt/CustomTrust.kt")</f>
        <v/>
      </c>
      <c r="D1137" t="inlineStr">
        <is>
          <t>This code defines a custom trust manager that allows OkHttp clients to trust additional SSL/TLS certificate authorities beyond those supported by the default Java TrustManager implementation. The custom trust manager uses a list of PEM-encoded X.509 certificates as input and adds them to the client's trust store during initialization.
The `CustomTrust` class extends the `ok</t>
        </is>
      </c>
      <c r="E1137" t="n">
        <v>0.004</v>
      </c>
      <c r="F1137" t="n">
        <v>0.0896</v>
      </c>
      <c r="G1137" t="n">
        <v>0.1181</v>
      </c>
      <c r="H1137" t="inlineStr">
        <is>
          <t>This code defines a custom trust manager that allows OkHttp to trust self-signed SSL/TLS certificates. It uses the `okhttp3` library and includes comments explaining each part of the implementation. The main class, `CustomTrust`, creates an instance of the `OkHttpClient` class and sets up a custom trust manager using the `HandshakeCertificates`</t>
        </is>
      </c>
      <c r="I1137" t="n">
        <v>0.0044</v>
      </c>
      <c r="J1137" t="n">
        <v>0.1</v>
      </c>
      <c r="K1137" t="n">
        <v>0.123</v>
      </c>
      <c r="L1137" t="inlineStr">
        <is>
          <t>The provided code defines a custom trust manager that allows OkHttp clients to trust self-signed SSL certificates. It achieves this by using the `HandshakeCertificates` class from the OkHttp library to create a certificate chain that includes both the client's private key and the server's public key. The resulting certificate chain is then used to construct an `X50</t>
        </is>
      </c>
      <c r="M1137" t="n">
        <v>0.0032</v>
      </c>
      <c r="N1137" t="n">
        <v>0.0588</v>
      </c>
      <c r="O1137" t="n">
        <v>0.1163</v>
      </c>
    </row>
    <row r="1138">
      <c r="A1138" t="inlineStr">
        <is>
          <t>okhttp</t>
        </is>
      </c>
      <c r="B1138" t="inlineStr">
        <is>
          <t>samples/guide/src/main/java/okhttp3/recipes/kt/PostMultipart.kt</t>
        </is>
      </c>
      <c r="C1138">
        <f>HYPERLINK("https://github.com/square/okhttp/blob/master/samples/guide/src/main/java/okhttp3/recipes/kt/PostMultipart.kt")</f>
        <v/>
      </c>
      <c r="D1138" t="inlineStr">
        <is>
          <t>The `PostMultipart` class provides a method called `run()` that uses the `OkHttpClient` library to send a multipart HTTP request to the imgur image upload API. The method takes no arguments and returns nothing.
The method first creates an instance of the `OkHttpClient` class and stores it in a field named `client`. It then defines a variable named</t>
        </is>
      </c>
      <c r="E1138" t="n">
        <v>0.0032</v>
      </c>
      <c r="F1138" t="n">
        <v>0.0308</v>
      </c>
      <c r="G1138" t="n">
        <v>0.0775</v>
      </c>
      <c r="H1138" t="inlineStr">
        <is>
          <t>This code defines a class called `PostMultipart` that allows users to post files to a server using the Multipart MIME format. The class uses the OkHttp library to make HTTP requests and handle responses.
The `run()` method takes no arguments and makes a POST request to the specified URL with a multipart body containing the file data. The request includes headers such as Content</t>
        </is>
      </c>
      <c r="I1138" t="n">
        <v>0.0034</v>
      </c>
      <c r="J1138" t="n">
        <v>0.0556</v>
      </c>
      <c r="K1138" t="n">
        <v>0.1103</v>
      </c>
      <c r="L1138" t="inlineStr">
        <is>
          <t>The provided code defines a `PostMultipart` class that uses the OkHttp library to make a multipart HTTP request to the imgur image upload API. The class has a single method, `run()`, which creates an instance of `OkHttpClient`, prepares a multipart form body containing an image file, and sends the request using the `POST` method. The response from the</t>
        </is>
      </c>
      <c r="M1138" t="n">
        <v>0.0031</v>
      </c>
      <c r="N1138" t="n">
        <v>0.0303</v>
      </c>
      <c r="O1138" t="n">
        <v>0.0769</v>
      </c>
    </row>
    <row r="1139">
      <c r="A1139" t="inlineStr">
        <is>
          <t>okhttp</t>
        </is>
      </c>
      <c r="B1139" t="inlineStr">
        <is>
          <t>samples/guide/src/main/java/okhttp3/recipes/kt/DevServer.kt</t>
        </is>
      </c>
      <c r="C1139">
        <f>HYPERLINK("https://github.com/square/okhttp/blob/master/samples/guide/src/main/java/okhttp3/recipes/kt/DevServer.kt")</f>
        <v/>
      </c>
      <c r="D1139" t="inlineStr">
        <is>
          <t>This code defines a `DevServer` class that provides a simple HTTP server using OkHttp. The server uses a MockWebServer to handle incoming requests and returns a response based on the request method and URL. The server also includes support for redirecting URLs and handling SSL certificates.</t>
        </is>
      </c>
      <c r="E1139" t="n">
        <v>0.0048</v>
      </c>
      <c r="F1139" t="n">
        <v>0.0741</v>
      </c>
      <c r="G1139" t="n">
        <v>0.1271</v>
      </c>
      <c r="H1139" t="inlineStr">
        <is>
          <t>The provided code defines a class called `DevServer` that serves as a development server for an application using OkHttp. It includes several fields and methods related to HTTP requests and responses, such as `handshakeCertificates`, `serve`, and `start`.
The `handshakeCertificates` field is used to configure SSL/TLS certificates for the server</t>
        </is>
      </c>
      <c r="I1139" t="n">
        <v>0.0037</v>
      </c>
      <c r="J1139" t="n">
        <v>0.0345</v>
      </c>
      <c r="K1139" t="n">
        <v>0.08260000000000001</v>
      </c>
      <c r="L1139" t="inlineStr">
        <is>
          <t>The `DevServer` class provides a simple HTTP server that can be used during development to test HTTP requests and responses. It uses the OkHttp library to handle incoming requests and respond with mock data. The server supports HTTPS connections using self-signed certificates generated by the `TlsUtil` class from the OkHttp library. The `serve` method starts the server and listens for</t>
        </is>
      </c>
      <c r="M1139" t="n">
        <v>0.003</v>
      </c>
      <c r="N1139" t="n">
        <v>0.029</v>
      </c>
      <c r="O1139" t="n">
        <v>0.07580000000000001</v>
      </c>
    </row>
    <row r="1140">
      <c r="A1140" t="inlineStr">
        <is>
          <t>okhttp</t>
        </is>
      </c>
      <c r="B1140" t="inlineStr">
        <is>
          <t>samples/guide/src/main/java/okhttp3/recipes/kt/PerCallSettings.kt</t>
        </is>
      </c>
      <c r="C1140">
        <f>HYPERLINK("https://github.com/square/okhttp/blob/master/samples/guide/src/main/java/okhttp3/recipes/kt/PerCallSettings.kt")</f>
        <v/>
      </c>
      <c r="D1140" t="inlineStr">
        <is>
          <t>The `PerCallSettings` class provides a way to set per-call timeouts and retry policies for HTTP requests using the OkHttp library. It does this by creating an instance of the `OkHttpClient` class and setting its configuration options before making a request. The `run()` method demonstrates how to make a GET request to a specified URL with a 1 second timeout.</t>
        </is>
      </c>
      <c r="E1140" t="n">
        <v>0.0031</v>
      </c>
      <c r="F1140" t="n">
        <v>0.0588</v>
      </c>
      <c r="G1140" t="n">
        <v>0.1145</v>
      </c>
      <c r="H1140" t="inlineStr">
        <is>
          <t>The provided code defines a class called `PerCallSettings` that has a single method called `run()`. When invoked, it sends a GET request to the specified URL using the OkHttp library. The request is configured with a timeout of 5 seconds, which can be adjusted as needed. If the response takes longer than 5 seconds to arrive, the request will be cancelled and an</t>
        </is>
      </c>
      <c r="I1140" t="n">
        <v>0.0029</v>
      </c>
      <c r="J1140" t="n">
        <v>0.0282</v>
      </c>
      <c r="K1140" t="n">
        <v>0.0741</v>
      </c>
      <c r="L1140" t="inlineStr">
        <is>
          <t>The provided code defines a `PerCallSettings` class that sets up an HTTP client with custom settings for each call. It uses the `OkHttpClient` library and creates a new instance of it with default settings. Then, it adds some custom settings such as setting the connect timeout to 1 second using the `setConnectTimeout()` method. Finally, it runs a GET request to the</t>
        </is>
      </c>
      <c r="M1140" t="n">
        <v>0.003</v>
      </c>
      <c r="N1140" t="n">
        <v>0.029</v>
      </c>
      <c r="O1140" t="n">
        <v>0.0752</v>
      </c>
    </row>
    <row r="1141">
      <c r="A1141" t="inlineStr">
        <is>
          <t>okhttp</t>
        </is>
      </c>
      <c r="B1141" t="inlineStr">
        <is>
          <t>samples/guide/src/main/java/okhttp3/recipes/kt/ParseResponseWithMoshi.kt</t>
        </is>
      </c>
      <c r="C1141">
        <f>HYPERLINK("https://github.com/square/okhttp/blob/master/samples/guide/src/main/java/okhttp3/recipes/kt/ParseResponseWithMoshi.kt")</f>
        <v/>
      </c>
      <c r="D1141" t="inlineStr">
        <is>
          <t>The provided code defines a class called `ParseResponseWithMoshi` that uses the Moshi library to parse JSON responses from an HTTP API. It has one method, `run()`, which makes a GET request to the API using an instance of `OkHttpClient`, parses the response body as a `Gist` object using the Moshi adapter for the `Gist` class</t>
        </is>
      </c>
      <c r="E1141" t="n">
        <v>0</v>
      </c>
      <c r="F1141" t="n">
        <v>0</v>
      </c>
      <c r="G1141" t="n">
        <v>0.0394</v>
      </c>
      <c r="H1141" t="inlineStr">
        <is>
          <t>This code defines a class called `ParseResponseWithMoshi` that uses the Moshi library to parse JSON responses from an HTTP API. The class has one method, `run()`, which sends a GET request to a specified URL using the OkHttpClient library and parses the response as a Java object using the Moshi adapter. The parsed object is then returned as a result of the</t>
        </is>
      </c>
      <c r="I1141" t="n">
        <v>0.0035</v>
      </c>
      <c r="J1141" t="n">
        <v>0.0571</v>
      </c>
      <c r="K1141" t="n">
        <v>0.1119</v>
      </c>
      <c r="L1141" t="inlineStr">
        <is>
          <t>The `ParseResponseWithMoshi` class uses the Moshi library to parse JSON responses from the GitHub API. It creates an instance of the `OkHttpClient`, sends a GET request to the specified URL, and then parses the response using the `gistJsonAdapter`. The parsed data is then returned as a `Gist` object.</t>
        </is>
      </c>
      <c r="M1141" t="n">
        <v>0.0038</v>
      </c>
      <c r="N1141" t="n">
        <v>0.0357</v>
      </c>
      <c r="O1141" t="n">
        <v>0.0833</v>
      </c>
    </row>
    <row r="1142">
      <c r="A1142" t="inlineStr">
        <is>
          <t>okhttp</t>
        </is>
      </c>
      <c r="B1142" t="inlineStr">
        <is>
          <t>samples/guide/src/main/java/okhttp3/recipes/kt/WiresharkExample.kt</t>
        </is>
      </c>
      <c r="C1142">
        <f>HYPERLINK("https://github.com/square/okhttp/blob/master/samples/guide/src/main/java/okhttp3/recipes/kt/WiresharkExample.kt")</f>
        <v/>
      </c>
      <c r="D1142" t="inlineStr">
        <is>
          <t>This code appears to be a Kotlin implementation of various HTTP client recipes from the OkHttp library. The code defines several classes and functions related to SSL socket handling, logging, and call execution. It also includes some utility methods for working with files and secrets.
The `OkHttpClient` class is the main entry point for making HTTP requests using OkHttp. It provides methods</t>
        </is>
      </c>
      <c r="E1142" t="n">
        <v>0.0035</v>
      </c>
      <c r="F1142" t="n">
        <v>0.1143</v>
      </c>
      <c r="G1142" t="n">
        <v>0.1493</v>
      </c>
      <c r="H1142" t="inlineStr">
        <is>
          <t>This code appears to be a collection of Kotlin classes and functions related to the OkHttp library, which provides a high-performance HTTP client for Android and Java applications. The code includes several files that define different types of objects, such as `OkHttpClient`, `Request`, `Response`, and `Interceptor`. There are also several functions defined within these classes, including `newCall()`,</t>
        </is>
      </c>
      <c r="I1142" t="n">
        <v>0.0038</v>
      </c>
      <c r="J1142" t="n">
        <v>0.09089999999999999</v>
      </c>
      <c r="K1142" t="n">
        <v>0.1163</v>
      </c>
      <c r="L1142" t="inlineStr">
        <is>
          <t>The provided code defines a class called `OkHttpTlsSocketFactory` that extends the `javax.net.ssl.SSLSocketFactory` class. It overrides several methods to customize the behavior of SSL sockets created through OkHttp's `newWebSocket()` method. Specifically, it sets up a custom trust manager that allows self-signed certificates, and it adds</t>
        </is>
      </c>
      <c r="M1142" t="n">
        <v>0.0042</v>
      </c>
      <c r="N1142" t="n">
        <v>0.0351</v>
      </c>
      <c r="O1142" t="n">
        <v>0.0431</v>
      </c>
    </row>
    <row r="1143">
      <c r="A1143" t="inlineStr">
        <is>
          <t>okhttp</t>
        </is>
      </c>
      <c r="B1143" t="inlineStr">
        <is>
          <t>samples/guide/src/main/java/okhttp3/recipes/kt/Authenticate.kt</t>
        </is>
      </c>
      <c r="C1143">
        <f>HYPERLINK("https://github.com/square/okhttp/blob/master/samples/guide/src/main/java/okhttp3/recipes/kt/Authenticate.kt")</f>
        <v/>
      </c>
      <c r="D1143" t="inlineStr">
        <is>
          <t>The provided code defines an `Authenticate` class that extends the `Authenticator` interface from the `okhttp3` library. It overrides the `authenticate` method to provide authentication credentials when challenged by an HTTP server.
The implementation uses the `Credentials` class from the same library to generate a basic authentication header with the given username and password. If the</t>
        </is>
      </c>
      <c r="E1143" t="n">
        <v>0.0033</v>
      </c>
      <c r="F1143" t="n">
        <v>0.0635</v>
      </c>
      <c r="G1143" t="n">
        <v>0.1181</v>
      </c>
      <c r="H1143" t="inlineStr">
        <is>
          <t>The provided code defines a class called `Authenticate` that uses the OkHttp library to implement authentication for HTTP requests. It does so by creating an instance of the `OkHttpClient` class and passing it an implementation of the `Authenticator` interface as a parameter. This allows the client to handle authentication challenges automatically when making requests.
The `Authenticate`</t>
        </is>
      </c>
      <c r="I1143" t="n">
        <v>0.0039</v>
      </c>
      <c r="J1143" t="n">
        <v>0.0625</v>
      </c>
      <c r="K1143" t="n">
        <v>0.1563</v>
      </c>
      <c r="L1143" t="inlineStr">
        <is>
          <t>The provided code defines a class called `Authenticate` that uses the `OkHttpClient` library to perform authentication using the HTTP Basic Authentication scheme. The class takes an instance of `OkHttpClient` as a constructor argument and provides an implementation of the `Authenticator` interface that can be used to authenticate requests made through the client.
The `Authenticate`</t>
        </is>
      </c>
      <c r="M1143" t="n">
        <v>0.0034</v>
      </c>
      <c r="N1143" t="n">
        <v>0.0323</v>
      </c>
      <c r="O1143" t="n">
        <v>0.119</v>
      </c>
    </row>
    <row r="1144">
      <c r="A1144" t="inlineStr">
        <is>
          <t>okhttp</t>
        </is>
      </c>
      <c r="B1144" t="inlineStr">
        <is>
          <t>samples/guide/src/main/java/okhttp3/recipes/kt/SynchronousGet.kt</t>
        </is>
      </c>
      <c r="C1144">
        <f>HYPERLINK("https://github.com/square/okhttp/blob/master/samples/guide/src/main/java/okhttp3/recipes/kt/SynchronousGet.kt")</f>
        <v/>
      </c>
      <c r="D1144" t="inlineStr">
        <is>
          <t>The provided code defines a class called `SynchronousGet` that makes a GET request to a specified URL using the OkHttp library. It uses the `client.newCall()` method to create a new HTTP call object and then calls the `execute()` method on it to execute the request synchronously. If the response is successful, the code reads the response body as a string and prints it</t>
        </is>
      </c>
      <c r="E1144" t="n">
        <v>0.0029</v>
      </c>
      <c r="F1144" t="n">
        <v>0.0278</v>
      </c>
      <c r="G1144" t="n">
        <v>0.0741</v>
      </c>
      <c r="H1144" t="inlineStr">
        <is>
          <t>This code defines a class called `SynchronousGet` that uses the `OkHttpClient` library to make a synchronous HTTP GET request to a specified URL. The method `run()` makes the request using the `client.newCall()` method and then reads the response body using the `response.body()` method. If the response is successful, it returns the string representation of the response</t>
        </is>
      </c>
      <c r="I1144" t="n">
        <v>0.0039</v>
      </c>
      <c r="J1144" t="n">
        <v>0.0606</v>
      </c>
      <c r="K1144" t="n">
        <v>0.1172</v>
      </c>
      <c r="L1144" t="inlineStr">
        <is>
          <t>The provided code implements a synchronous HTTP GET request using the OkHttp library. It creates an instance of `OkHttpClient` and uses it to send a request to the specified URL. If the response is successful, it reads the response body as a string and prints it to the console.</t>
        </is>
      </c>
      <c r="M1144" t="n">
        <v>0.0045</v>
      </c>
      <c r="N1144" t="n">
        <v>0.0702</v>
      </c>
      <c r="O1144" t="n">
        <v>0.124</v>
      </c>
    </row>
    <row r="1145">
      <c r="A1145" t="inlineStr">
        <is>
          <t>okhttp</t>
        </is>
      </c>
      <c r="B1145" t="inlineStr">
        <is>
          <t>samples/guide/src/main/java/okhttp3/recipes/kt/PostPath.kt</t>
        </is>
      </c>
      <c r="C1145">
        <f>HYPERLINK("https://github.com/square/okhttp/blob/master/samples/guide/src/main/java/okhttp3/recipes/kt/PostPath.kt")</f>
        <v/>
      </c>
      <c r="D1145" t="inlineStr">
        <is>
          <t>This code defines a `PostPath` class that allows users to post files from their local machine to a server using the OkHttp library. The class has the following methods:
* `post`: Takes a path to a file as input and posts it to a specified URL. It uses the `OkHttpClient` object to send a POST request with the file's contents as</t>
        </is>
      </c>
      <c r="E1145" t="n">
        <v>0.0036</v>
      </c>
      <c r="F1145" t="n">
        <v>0.058</v>
      </c>
      <c r="G1145" t="n">
        <v>0.1128</v>
      </c>
      <c r="H1145" t="inlineStr">
        <is>
          <t>This code defines a `PostPath` class that uses the OkHttp library to send HTTP POST requests with a request body containing the contents of a specified path. The class has several methods, including a constructor that takes a string representing the path to be sent as a parameter, and a `send()` method that sends the request using the OkHttpClient instance created in the constructor. The class also</t>
        </is>
      </c>
      <c r="I1145" t="n">
        <v>0.0032</v>
      </c>
      <c r="J1145" t="n">
        <v>0.0533</v>
      </c>
      <c r="K1145" t="n">
        <v>0.1079</v>
      </c>
      <c r="L1145" t="inlineStr">
        <is>
          <t>The provided code is a Kotlin implementation of a POST request that sends a file from a local path to a server using the OkHttp library. The code uses the `OkHttpClient` class to create a new HTTP client instance, and the `Request` class to build a new request object. The request body is created using the `asRequestBody()` method, which takes a string representation</t>
        </is>
      </c>
      <c r="M1145" t="n">
        <v>0.0029</v>
      </c>
      <c r="N1145" t="n">
        <v>0.0563</v>
      </c>
      <c r="O1145" t="n">
        <v>0.1111</v>
      </c>
    </row>
    <row r="1146">
      <c r="A1146" t="inlineStr">
        <is>
          <t>okhttp</t>
        </is>
      </c>
      <c r="B1146" t="inlineStr">
        <is>
          <t>samples/guide/src/test/kotlin/okhttp3/AllMainsTest.kt</t>
        </is>
      </c>
      <c r="C1146">
        <f>HYPERLINK("https://github.com/square/okhttp/blob/master/samples/guide/src/test/kotlin/okhttp3/AllMainsTest.kt")</f>
        <v/>
      </c>
      <c r="D1146" t="inlineStr">
        <is>
          <t>The provided code defines a set of test cases using JUnit Jupiter's `@ParameterizedTest` annotation. Each test case takes a list of files as input and performs some operation on them. The `prefix` variable is used to determine whether the samples directory exists and modify the path accordingly. The `mainFiles()` function returns a list of all files found in the specified directory.</t>
        </is>
      </c>
      <c r="E1146" t="n">
        <v>0.003</v>
      </c>
      <c r="F1146" t="n">
        <v>0.0286</v>
      </c>
      <c r="G1146" t="n">
        <v>0.0752</v>
      </c>
      <c r="H1146" t="inlineStr">
        <is>
          <t>This codebase contains Java source files that implement various backend software components using the OkHttp library. The codebase includes unit tests that test the functionality of these components. The project has been tagged as "backend" and is currently in development mode. The code size is approximately 1000 lines, and the complexity is O(N), where N represents the number of files in the</t>
        </is>
      </c>
      <c r="I1146" t="n">
        <v>0.0042</v>
      </c>
      <c r="J1146" t="n">
        <v>0.1127</v>
      </c>
      <c r="K1146" t="n">
        <v>0.1866</v>
      </c>
      <c r="L1146" t="inlineStr">
        <is>
          <t>The provided code is a part of the OkHttp library, which is a popular HTTP client library for Java and Android applications. It appears to be a test suite that includes some unit tests and integration tests for the library's features.
The code defines several functions, including `main`, `test`, and `testWithTimeout`. These functions seem to be responsible for running various types of</t>
        </is>
      </c>
      <c r="M1146" t="n">
        <v>0.0029</v>
      </c>
      <c r="N1146" t="n">
        <v>0.0563</v>
      </c>
      <c r="O1146" t="n">
        <v>0.0746</v>
      </c>
    </row>
    <row r="1147">
      <c r="A1147" t="inlineStr">
        <is>
          <t>okhttp</t>
        </is>
      </c>
      <c r="B1147" t="inlineStr">
        <is>
          <t>samples/unixdomainsockets/src/main/java/okhttp3/unixdomainsockets/UnixDomainServerSocketFactory.java</t>
        </is>
      </c>
      <c r="C1147">
        <f>HYPERLINK("https://github.com/square/okhttp/blob/master/samples/unixdomainsockets/src/main/java/okhttp3/unixdomainsockets/UnixDomainServerSocketFactory.java")</f>
        <v/>
      </c>
      <c r="D1147" t="inlineStr">
        <is>
          <t>This code appears to be part of a Java library for working with Unix domain sockets. It defines several classes and interfaces related to socket communication using these sockets. The main class, `OkHttpUnixDomainSocket`, provides a way to create a server socket that listens for incoming connections on a Unix domain socket path. Other classes, such as `UnixServerSocketChannel` and</t>
        </is>
      </c>
      <c r="E1147" t="n">
        <v>0.0037</v>
      </c>
      <c r="F1147" t="n">
        <v>0.0606</v>
      </c>
      <c r="G1147" t="n">
        <v>0.1154</v>
      </c>
      <c r="H1147" t="inlineStr">
        <is>
          <t>This code appears to be a Java implementation of Unix domain sockets using the JNR library. It provides a ServerSocket class that extends the standard Java ServerSocket class but uses JNR's UnixServerSocketChannel instead of the standard SocketChannel. The class also includes methods for binding, listening, accepting connections, and closing the socket. Additionally, it includes comments explaining the purpose of each method</t>
        </is>
      </c>
      <c r="I1147" t="n">
        <v>0.0036</v>
      </c>
      <c r="J1147" t="n">
        <v>0.0857</v>
      </c>
      <c r="K1147" t="n">
        <v>0.1504</v>
      </c>
      <c r="L1147" t="inlineStr">
        <is>
          <t>The provided code defines a class named `OkHttpUnixDomainSockets` that provides a Unix domain socket implementation for OkHttp. It extends the `jnr.unixsocket.UnixServerSocketChannel` class and overrides several methods to provide custom functionality. The class has two constructors, one that takes no arguments and another that takes a `String` argument representing the path</t>
        </is>
      </c>
      <c r="M1147" t="n">
        <v>0.0037</v>
      </c>
      <c r="N1147" t="n">
        <v>0.1</v>
      </c>
      <c r="O1147" t="n">
        <v>0.082</v>
      </c>
    </row>
    <row r="1148">
      <c r="A1148" t="inlineStr">
        <is>
          <t>okhttp</t>
        </is>
      </c>
      <c r="B1148" t="inlineStr">
        <is>
          <t>samples/unixdomainsockets/src/main/java/okhttp3/unixdomainsockets/UnixDomainSocketFactory.java</t>
        </is>
      </c>
      <c r="C1148">
        <f>HYPERLINK("https://github.com/square/okhttp/blob/master/samples/unixdomainsockets/src/main/java/okhttp3/unixdomainsockets/UnixDomainSocketFactory.java")</f>
        <v/>
      </c>
      <c r="D1148" t="inlineStr">
        <is>
          <t>This is a Java implementation of a `SocketFactory` that can be used to create sockets connected to UNIX domain sockets. The factory uses the `jnr.unixsocket` library to interact with the underlying UNIX socket system. It provides a simple API for creating new sockets and connecting them to existing UNIX domain sockets.
The `UnixDomainSocketFactory</t>
        </is>
      </c>
      <c r="E1148" t="n">
        <v>0.0041</v>
      </c>
      <c r="F1148" t="n">
        <v>0.0968</v>
      </c>
      <c r="G1148" t="n">
        <v>0.16</v>
      </c>
      <c r="H1148" t="inlineStr">
        <is>
          <t>This is a Java library that provides an implementation of the `SocketFactory` interface using UNIX domain sockets. The library is designed to mimic the behavior of traditional TCP socket connections, but instead uses UNIX domain sockets for communication between processes running on the same host.
The library consists of a single class called `UnixDomainSocketFactory`, which implements the `Socket</t>
        </is>
      </c>
      <c r="I1148" t="n">
        <v>0.0037</v>
      </c>
      <c r="J1148" t="n">
        <v>0.0606</v>
      </c>
      <c r="K1148" t="n">
        <v>0.1154</v>
      </c>
      <c r="L1148" t="inlineStr">
        <is>
          <t>The provided code defines a custom `SocketFactory` implementation that allows OkHttp clients to connect to servers using UNIX domain sockets. The factory creates a new socket channel from a given path, which can be used to establish connections to servers running on the same host. The implementation uses JNR's `jnr.unixsocket.UnixSocketChannel` API to create the socket channels</t>
        </is>
      </c>
      <c r="M1148" t="n">
        <v>0</v>
      </c>
      <c r="N1148" t="n">
        <v>0.0299</v>
      </c>
      <c r="O1148" t="n">
        <v>0.0781</v>
      </c>
    </row>
    <row r="1149">
      <c r="A1149" t="inlineStr">
        <is>
          <t>okhttp</t>
        </is>
      </c>
      <c r="B1149" t="inlineStr">
        <is>
          <t>samples/unixdomainsockets/src/main/java/okhttp3/unixdomainsockets/TunnelingUnixSocket.java</t>
        </is>
      </c>
      <c r="C1149">
        <f>HYPERLINK("https://github.com/square/okhttp/blob/master/samples/unixdomainsockets/src/main/java/okhttp3/unixdomainsockets/TunnelingUnixSocket.java")</f>
        <v/>
      </c>
      <c r="D1149" t="inlineStr">
        <is>
          <t>The provided code defines a custom implementation of a Unix domain socket channel that allows for the creation of a tunnel between two endpoints using the `jnr` library. It provides a way to connect to a remote endpoint over a Unix domain socket, similar to how TCP sockets work over IP addresses. The class includes methods for creating a new socket, connecting to a remote address, and reading and</t>
        </is>
      </c>
      <c r="E1149" t="n">
        <v>0.0026</v>
      </c>
      <c r="F1149" t="n">
        <v>0.0519</v>
      </c>
      <c r="G1149" t="n">
        <v>0.1064</v>
      </c>
      <c r="H1149" t="inlineStr">
        <is>
          <t>The provided code defines a package called `okhttp3.unixdomainsockets` that provides a subtype of the Java standard library's `java.net.Socket` class called `jnr.unixsocket.UnixSocket`. This subclass adds additional features such as support for Unix domain sockets, which allow communication between processes running on the same machine without going through the network stack</t>
        </is>
      </c>
      <c r="I1149" t="n">
        <v>0.0037</v>
      </c>
      <c r="J1149" t="n">
        <v>0.0317</v>
      </c>
      <c r="K1149" t="n">
        <v>0.08260000000000001</v>
      </c>
      <c r="L1149" t="inlineStr">
        <is>
          <t>The provided code implements a custom Unix domain socket implementation for OkHttp3, which allows for more accurate emulation of TCP sockets. It provides a high-fidelity tunnel for network communication between two endpoints using Unix domain sockets.</t>
        </is>
      </c>
      <c r="M1149" t="n">
        <v>0.0052</v>
      </c>
      <c r="N1149" t="n">
        <v>0.0444</v>
      </c>
      <c r="O1149" t="n">
        <v>0.0926</v>
      </c>
    </row>
    <row r="1150">
      <c r="A1150" t="inlineStr">
        <is>
          <t>okhttp</t>
        </is>
      </c>
      <c r="B1150" t="inlineStr">
        <is>
          <t>samples/unixdomainsockets/src/main/java/okhttp3/unixdomainsockets/ClientAndServer.java</t>
        </is>
      </c>
      <c r="C1150">
        <f>HYPERLINK("https://github.com/square/okhttp/blob/master/samples/unixdomainsockets/src/main/java/okhttp3/unixdomainsockets/ClientAndServer.java")</f>
        <v/>
      </c>
      <c r="D1150" t="inlineStr">
        <is>
          <t>The provided code defines a class called `UnixDomainSocketTest` which extends `AbstractMockWebServer`. It overrides the `createSocket` method to create a Unix Domain Socket instead of a TCP socket. Additionally, it sets up a mock web server using the `MockWebServer` class from OkHttp, and then uses the `OkHttpClient` class to make requests to the</t>
        </is>
      </c>
      <c r="E1150" t="n">
        <v>0.0035</v>
      </c>
      <c r="F1150" t="n">
        <v>0.0333</v>
      </c>
      <c r="G1150" t="n">
        <v>0.0806</v>
      </c>
      <c r="H1150" t="inlineStr">
        <is>
          <t>This code is a Java package called `okhttp3.unixdomainsockets` that provides a way to create UNIX domain sockets for both the MockWebServer and OkHttp libraries. The package includes a class called `UnixDomainSocketConnector` which allows for connecting these two libraries using UNIX domain sockets. It also includes a utility method called `connect()` which establish</t>
        </is>
      </c>
      <c r="I1150" t="n">
        <v>0.0042</v>
      </c>
      <c r="J1150" t="n">
        <v>0.06560000000000001</v>
      </c>
      <c r="K1150" t="n">
        <v>0.121</v>
      </c>
      <c r="L1150" t="inlineStr">
        <is>
          <t>The code provides a way to create UNIX domain sockets for both MockWebServer and OkHttp, allowing them to communicate with each other over a local socket connection.</t>
        </is>
      </c>
      <c r="M1150" t="n">
        <v>0.007</v>
      </c>
      <c r="N1150" t="n">
        <v>0.0571</v>
      </c>
      <c r="O1150" t="n">
        <v>0.0505</v>
      </c>
    </row>
    <row r="1151">
      <c r="A1151" t="inlineStr">
        <is>
          <t>okhttp</t>
        </is>
      </c>
      <c r="B1151" t="inlineStr">
        <is>
          <t>samples/tlssurvey/src/main/kotlin/okhttp3/survey/Iana.kt</t>
        </is>
      </c>
      <c r="C1151">
        <f>HYPERLINK("https://github.com/square/okhttp/blob/master/samples/tlssurvey/src/main/kotlin/okhttp3/survey/Iana.kt")</f>
        <v/>
      </c>
      <c r="D1151" t="inlineStr">
        <is>
          <t>This code appears to be a Kotlin implementation of an HTTP client using the OkHttp library. It defines a `Survey` class that represents a survey of TLS cipher suites based on their IANA identifiers. The `Survey` class has several methods for working with the survey data, including `getCiphers`, which returns a list of all the ciph</t>
        </is>
      </c>
      <c r="E1151" t="n">
        <v>0.0033</v>
      </c>
      <c r="F1151" t="n">
        <v>0.0625</v>
      </c>
      <c r="G1151" t="n">
        <v>0.1172</v>
      </c>
      <c r="H1151" t="inlineStr">
        <is>
          <t>This code appears to be part of an HTTP client library written in Kotlin, specifically the `okhttp` package. It defines several classes and functions related to HTTP requests and responses, as well as some utility methods for working with hexadecimal strings and URLs. The main class in this module seems to be `Survey`, which has a constructor that takes an `OkHttpClient`</t>
        </is>
      </c>
      <c r="I1151" t="n">
        <v>0.0039</v>
      </c>
      <c r="J1151" t="n">
        <v>0.08699999999999999</v>
      </c>
      <c r="K1151" t="n">
        <v>0.1504</v>
      </c>
      <c r="L1151" t="inlineStr">
        <is>
          <t>The provided code defines a class called `Survey` that provides methods for working with surveys. It uses the OkHttp library to make HTTP requests to retrieve survey data from a remote server. The class has several fields and methods, including a constructor that initializes the client and URL, a method for sending a request to the server, and a method for parsing the response. The code also</t>
        </is>
      </c>
      <c r="M1151" t="n">
        <v>0.0027</v>
      </c>
      <c r="N1151" t="n">
        <v>0.0267</v>
      </c>
      <c r="O1151" t="n">
        <v>0.07190000000000001</v>
      </c>
    </row>
    <row r="1152">
      <c r="A1152" t="inlineStr">
        <is>
          <t>okhttp</t>
        </is>
      </c>
      <c r="B1152" t="inlineStr">
        <is>
          <t>samples/tlssurvey/src/main/kotlin/okhttp3/survey/RunSurvey.kt</t>
        </is>
      </c>
      <c r="C1152">
        <f>HYPERLINK("https://github.com/square/okhttp/blob/master/samples/tlssurvey/src/main/kotlin/okhttp3/survey/RunSurvey.kt")</f>
        <v/>
      </c>
      <c r="D1152" t="inlineStr">
        <is>
          <t>The provided code is a Kotlin program that performs various operations related to SSL/TLS certificate evaluation using the OkHttp library. Here's a high-level overview of its functionality:
1. It imports necessary libraries such as `okhttp3`, `java.security`, and `okio`.
2. It defines a variable called `includeConscrypt` which</t>
        </is>
      </c>
      <c r="E1152" t="n">
        <v>0.004</v>
      </c>
      <c r="F1152" t="n">
        <v>0.06900000000000001</v>
      </c>
      <c r="G1152" t="n">
        <v>0.0847</v>
      </c>
      <c r="H1152" t="inlineStr">
        <is>
          <t>This code defines a suspend function named `main` that runs when the program starts. It imports several classes from the OkHttp library, including `OkHttpClient`, `Cache`, and `SslLabsClient`. The function also uses some Java libraries such as `java.security.Security` and `okio.FileSystem`.
The function first checks if the `include</t>
        </is>
      </c>
      <c r="I1152" t="n">
        <v>0.0048</v>
      </c>
      <c r="J1152" t="n">
        <v>0.1053</v>
      </c>
      <c r="K1152" t="n">
        <v>0.1271</v>
      </c>
      <c r="L1152" t="inlineStr">
        <is>
          <t>The code provides a command line tool that performs SSL Labs analysis on one or more hosts using OkHttp's `OkHttpClient`. It uses the `SslLabsClient` class from the `okhttp3.survey.ssllabs` package to perform the actual analysis. The tool takes two arguments: a list of hostnames separated by spaces, and a path to</t>
        </is>
      </c>
      <c r="M1152" t="n">
        <v>0.0037</v>
      </c>
      <c r="N1152" t="n">
        <v>0.0328</v>
      </c>
      <c r="O1152" t="n">
        <v>0.082</v>
      </c>
    </row>
    <row r="1153">
      <c r="A1153" t="inlineStr">
        <is>
          <t>okhttp</t>
        </is>
      </c>
      <c r="B1153" t="inlineStr">
        <is>
          <t>samples/tlssurvey/src/main/kotlin/okhttp3/survey/Clients.kt</t>
        </is>
      </c>
      <c r="C1153">
        <f>HYPERLINK("https://github.com/square/okhttp/blob/master/samples/tlssurvey/src/main/kotlin/okhttp3/survey/Clients.kt")</f>
        <v/>
      </c>
      <c r="D1153" t="inlineStr">
        <is>
          <t>This code defines a function called `currentOkHttp` that takes an instance of `IanaSuites` as its argument. It returns a new instance of `Client`, which represents an HTTP client. The function initializes the client using the following steps:
1. It sets the user agent string to "OkHttp".
2. It creates a new instance of `Connection</t>
        </is>
      </c>
      <c r="E1153" t="n">
        <v>0.0034</v>
      </c>
      <c r="F1153" t="n">
        <v>0.0645</v>
      </c>
      <c r="G1153" t="n">
        <v>0.0794</v>
      </c>
      <c r="H1153" t="inlineStr">
        <is>
          <t>This code defines a function called `currentOkHttp` that takes an argument of type `IanaSuites`. It returns a new instance of the `Client` class from the OkHttp library, which is used to represent an HTTP client. The `userAgent` property of the returned object is set to `"OkHttp"`, and the `ve` property is set to the result</t>
        </is>
      </c>
      <c r="I1153" t="n">
        <v>0.004</v>
      </c>
      <c r="J1153" t="n">
        <v>0.09520000000000001</v>
      </c>
      <c r="K1153" t="n">
        <v>0.1181</v>
      </c>
      <c r="L1153" t="inlineStr">
        <is>
          <t>The provided code defines a function called `currentOkHttp` that takes an instance of `IanaSuites` as input and returns an instance of `Client`. The function uses various classes and methods from the OkHttp library to create a new client object with a custom user agent string and a list of supported cipher suites based on the given IANA suite names.</t>
        </is>
      </c>
      <c r="M1153" t="n">
        <v>0.0031</v>
      </c>
      <c r="N1153" t="n">
        <v>0.0597</v>
      </c>
      <c r="O1153" t="n">
        <v>0.07630000000000001</v>
      </c>
    </row>
    <row r="1154">
      <c r="A1154" t="inlineStr">
        <is>
          <t>okhttp</t>
        </is>
      </c>
      <c r="B1154" t="inlineStr">
        <is>
          <t>samples/tlssurvey/src/main/kotlin/okhttp3/survey/CipherSuiteSurvey.kt</t>
        </is>
      </c>
      <c r="C1154">
        <f>HYPERLINK("https://github.com/square/okhttp/blob/master/samples/tlssurvey/src/main/kotlin/okhttp3/survey/CipherSuiteSurvey.kt")</f>
        <v/>
      </c>
      <c r="D1154" t="inlineStr">
        <is>
          <t>The `CipherSuiteSurvey` class is responsible for organizing information about SSL cipher suites used in various client implementations. It takes two parameters during initialization - `clients`, which is a list of `Client` objects representing different client implementations, and `ianaSuites`, which is an instance of `IanaSuites`. The class also has a third</t>
        </is>
      </c>
      <c r="E1154" t="n">
        <v>0.0037</v>
      </c>
      <c r="F1154" t="n">
        <v>0.0702</v>
      </c>
      <c r="G1154" t="n">
        <v>0.082</v>
      </c>
      <c r="H1154" t="inlineStr">
        <is>
          <t>This code defines a class called `CipherSuiteSurvey` that organizes information about SSL cipher suites used in HTTPS connections. It takes three parameters in its constructor:
* A list of client objects representing different types of clients (e.g., web browsers, mobile devices). Each client object has a list of supported cipher suites.
* An</t>
        </is>
      </c>
      <c r="I1154" t="n">
        <v>0.0035</v>
      </c>
      <c r="J1154" t="n">
        <v>0.0333</v>
      </c>
      <c r="K1154" t="n">
        <v>0.08</v>
      </c>
      <c r="L1154" t="inlineStr">
        <is>
          <t>The provided code defines a `CipherSuiteSurvey` class that organizes information on SSL cipher suite inclusion and precedence for a given set of clients. The class takes two parameters during initialization: a list of client objects and an instance of `IanaSuites`. It also has a third parameter called `orderBy`, which is a list of strings representing the order</t>
        </is>
      </c>
      <c r="M1154" t="n">
        <v>0.0032</v>
      </c>
      <c r="N1154" t="n">
        <v>0.0308</v>
      </c>
      <c r="O1154" t="n">
        <v>0.0388</v>
      </c>
    </row>
    <row r="1155">
      <c r="A1155" t="inlineStr">
        <is>
          <t>okhttp</t>
        </is>
      </c>
      <c r="B1155" t="inlineStr">
        <is>
          <t>samples/tlssurvey/src/main/kotlin/okhttp3/survey/types/Client.kt</t>
        </is>
      </c>
      <c r="C1155">
        <f>HYPERLINK("https://github.com/square/okhttp/blob/master/samples/tlssurvey/src/main/kotlin/okhttp3/survey/types/Client.kt")</f>
        <v/>
      </c>
      <c r="D1155" t="inlineStr">
        <is>
          <t>The provided code defines a data class called `Client` that represents a client entity in a survey system. It has several properties, including:
* `userAgent`: A string representing the user agent of the client.
* `version`: A string representing the version of the client.
* `platform`: An optional string representing the platform of the client.
* `enabled`:</t>
        </is>
      </c>
      <c r="E1155" t="n">
        <v>0</v>
      </c>
      <c r="F1155" t="n">
        <v>0</v>
      </c>
      <c r="G1155" t="n">
        <v>0</v>
      </c>
      <c r="H1155" t="inlineStr">
        <is>
          <t>This code defines a data class called `Client` that represents a client in a survey system. It has several fields, including `userAgent`, `version`, `platform`, `enabled`, and `supported`. The `nameAndVersion` property returns a string representation of the client's name and version. The class also includes some comments and documentation.</t>
        </is>
      </c>
      <c r="I1155" t="n">
        <v>0.0045</v>
      </c>
      <c r="J1155" t="n">
        <v>0.0702</v>
      </c>
      <c r="K1155" t="n">
        <v>0.0833</v>
      </c>
      <c r="L1155" t="inlineStr">
        <is>
          <t>The provided code defines a data class named `Client` that represents a client in an HTTP survey system. It has several properties, including `userAgent`, `version`, `platform`, `enabled`, and `supported`. The `nameAndVersion` property returns a string representation of the client's name and version.</t>
        </is>
      </c>
      <c r="M1155" t="n">
        <v>0.0044</v>
      </c>
      <c r="N1155" t="n">
        <v>0.0392</v>
      </c>
      <c r="O1155" t="n">
        <v>0.0439</v>
      </c>
    </row>
    <row r="1156">
      <c r="A1156" t="inlineStr">
        <is>
          <t>okhttp</t>
        </is>
      </c>
      <c r="B1156" t="inlineStr">
        <is>
          <t>samples/tlssurvey/src/main/kotlin/okhttp3/survey/types/SuiteId.kt</t>
        </is>
      </c>
      <c r="C1156">
        <f>HYPERLINK("https://github.com/square/okhttp/blob/master/samples/tlssurvey/src/main/kotlin/okhttp3/survey/types/SuiteId.kt")</f>
        <v/>
      </c>
      <c r="D1156" t="inlineStr">
        <is>
          <t>The provided code defines a data class called `SuiteId` that represents a unique identifier for a survey suite. It has two properties: `id`, which is a nullable byte string, and `name`, which is a string. The `matches()` method takes another instance of `SuiteId` as its argument and returns true if the current instance's `id` property is</t>
        </is>
      </c>
      <c r="E1156" t="n">
        <v>0.0033</v>
      </c>
      <c r="F1156" t="n">
        <v>0.0308</v>
      </c>
      <c r="G1156" t="n">
        <v>0.0391</v>
      </c>
      <c r="H1156" t="inlineStr">
        <is>
          <t>This code defines a data class called `SuiteId` that represents a unique identifier for a survey suite. It has two properties: `id`, which can be nullable, and `name`. The `matches()` function takes another `SuiteId` object as input and returns true if the current instance's ID or name matches the other instance's ID or name.</t>
        </is>
      </c>
      <c r="I1156" t="n">
        <v>0.004</v>
      </c>
      <c r="J1156" t="n">
        <v>0.09379999999999999</v>
      </c>
      <c r="K1156" t="n">
        <v>0.119</v>
      </c>
      <c r="L1156" t="inlineStr">
        <is>
          <t>The code defines a data class called `SuiteId` that represents a unique identifier for a survey suite. It has two properties: `id`, which is a nullable byte string, and `name`, which is a string. The `matches()` function checks whether two `SuiteId` objects have the same value for their `id` property or if they have the same last four</t>
        </is>
      </c>
      <c r="M1156" t="n">
        <v>0.0031</v>
      </c>
      <c r="N1156" t="n">
        <v>0.0303</v>
      </c>
      <c r="O1156" t="n">
        <v>0.0769</v>
      </c>
    </row>
    <row r="1157">
      <c r="A1157" t="inlineStr">
        <is>
          <t>okhttp</t>
        </is>
      </c>
      <c r="B1157" t="inlineStr">
        <is>
          <t>samples/tlssurvey/src/main/kotlin/okhttp3/survey/ssllabs/SslLabsApi.kt</t>
        </is>
      </c>
      <c r="C1157">
        <f>HYPERLINK("https://github.com/square/okhttp/blob/master/samples/tlssurvey/src/main/kotlin/okhttp3/survey/ssllabs/SslLabsApi.kt")</f>
        <v/>
      </c>
      <c r="D1157" t="inlineStr">
        <is>
          <t>This code defines an interface `SslLabsApi` that provides access to the SSL Labs API using Retrofit. The interface has one method called `clients()` which returns a list of user agent capabilities. The `BASE_URL` constant is defined as part of the companion object and specifies the base URL for the API.</t>
        </is>
      </c>
      <c r="E1157" t="n">
        <v>0.0044</v>
      </c>
      <c r="F1157" t="n">
        <v>0.0678</v>
      </c>
      <c r="G1157" t="n">
        <v>0.123</v>
      </c>
      <c r="H1157" t="inlineStr">
        <is>
          <t>The code defines an interface called `SslLabsApi` that provides a way to retrieve information about SSL/TLS client capabilities using the SSLLabs API. The interface has one method called `clients()` which returns a list of user agent capabilities. The method makes a GET request to the SSLLabs API's "getClients" endpoint. The interface also includes</t>
        </is>
      </c>
      <c r="I1157" t="n">
        <v>0</v>
      </c>
      <c r="J1157" t="n">
        <v>0</v>
      </c>
      <c r="K1157" t="n">
        <v>0.04</v>
      </c>
      <c r="L1157" t="inlineStr">
        <is>
          <t>The code defines an interface called `SslLabsApi` that exposes a single method called `clients()` which returns a list of user agent capabilities as defined by the SSL Labs API. The interface also includes a constant named `BASE_URL` that specifies the base URL for the API calls.</t>
        </is>
      </c>
      <c r="M1157" t="n">
        <v>0</v>
      </c>
      <c r="N1157" t="n">
        <v>0</v>
      </c>
      <c r="O1157" t="n">
        <v>0</v>
      </c>
    </row>
    <row r="1158">
      <c r="A1158" t="inlineStr">
        <is>
          <t>okhttp</t>
        </is>
      </c>
      <c r="B1158" t="inlineStr">
        <is>
          <t>samples/tlssurvey/src/main/kotlin/okhttp3/survey/ssllabs/SslLabsClient.kt</t>
        </is>
      </c>
      <c r="C1158">
        <f>HYPERLINK("https://github.com/square/okhttp/blob/master/samples/tlssurvey/src/main/kotlin/okhttp3/survey/ssllabs/SslLabsClient.kt")</f>
        <v/>
      </c>
      <c r="D1158" t="inlineStr">
        <is>
          <t>This code defines a class called `SslLabsClient` that uses OkHttp to make API calls to the SSL Labs service. The client takes a `callFactory` parameter in its constructor and initializes two instances of the Retrofit library using it - one for JSON serialization and another for HTTP requests. It then defines a method called `getEndpoint()` that returns a string</t>
        </is>
      </c>
      <c r="E1158" t="n">
        <v>0.0037</v>
      </c>
      <c r="F1158" t="n">
        <v>0.0606</v>
      </c>
      <c r="G1158" t="n">
        <v>0.1145</v>
      </c>
      <c r="H1158" t="inlineStr">
        <is>
          <t>This code defines a class called `SslLabsClient` that uses Retrofit to make HTTP requests to the SSL Labs API. The constructor takes a `callFactory` parameter which is used to create the OkHttpClient instance. The class has several methods that perform different operations such as fetching data from the API, parsing it, and returning it in a specific format.</t>
        </is>
      </c>
      <c r="I1158" t="n">
        <v>0.0037</v>
      </c>
      <c r="J1158" t="n">
        <v>0.0606</v>
      </c>
      <c r="K1158" t="n">
        <v>0.1154</v>
      </c>
      <c r="L1158" t="inlineStr">
        <is>
          <t>The provided code defines a class called `SslLabsClient` that uses Retrofit to make API calls to the SSL Labs server. It requires a `callFactory` parameter in its constructor and initializes two variables: `moshi` and `moshiConverterFactory`. The `moshiConverterFactory` variable is used to convert JSON responses from the server into objects using the</t>
        </is>
      </c>
      <c r="M1158" t="n">
        <v>0.0036</v>
      </c>
      <c r="N1158" t="n">
        <v>0.0339</v>
      </c>
      <c r="O1158" t="n">
        <v>0.0813</v>
      </c>
    </row>
    <row r="1159">
      <c r="A1159" t="inlineStr">
        <is>
          <t>okhttp</t>
        </is>
      </c>
      <c r="B1159" t="inlineStr">
        <is>
          <t>samples/tlssurvey/src/main/kotlin/okhttp3/survey/ssllabs/UserAgentCapabilities.kt</t>
        </is>
      </c>
      <c r="C1159">
        <f>HYPERLINK("https://github.com/square/okhttp/blob/master/samples/tlssurvey/src/main/kotlin/okhttp3/survey/ssllabs/UserAgentCapabilities.kt")</f>
        <v/>
      </c>
      <c r="D1159" t="inlineStr">
        <is>
          <t>This code defines a Java class named `UserAgentCapabilities` that represents the capabilities of a user agent used in an SSL Labs test. The class has several fields that represent different aspects of the user agent's behavior during the test, such as its ability to handle unrecognized server names, the protocols it supports, and the cipher suites it uses. It also includes</t>
        </is>
      </c>
      <c r="E1159" t="n">
        <v>0.0036</v>
      </c>
      <c r="F1159" t="n">
        <v>0.0571</v>
      </c>
      <c r="G1159" t="n">
        <v>0.1128</v>
      </c>
      <c r="H1159" t="inlineStr">
        <is>
          <t>This code defines a Java class called `UserAgentCapabilities` that represents user agent capabilities used in SSL Labs' analysis. The class has several fields, including `abortsOnUnrecognizedName`, `alpnProtocols`, `ellipticCurves`, `handshakeFormat`, `hexHandshakeBytes`, `highestProtocol`, `id`, `isG</t>
        </is>
      </c>
      <c r="I1159" t="n">
        <v>0.0058</v>
      </c>
      <c r="J1159" t="n">
        <v>0.05</v>
      </c>
      <c r="K1159" t="n">
        <v>0.09619999999999999</v>
      </c>
      <c r="L1159" t="inlineStr">
        <is>
          <t>The provided code defines a Java class named `UserAgentCapabilities` that represents user agent capabilities used in SSL Labs analysis. It has several fields, including `abortsOnUnrecognizedName`, `alpnProtocols`, `ellipticCurves`, `handshakeFormat`, `hexHandshakeBytes`, `highestProtocol`, `id`, `isGrade</t>
        </is>
      </c>
      <c r="M1159" t="n">
        <v>0</v>
      </c>
      <c r="N1159" t="n">
        <v>0</v>
      </c>
      <c r="O1159" t="n">
        <v>0.0481</v>
      </c>
    </row>
    <row r="1160">
      <c r="A1160" t="inlineStr">
        <is>
          <t>okhttp</t>
        </is>
      </c>
      <c r="B1160" t="inlineStr">
        <is>
          <t>samples/crawler/src/main/java/okhttp3/sample/Crawler.java</t>
        </is>
      </c>
      <c r="C1160">
        <f>HYPERLINK("https://github.com/square/okhttp/blob/master/samples/crawler/src/main/java/okhttp3/sample/Crawler.java")</f>
        <v/>
      </c>
      <c r="D1160" t="inlineStr">
        <is>
          <t>This code appears to be a Java implementation of a server that serves files from a directory on disk. It uses OkHttp as a HTTP client library and implements a simple web server using the `HTTP` protocol. The server listens on port 8080 and can serve static files such as HTML, CSS, JavaScript, images, etc.
The main class, `Server`,</t>
        </is>
      </c>
      <c r="E1160" t="n">
        <v>0.0041</v>
      </c>
      <c r="F1160" t="n">
        <v>0.0896</v>
      </c>
      <c r="G1160" t="n">
        <v>0.1527</v>
      </c>
      <c r="H1160" t="inlineStr">
        <is>
          <t>This Java package named `okhttp3.sample` contains source files that implement a web server using the OkHttp library. The package includes several classes, including `OkHttpServer`, which is the main class responsible for starting and stopping the server, and `RequestHandler`, which handles incoming requests from clients. The package also includes a number of utility classes and interfaces used throughout the implementation.</t>
        </is>
      </c>
      <c r="I1160" t="n">
        <v>0.0037</v>
      </c>
      <c r="J1160" t="n">
        <v>0.0882</v>
      </c>
      <c r="K1160" t="n">
        <v>0.1527</v>
      </c>
      <c r="L1160" t="inlineStr">
        <is>
          <t>The provided code implements a sample application that uses OkHttp to download files from a server. It defines several classes and methods related to downloading, parsing, and storing data. The main class, `OkHttpSample`, creates an instance of `DownloadManager` and passes it a list of URLs to download. The `DownloadManager` then initializes an executor service and starts downloading the files concurrent</t>
        </is>
      </c>
      <c r="M1160" t="n">
        <v>0.0036</v>
      </c>
      <c r="N1160" t="n">
        <v>0.0588</v>
      </c>
      <c r="O1160" t="n">
        <v>0.1136</v>
      </c>
    </row>
    <row r="1161">
      <c r="A1161" t="inlineStr">
        <is>
          <t>okhttp</t>
        </is>
      </c>
      <c r="B1161" t="inlineStr">
        <is>
          <t>samples/static-server/src/main/java/okhttp3/sample/SampleServer.java</t>
        </is>
      </c>
      <c r="C1161">
        <f>HYPERLINK("https://github.com/square/okhttp/blob/master/samples/static-server/src/main/java/okhttp3/sample/SampleServer.java")</f>
        <v/>
      </c>
      <c r="D1161" t="inlineStr">
        <is>
          <t>The code defines a Java class named `OkHttpSample` that demonstrates how to set up SSL connections using OkHttp library. It uses the `javax.net.ssl` package to create a trust manager factory and key store, and then creates an instance of `SSLContext` using these objects. Finally, it sets up an HTTP client using the created SSL context.</t>
        </is>
      </c>
      <c r="E1161" t="n">
        <v>0.0033</v>
      </c>
      <c r="F1161" t="n">
        <v>0.0308</v>
      </c>
      <c r="G1161" t="n">
        <v>0.07870000000000001</v>
      </c>
      <c r="H1161" t="inlineStr">
        <is>
          <t>This code defines a Java package called `okhttp3.sample` that contains various classes and methods used for implementing HTTP requests and responses using OkHttp library. The package includes several files such as `OkHttpClient`, `RequestBuilder`, `Response`, etc., which are responsible for creating and managing HTTP connections, sending and receiving data, handling errors, and other tasks related to HTTP communication</t>
        </is>
      </c>
      <c r="I1161" t="n">
        <v>0.0038</v>
      </c>
      <c r="J1161" t="n">
        <v>0.09089999999999999</v>
      </c>
      <c r="K1161" t="n">
        <v>0.155</v>
      </c>
      <c r="L1161" t="inlineStr">
        <is>
          <t>The provided code defines a Java class that creates an SSLContext using a KeyStore and TrustManagerFactory. It reads the certificate files from disk and uses them to create a secure connection. The class also includes comments describing the purpose of each method and the expected input parameters.</t>
        </is>
      </c>
      <c r="M1161" t="n">
        <v>0.0039</v>
      </c>
      <c r="N1161" t="n">
        <v>0.0364</v>
      </c>
      <c r="O1161" t="n">
        <v>0.08400000000000001</v>
      </c>
    </row>
    <row r="1162">
      <c r="A1162" t="inlineStr">
        <is>
          <t>okhttp</t>
        </is>
      </c>
      <c r="B1162" t="inlineStr">
        <is>
          <t>samples/compare/src/test/kotlin/okhttp3/compare/JavaHttpClientTest.kt</t>
        </is>
      </c>
      <c r="C1162">
        <f>HYPERLINK("https://github.com/square/okhttp/blob/master/samples/compare/src/test/kotlin/okhttp3/compare/JavaHttpClientTest.kt")</f>
        <v/>
      </c>
      <c r="D1162" t="inlineStr">
        <is>
          <t>This code appears to be a Java implementation of an HTTP client using the `java.net.http` package. It defines a class called `OkHttpCompare`, which has several methods that perform various operations related to comparing HTTP requests and responses. The main method of the class is `compare()`, which takes two arguments: a `HttpRequest` object representing the first request, and another `HttpRequest</t>
        </is>
      </c>
      <c r="E1162" t="n">
        <v>0.0037</v>
      </c>
      <c r="F1162" t="n">
        <v>0.08699999999999999</v>
      </c>
      <c r="G1162" t="n">
        <v>0.1527</v>
      </c>
      <c r="H1162" t="inlineStr">
        <is>
          <t>This code appears to be a Java implementation of an HTTP client using the `java.net.http` package. It defines a class called `OkHttpCompare` that has several methods for comparing HTTP responses, including `equals`, `hashCode`, and `toString`. The class also includes some utility methods for creating HTTP requests and handling redirects.
The code imports various packages from the</t>
        </is>
      </c>
      <c r="I1162" t="n">
        <v>0.0039</v>
      </c>
      <c r="J1162" t="n">
        <v>0.09089999999999999</v>
      </c>
      <c r="K1162" t="n">
        <v>0.1563</v>
      </c>
      <c r="L1162" t="inlineStr">
        <is>
          <t>The provided code implements a comparison function for HTTP requests using the `okhttp3` library. It takes two request objects as input and returns a boolean indicating whether they are equal. The function first checks if both requests have the same method, URL, and headers before comparing their bodies. If the requests have different methods, URLs, or headers, the function immediately returns false. Otherwise, it uses</t>
        </is>
      </c>
      <c r="M1162" t="n">
        <v>0.0033</v>
      </c>
      <c r="N1162" t="n">
        <v>0.0822</v>
      </c>
      <c r="O1162" t="n">
        <v>0.1095</v>
      </c>
    </row>
    <row r="1163">
      <c r="A1163" t="inlineStr">
        <is>
          <t>okhttp</t>
        </is>
      </c>
      <c r="B1163" t="inlineStr">
        <is>
          <t>samples/compare/src/test/kotlin/okhttp3/compare/JettyHttpClientTest.kt</t>
        </is>
      </c>
      <c r="C1163">
        <f>HYPERLINK("https://github.com/square/okhttp/blob/master/samples/compare/src/test/kotlin/okhttp3/compare/JettyHttpClientTest.kt")</f>
        <v/>
      </c>
      <c r="D1163" t="inlineStr">
        <is>
          <t>This code implements various HTTP client comparison tests using the `okhttp3` library and the `mockwebserver3` library. The tests compare the performance of different HTTP clients, such as `OkHttp`, `Apache HttpClient`, and `Jetty Client`. The test cases include sending requests to a local server running on port 8080 and measuring the time it</t>
        </is>
      </c>
      <c r="E1163" t="n">
        <v>0.0046</v>
      </c>
      <c r="F1163" t="n">
        <v>0.1</v>
      </c>
      <c r="G1163" t="n">
        <v>0.1613</v>
      </c>
      <c r="H1163" t="inlineStr">
        <is>
          <t>This code appears to be a Java package containing various classes and methods related to comparing HTTP responses from different sources. The package includes a `Compare` class that provides a method called `compare()` which takes two parameters - `responseA` and `responseB`, both of type `MockResponse`. The method returns a boolean value indicating whether the two responses match or not.
The package</t>
        </is>
      </c>
      <c r="I1163" t="n">
        <v>0.0036</v>
      </c>
      <c r="J1163" t="n">
        <v>0.0588</v>
      </c>
      <c r="K1163" t="n">
        <v>0.0752</v>
      </c>
      <c r="L1163" t="inlineStr">
        <is>
          <t>The provided code implements a comparison between two HTTP responses using OkHttp's `mockwebserver` library. It includes unit tests that verify the correctness of the comparison algorithm.
The code defines a class called `CompareResponsesTest`, which has several methods related to setting up and tearing down the test environment, as well as a method called `testCompare</t>
        </is>
      </c>
      <c r="M1163" t="n">
        <v>0.004</v>
      </c>
      <c r="N1163" t="n">
        <v>0.0635</v>
      </c>
      <c r="O1163" t="n">
        <v>0.119</v>
      </c>
    </row>
    <row r="1164">
      <c r="A1164" t="inlineStr">
        <is>
          <t>okhttp</t>
        </is>
      </c>
      <c r="B1164" t="inlineStr">
        <is>
          <t>samples/compare/src/test/kotlin/okhttp3/compare/OkHttpClientTest.kt</t>
        </is>
      </c>
      <c r="C1164">
        <f>HYPERLINK("https://github.com/square/okhttp/blob/master/samples/compare/src/test/kotlin/okhttp3/compare/OkHttpClientTest.kt")</f>
        <v/>
      </c>
      <c r="D1164" t="inlineStr">
        <is>
          <t>This code appears to be a unit test for an HTTP client library called `okhttp3`. The test uses JUnit 5 and Mockito to create a mock server that responds to requests with predefined responses. It then creates an instance of the `OkHttpClient` class and sends a request to the mock server using the `newCall()` method. Finally, it asserts</t>
        </is>
      </c>
      <c r="E1164" t="n">
        <v>0.0037</v>
      </c>
      <c r="F1164" t="n">
        <v>0.0606</v>
      </c>
      <c r="G1164" t="n">
        <v>0.1154</v>
      </c>
      <c r="H1164" t="inlineStr">
        <is>
          <t>This code is a Java library that provides various utility functions for comparing HTTP responses. It uses the OkHttpClient library to send requests and receive responses from a server. The library includes several methods for comparing response headers, bodies, and status codes.
The `Compare` class is the main entry point for the library, and it provides several static methods for comparing different aspects of HTTP responses</t>
        </is>
      </c>
      <c r="I1164" t="n">
        <v>0.0033</v>
      </c>
      <c r="J1164" t="n">
        <v>0.08110000000000001</v>
      </c>
      <c r="K1164" t="n">
        <v>0.1087</v>
      </c>
      <c r="L1164" t="inlineStr">
        <is>
          <t>The code defines a test suite for comparing HTTP responses using OkHttp's `OkHttpClient` and `Request` classes. It uses JUnit 5 annotations to define test cases that run against a Mock Web Server. Each test case sends a request to the server, receives a response, and then compares the received response to a predefined expected response. The tests verify that the responses</t>
        </is>
      </c>
      <c r="M1164" t="n">
        <v>0.003</v>
      </c>
      <c r="N1164" t="n">
        <v>0.0286</v>
      </c>
      <c r="O1164" t="n">
        <v>0.0752</v>
      </c>
    </row>
    <row r="1165">
      <c r="A1165" t="inlineStr">
        <is>
          <t>okhttp</t>
        </is>
      </c>
      <c r="B1165" t="inlineStr">
        <is>
          <t>samples/compare/src/test/kotlin/okhttp3/compare/ApacheHttpClientTest.kt</t>
        </is>
      </c>
      <c r="C1165">
        <f>HYPERLINK("https://github.com/square/okhttp/blob/master/samples/compare/src/test/kotlin/okhttp3/compare/ApacheHttpClientTest.kt")</f>
        <v/>
      </c>
      <c r="D1165" t="inlineStr">
        <is>
          <t>This code appears to be a Java implementation of an HTTP client using the `okhttp3` library. It defines a class called `Compare` that has a single method called `main`, which takes no arguments. The method sets up a Mock Web Server using the `mockwebserver3` library and sends two GET requests to it using the `HttpClient` from the `Apache</t>
        </is>
      </c>
      <c r="E1165" t="n">
        <v>0.0037</v>
      </c>
      <c r="F1165" t="n">
        <v>0.09089999999999999</v>
      </c>
      <c r="G1165" t="n">
        <v>0.1538</v>
      </c>
      <c r="H1165" t="inlineStr">
        <is>
          <t>This code implements a library for comparing HTTP responses from different servers using the Apache HttpClient library. The library provides a `Compare` class that takes two URLs as input and returns a list of differences between them. The comparison process involves sending GET requests to both URLs and comparing the response headers and body. If any differences are found, they are added to a list and returned. Otherwise, an</t>
        </is>
      </c>
      <c r="I1165" t="n">
        <v>0.0035</v>
      </c>
      <c r="J1165" t="n">
        <v>0.0779</v>
      </c>
      <c r="K1165" t="n">
        <v>0.1418</v>
      </c>
      <c r="L1165" t="inlineStr">
        <is>
          <t>The code implements a comparison between two HTTP responses from different sources using OkHttp library. It uses MockWebServer to create a local web server that responds to GET requests with predefined responses. The comparison is done by comparing the status codes, headers, and bodies of the responses. The code also includes some unit tests to ensure the correctness of the comparison function.</t>
        </is>
      </c>
      <c r="M1165" t="n">
        <v>0.0035</v>
      </c>
      <c r="N1165" t="n">
        <v>0.0571</v>
      </c>
      <c r="O1165" t="n">
        <v>0.1119</v>
      </c>
    </row>
    <row r="1166">
      <c r="A1166" t="inlineStr">
        <is>
          <t>okhttp</t>
        </is>
      </c>
      <c r="B1166" t="inlineStr">
        <is>
          <t>samples/simple-client/src/main/java/okhttp3/sample/OkHttpContributors.java</t>
        </is>
      </c>
      <c r="C1166">
        <f>HYPERLINK("https://github.com/square/okhttp/blob/master/samples/simple-client/src/main/java/okhttp3/sample/OkHttpContributors.java")</f>
        <v/>
      </c>
      <c r="D1166" t="inlineStr">
        <is>
          <t>This Java code defines a `OkHttpContributors` class that uses the `okhttp3` library to retrieve contributor information from GitHub's API. The class has several methods that perform different tasks related to retrieving and processing data from the API.
Here's a high-level overview of what each method does:
* `getContributors`:</t>
        </is>
      </c>
      <c r="E1166" t="n">
        <v>0.0045</v>
      </c>
      <c r="F1166" t="n">
        <v>0.06900000000000001</v>
      </c>
      <c r="G1166" t="n">
        <v>0.125</v>
      </c>
      <c r="H1166" t="inlineStr">
        <is>
          <t>This Java code defines a class called `OkHttpContributors` that uses the OkHttp library to make HTTP requests to the GitHub API. It retrieves information about contributors to a given repository and prints it to the console. The code makes use of Moshi for JSON parsing and Okio for buffered I/O operations.
The `main()` method creates an instance of</t>
        </is>
      </c>
      <c r="I1166" t="n">
        <v>0.0037</v>
      </c>
      <c r="J1166" t="n">
        <v>0.0597</v>
      </c>
      <c r="K1166" t="n">
        <v>0.1154</v>
      </c>
      <c r="L1166" t="inlineStr">
        <is>
          <t>The code defines a Java class named `OkHttpContributors` that retrieves contributor data from GitHub using the OkHttp library. It uses Moshi for JSON serialization and deserialization. The class has two methods: `getContributors()` and `getContributorsAsync()`. The former method makes a synchronous request to retrieve the contributor list, while the latter</t>
        </is>
      </c>
      <c r="M1166" t="n">
        <v>0.0037</v>
      </c>
      <c r="N1166" t="n">
        <v>0.0351</v>
      </c>
      <c r="O1166" t="n">
        <v>0.08260000000000001</v>
      </c>
    </row>
    <row r="1167">
      <c r="A1167" t="inlineStr">
        <is>
          <t>okhttp</t>
        </is>
      </c>
      <c r="B1167" t="inlineStr">
        <is>
          <t>samples/slack/src/main/java/okhttp3/slack/SlackClient.java</t>
        </is>
      </c>
      <c r="C1167">
        <f>HYPERLINK("https://github.com/square/okhttp/blob/master/samples/slack/src/main/java/okhttp3/slack/SlackClient.java")</f>
        <v/>
      </c>
      <c r="D1167" t="inlineStr">
        <is>
          <t>The `SlackClient` class provides a way to connect to Slack as a single user using the OkHttp library. It has a constructor that takes a `SlackApi` instance as input, which it uses to perform HTTP requests to the Slack API. The class also has a field called `session`, which is used to store information about the current user's authentication session with</t>
        </is>
      </c>
      <c r="E1167" t="n">
        <v>0</v>
      </c>
      <c r="F1167" t="n">
        <v>0</v>
      </c>
      <c r="G1167" t="n">
        <v>0.0376</v>
      </c>
      <c r="H1167" t="inlineStr">
        <is>
          <t>This Java package named `okhttp3.slack` implements a client for interacting with the Slack API as a single user. It provides methods for authenticating with the Slack servers using OAuth and managing sessions. The package also includes classes for building HTTP requests and handling responses from the server.</t>
        </is>
      </c>
      <c r="I1167" t="n">
        <v>0.0051</v>
      </c>
      <c r="J1167" t="n">
        <v>0.1071</v>
      </c>
      <c r="K1167" t="n">
        <v>0.1681</v>
      </c>
      <c r="L1167" t="inlineStr">
        <is>
          <t>The `SlackClient` class provides a connection to Slack as a single user, allowing users to send messages and retrieve data from the platform. It uses the `OAuthSession` object to manage authentication and authorization, and exposes methods for sending messages and retrieving data such as channels and conversations.</t>
        </is>
      </c>
      <c r="M1167" t="n">
        <v>0.0039</v>
      </c>
      <c r="N1167" t="n">
        <v>0.0364</v>
      </c>
      <c r="O1167" t="n">
        <v>0.08400000000000001</v>
      </c>
    </row>
    <row r="1168">
      <c r="A1168" t="inlineStr">
        <is>
          <t>openmicroscopy</t>
        </is>
      </c>
      <c r="B1168" t="inlineStr">
        <is>
          <t>build.py</t>
        </is>
      </c>
      <c r="C1168">
        <f>HYPERLINK("https://github.com/ome/openmicroscopy/blob/master/build.py")</f>
        <v/>
      </c>
      <c r="D1168" t="inlineStr">
        <is>
          <t>The code defines several functions for executing system commands, such as `popen` which creates a new process with the given arguments and returns it as a `subprocess.Popen` object, and `execute` which runs the command and exits the program if the exit status is nonzero. It also defines a function called `notification` that sends a message to the user using the grow</t>
        </is>
      </c>
      <c r="E1168" t="n">
        <v>0.003</v>
      </c>
      <c r="F1168" t="n">
        <v>0.0571</v>
      </c>
      <c r="G1168" t="n">
        <v>0.0752</v>
      </c>
      <c r="H1168" t="inlineStr">
        <is>
          <t>This Python script defines several functions that can be used for building and running the backend software components of an application. The `popen` function creates a new process with the specified arguments and returns its PID. The `execute` function executes the given command using the `popen` function and exits the program with the exit status of the child process if it fails. The `notification`</t>
        </is>
      </c>
      <c r="I1168" t="n">
        <v>0.0037</v>
      </c>
      <c r="J1168" t="n">
        <v>0.1111</v>
      </c>
      <c r="K1168" t="n">
        <v>0.2321</v>
      </c>
      <c r="L1168" t="inlineStr">
        <is>
          <t>The code defines several functions for executing shell commands using Python's `subprocess` module. It also includes a function called `notification` that displays a message using the GrowlNotify command line tool. The script sets some environment variables before running the `popen` function to ensure that the correct version of Python is used and that the output is displayed correctly.</t>
        </is>
      </c>
      <c r="M1168" t="n">
        <v>0.0031</v>
      </c>
      <c r="N1168" t="n">
        <v>0.0896</v>
      </c>
      <c r="O1168" t="n">
        <v>0.0769</v>
      </c>
    </row>
    <row r="1169">
      <c r="A1169" t="inlineStr">
        <is>
          <t>openmicroscopy</t>
        </is>
      </c>
      <c r="B1169" t="inlineStr">
        <is>
          <t>sql/psql/OMERO4.2__0/t/OMERO4.1__0.py</t>
        </is>
      </c>
      <c r="C1169">
        <f>HYPERLINK("https://github.com/ome/openmicroscopy/blob/master/sql/psql/OMERO4.2__0/t/OMERO4.1__0.py")</f>
        <v/>
      </c>
      <c r="D1169" t="inlineStr">
        <is>
          <t>This is Python code that uses the OMERO API to create users and groups in an OMERO server. The code creates two users, one named "owner" and another named "nonOwner", and assigns them to a group called "group". If the group does not exist, it is created first. The code also sets the ownership of the group to be owned by</t>
        </is>
      </c>
      <c r="E1169" t="n">
        <v>0.0036</v>
      </c>
      <c r="F1169" t="n">
        <v>0.058</v>
      </c>
      <c r="G1169" t="n">
        <v>0.1128</v>
      </c>
      <c r="H1169" t="inlineStr">
        <is>
          <t>This is a Python script that uses the OMERO API to create users and groups in an OMERO server instance. The script first imports the necessary modules, including `omero`, which provides access to the OMERO API. It then creates a client object using the `omero.client` function with the hostname "localhost" and sets up a session for</t>
        </is>
      </c>
      <c r="I1169" t="n">
        <v>0.0039</v>
      </c>
      <c r="J1169" t="n">
        <v>0.1231</v>
      </c>
      <c r="K1169" t="n">
        <v>0.1172</v>
      </c>
      <c r="L1169" t="inlineStr">
        <is>
          <t>The code creates an OMERO client session using the `omero` library, then retrieves the admin service from the session. It then defines three experimenters (owner, non-owner, and a group), and checks if they exist in the database. If they don't, they are created and their IDs are retrieved. Finally, the code sets the group ownership for the</t>
        </is>
      </c>
      <c r="M1169" t="n">
        <v>0.0032</v>
      </c>
      <c r="N1169" t="n">
        <v>0.0299</v>
      </c>
      <c r="O1169" t="n">
        <v>0.0775</v>
      </c>
    </row>
    <row r="1170">
      <c r="A1170" t="inlineStr">
        <is>
          <t>openmicroscopy</t>
        </is>
      </c>
      <c r="B1170" t="inlineStr">
        <is>
          <t>sql/misc/enums.py</t>
        </is>
      </c>
      <c r="C1170">
        <f>HYPERLINK("https://github.com/ome/openmicroscopy/blob/master/sql/misc/enums.py")</f>
        <v/>
      </c>
      <c r="D1170" t="inlineStr">
        <is>
          <t>The provided Python script is a PostgreSQL client that allows you to interact with a database using the `psycopg2` library. It defines several functions for connecting to the database, listing tables in the public schema, and retrieving data from specific tables.
The `ENUMS` variable contains a list of all the enums used in the project, which is sorted</t>
        </is>
      </c>
      <c r="E1170" t="n">
        <v>0.0031</v>
      </c>
      <c r="F1170" t="n">
        <v>0.0606</v>
      </c>
      <c r="G1170" t="n">
        <v>0.0769</v>
      </c>
      <c r="H1170" t="inlineStr">
        <is>
          <t>This is a Python script that defines several functions for working with PostgreSQL databases using the `psycopg2` library. The main function defined in this script is `list()`, which takes a connection object and a table name as input and returns a list of all columns in that table. Additionally, there is also a function called `connect()` that establishes a connection to a database</t>
        </is>
      </c>
      <c r="I1170" t="n">
        <v>0.0034</v>
      </c>
      <c r="J1170" t="n">
        <v>0.08450000000000001</v>
      </c>
      <c r="K1170" t="n">
        <v>0.1111</v>
      </c>
      <c r="L1170" t="inlineStr">
        <is>
          <t>The provided Python script defines several constants related to PostgreSQL database tables and functions for connecting to a database using the `psycopg2` library. The script also includes a function called `list()` that takes two arguments: a connection object and a string representing the name of a table. The function uses the cursor object associated with the connection to execute a query that retrieves all rows</t>
        </is>
      </c>
      <c r="M1170" t="n">
        <v>0.0028</v>
      </c>
      <c r="N1170" t="n">
        <v>0.0548</v>
      </c>
      <c r="O1170" t="n">
        <v>0.073</v>
      </c>
    </row>
    <row r="1171">
      <c r="A1171" t="inlineStr">
        <is>
          <t>openmicroscopy</t>
        </is>
      </c>
      <c r="B1171" t="inlineStr">
        <is>
          <t>lib/IVY1016/EclipseClasspath.java</t>
        </is>
      </c>
      <c r="C1171">
        <f>HYPERLINK("https://github.com/ome/openmicroscopy/blob/master/lib/IVY1016/EclipseClasspath.java")</f>
        <v/>
      </c>
      <c r="D1171" t="inlineStr">
        <is>
          <t>This Java code appears to be part of a larger project or application that involves implementing various algorithms related to data processing and analysis. The code defines several classes and methods, including `IVY1016`, which seems to be the main class responsible for executing these algorithms.
The code imports several packages, including `java.io` and `java.util`, which suggests that it</t>
        </is>
      </c>
      <c r="E1171" t="n">
        <v>0.0037</v>
      </c>
      <c r="F1171" t="n">
        <v>0.0882</v>
      </c>
      <c r="G1171" t="n">
        <v>0.1538</v>
      </c>
      <c r="H1171" t="inlineStr">
        <is>
          <t>This codebase consists of Java files that implement various backend software components. It includes a package called "IVY1016" which contains several classes and interfaces. The code uses the Apache License, version 2.0, and has comments explaining its purpose and usage. The complexity of the code is O(N), where N is the number of elements in a data structure being processed</t>
        </is>
      </c>
      <c r="I1171" t="n">
        <v>0.004</v>
      </c>
      <c r="J1171" t="n">
        <v>0.0857</v>
      </c>
      <c r="K1171" t="n">
        <v>0.1894</v>
      </c>
      <c r="L1171" t="inlineStr">
        <is>
          <t>This Java code implements a simple text processing pipeline that reads a given input file, performs some basic preprocessing tasks such as removing punctuation and converting all characters to lowercase, and then writes the processed output to another file. The code uses several third-party libraries for handling files and strings, including `java.io` and `java.util`. The main method takes two command line</t>
        </is>
      </c>
      <c r="M1171" t="n">
        <v>0.0039</v>
      </c>
      <c r="N1171" t="n">
        <v>0.0833</v>
      </c>
      <c r="O1171" t="n">
        <v>0.1504</v>
      </c>
    </row>
    <row r="1172">
      <c r="A1172" t="inlineStr">
        <is>
          <t>openmicroscopy</t>
        </is>
      </c>
      <c r="B1172" t="inlineStr">
        <is>
          <t>lib/repository/omero.java</t>
        </is>
      </c>
      <c r="C1172">
        <f>HYPERLINK("https://github.com/ome/openmicroscopy/blob/master/lib/repository/omero.java")</f>
        <v/>
      </c>
      <c r="D1172" t="inlineStr">
        <is>
          <t>This Java file defines a `BuildTool` class that provides a simple way to launch the Apache Ant build tool from within another application or script. It sets up the necessary system properties and classpath for running Ant, and then launches it with any additional arguments passed to the method. The main purpose of this class is to provide a consistent and easy-to-use interface for launching Ant</t>
        </is>
      </c>
      <c r="E1172" t="n">
        <v>0.0033</v>
      </c>
      <c r="F1172" t="n">
        <v>0.0526</v>
      </c>
      <c r="G1172" t="n">
        <v>0.1087</v>
      </c>
      <c r="H1172" t="inlineStr">
        <is>
          <t>This Java program implements a build tool that sets up the necessary environment variables and launches Ant with the appropriate classpath and arguments. It uses reflection to load classes from the JDK tools library and sets up the system properties for the current platform.</t>
        </is>
      </c>
      <c r="I1172" t="n">
        <v>0.0055</v>
      </c>
      <c r="J1172" t="n">
        <v>0.1154</v>
      </c>
      <c r="K1172" t="n">
        <v>0.1724</v>
      </c>
      <c r="L1172" t="inlineStr">
        <is>
          <t>This Java class is responsible for launching the Ant build tool with a suitable environment. It sets up system properties, locates necessary libraries, and launches Ant with a customized classpath and command-line arguments.</t>
        </is>
      </c>
      <c r="M1172" t="n">
        <v>0.0067</v>
      </c>
      <c r="N1172" t="n">
        <v>0.09520000000000001</v>
      </c>
      <c r="O1172" t="n">
        <v>0.09520000000000001</v>
      </c>
    </row>
    <row r="1173">
      <c r="A1173" t="inlineStr">
        <is>
          <t>openmicroscopy</t>
        </is>
      </c>
      <c r="B1173" t="inlineStr">
        <is>
          <t>docs/styles/CodeTemplate.java</t>
        </is>
      </c>
      <c r="C1173">
        <f>HYPERLINK("https://github.com/ome/openmicroscopy/blob/master/docs/styles/CodeTemplate.java")</f>
        <v/>
      </c>
      <c r="D1173" t="inlineStr">
        <is>
          <t>The code defines a Java package called `org.openmicroscopy.package.ClassName` and includes several files. It appears to be a software development project based on Java, possibly related to scientific computing. The package contains a class named `ClassName`, which may represent a specific algorithm or component of the overall system.
The file includes several import statements, including those for the `</t>
        </is>
      </c>
      <c r="E1173" t="n">
        <v>0.0037</v>
      </c>
      <c r="F1173" t="n">
        <v>0.0294</v>
      </c>
      <c r="G1173" t="n">
        <v>0.0769</v>
      </c>
      <c r="H1173" t="inlineStr">
        <is>
          <t>The provided code appears to be Java source code for a package named "org.openmicroscopy.package.ClassName". It includes several files, including a README file, a main class, and various other supporting classes and interfaces.
The main class, which is named "ClassName", appears to implement some kind of algorithm or service. It has a single method called "</t>
        </is>
      </c>
      <c r="I1173" t="n">
        <v>0.0033</v>
      </c>
      <c r="J1173" t="n">
        <v>0.0308</v>
      </c>
      <c r="K1173" t="n">
        <v>0.07870000000000001</v>
      </c>
      <c r="L1173" t="inlineStr">
        <is>
          <t>The provided code is a Java class named "ClassName" located in the "org.openmicroscopy.package" package. It appears to be a part of an open-source project based on the license header at the top of the file. The class implements some kind of algorithm or function, possibly related to image processing or analysis.
The class has several methods, including a</t>
        </is>
      </c>
      <c r="M1173" t="n">
        <v>0.0031</v>
      </c>
      <c r="N1173" t="n">
        <v>0.058</v>
      </c>
      <c r="O1173" t="n">
        <v>0.0769</v>
      </c>
    </row>
    <row r="1174">
      <c r="A1174" t="inlineStr">
        <is>
          <t>openmicroscopy</t>
        </is>
      </c>
      <c r="B1174" t="inlineStr">
        <is>
          <t>docs/sphinx-api/conf.py</t>
        </is>
      </c>
      <c r="C1174">
        <f>HYPERLINK("https://github.com/ome/openmicroscopy/blob/master/docs/sphinx-api/conf.py")</f>
        <v/>
      </c>
      <c r="D1174" t="inlineStr">
        <is>
          <t>The code defines a Python script for building documentation using Sphinx. It sets up the necessary paths for the documentation generation process and imports various libraries required for the task. The script also defines several variables such as `author`, `version`, and `release`.
It then configures the Sphinx settings for the documentation generation process, including setting the `source` and `build`</t>
        </is>
      </c>
      <c r="E1174" t="n">
        <v>0.0031</v>
      </c>
      <c r="F1174" t="n">
        <v>0.0299</v>
      </c>
      <c r="G1174" t="n">
        <v>0.07630000000000001</v>
      </c>
      <c r="H1174" t="inlineStr">
        <is>
          <t>The provided code defines a Python module named `OMERO` which serves as a backend for various software components. It is written using the Django framework and provides APIs for implementing core algorithms. The module has a complexity of O(N), where N represents the number of elements being processed. The comments provide information about the implementation of the core algorithms, while the commits indicate the first commit to the</t>
        </is>
      </c>
      <c r="I1174" t="n">
        <v>0.0038</v>
      </c>
      <c r="J1174" t="n">
        <v>0.1039</v>
      </c>
      <c r="K1174" t="n">
        <v>0.2143</v>
      </c>
      <c r="L1174" t="inlineStr">
        <is>
          <t>The code defines the configuration for building the documentation for the OMERO.py API using Sphinx. It sets up the path for the Python modules required for the documentation generation, as well as the Django settings module used for the web application.</t>
        </is>
      </c>
      <c r="M1174" t="n">
        <v>0.0045</v>
      </c>
      <c r="N1174" t="n">
        <v>0.04</v>
      </c>
      <c r="O1174" t="n">
        <v>0.0885</v>
      </c>
    </row>
    <row r="1175">
      <c r="A1175" t="inlineStr">
        <is>
          <t>openmicroscopy</t>
        </is>
      </c>
      <c r="B1175" t="inlineStr">
        <is>
          <t>examples/Delete/Subclass.py</t>
        </is>
      </c>
      <c r="C1175">
        <f>HYPERLINK("https://github.com/ome/openmicroscopy/blob/master/examples/Delete/Subclass.py")</f>
        <v/>
      </c>
      <c r="D1175" t="inlineStr">
        <is>
          <t>This is Python code that defines a subclass of `omero.callbacks.DeleteCallbackI` named `Subclass`. The class overrides the `finished()` method and prints out information about the deletion process. It also retrieves the report from the deleted objects using the `report()` method and prints it out.
The code first creates an OMERO client session</t>
        </is>
      </c>
      <c r="E1175" t="n">
        <v>0.0043</v>
      </c>
      <c r="F1175" t="n">
        <v>0.06560000000000001</v>
      </c>
      <c r="G1175" t="n">
        <v>0.122</v>
      </c>
      <c r="H1175" t="inlineStr">
        <is>
          <t>This is a Python script that uses the OMERO API to interact with an OMERO server. The script defines a subclass of `DeleteCallbackI` named `Subclass`, which overrides the `finished()` method to print out information about the deletion process. It then creates a new session using the `createSession()` method and retrieves a reference to the `</t>
        </is>
      </c>
      <c r="I1175" t="n">
        <v>0.004</v>
      </c>
      <c r="J1175" t="n">
        <v>0.0645</v>
      </c>
      <c r="K1175" t="n">
        <v>0.1181</v>
      </c>
      <c r="L1175" t="inlineStr">
        <is>
          <t>The provided Python code is part of an OMERO client implementation that uses the `DeleteCallbackI` interface to perform deletions on an OMERO server. It creates a subclass of `DeleteCallbackI`, which overrides the `finished()` method to print out some information about the deletion process, including any errors encountered during the execution of the command. The code then</t>
        </is>
      </c>
      <c r="M1175" t="n">
        <v>0</v>
      </c>
      <c r="N1175" t="n">
        <v>0.0312</v>
      </c>
      <c r="O1175" t="n">
        <v>0.0781</v>
      </c>
    </row>
    <row r="1176">
      <c r="A1176" t="inlineStr">
        <is>
          <t>openmicroscopy</t>
        </is>
      </c>
      <c r="B1176" t="inlineStr">
        <is>
          <t>examples/Delete/Subclass.java</t>
        </is>
      </c>
      <c r="C1176">
        <f>HYPERLINK("https://github.com/ome/openmicroscopy/blob/master/examples/Delete/Subclass.java")</f>
        <v/>
      </c>
      <c r="D1176" t="inlineStr">
        <is>
          <t>This is a Java implementation of a subclass of the `DeleteCallbackI` interface from the OMERO library. The constructor takes two arguments: a `client` object and a `handle` object of type `DeleteHandlePrx`. It then calls the parent constructor with these arguments.
The `finished()` method is overridden to print a message indicating that the deletion</t>
        </is>
      </c>
      <c r="E1176" t="n">
        <v>0.0041</v>
      </c>
      <c r="F1176" t="n">
        <v>0.0984</v>
      </c>
      <c r="G1176" t="n">
        <v>0.12</v>
      </c>
      <c r="H1176" t="inlineStr">
        <is>
          <t>This is a Java implementation of a subclass of the `DeleteCallbackI` interface from the OMERO API. The constructor takes in a `client` object and a `handle` to a delete operation as arguments, and it overrides the `finished()` method to print out information about the completion of the deletion process. It also retrieves the report of the deleted items using</t>
        </is>
      </c>
      <c r="I1176" t="n">
        <v>0.0037</v>
      </c>
      <c r="J1176" t="n">
        <v>0.0896</v>
      </c>
      <c r="K1176" t="n">
        <v>0.1527</v>
      </c>
      <c r="L1176" t="inlineStr">
        <is>
          <t>The provided code is a Java class called `Subclass` that subclasses the `DeleteCallbackI` interface from the OMERO API. It takes two parameters upon instantiation: a `client` object and a `handle` object of type `DeleteHandlePrx`. The constructor calls the parent constructor with these objects as arguments.
The `finished()` method overrides</t>
        </is>
      </c>
      <c r="M1176" t="n">
        <v>0.0037</v>
      </c>
      <c r="N1176" t="n">
        <v>0.0351</v>
      </c>
      <c r="O1176" t="n">
        <v>0.0413</v>
      </c>
    </row>
    <row r="1177">
      <c r="A1177" t="inlineStr">
        <is>
          <t>openmicroscopy</t>
        </is>
      </c>
      <c r="B1177" t="inlineStr">
        <is>
          <t>examples/Delete/Options.py</t>
        </is>
      </c>
      <c r="C1177">
        <f>HYPERLINK("https://github.com/ome/openmicroscopy/blob/master/examples/Delete/Options.py")</f>
        <v/>
      </c>
      <c r="D1177" t="inlineStr">
        <is>
          <t>This code creates an OMERO client session and retrieves a DeleteService proxy object from it. It then creates a DeleteCommand object with the specified parameters (path "/Image", id 1, and option map containing the key "/Annotation" and value "KEEP"), which specifies that all annotations for the image with ID 1 should be kept. Finally, it queues the</t>
        </is>
      </c>
      <c r="E1177" t="n">
        <v>0.0038</v>
      </c>
      <c r="F1177" t="n">
        <v>0.0615</v>
      </c>
      <c r="G1177" t="n">
        <v>0.1163</v>
      </c>
      <c r="H1177" t="inlineStr">
        <is>
          <t>This Python script uses the `omero` library to create a client session with an OMERO server and then retrieves a reference to the Delete Service Proxy using the `getDeleteService()` method. It then creates a new instance of the `DeleteCommand` class, passing in the path to the object type (in this case, `/Image`) and the ID of the object</t>
        </is>
      </c>
      <c r="I1177" t="n">
        <v>0.0037</v>
      </c>
      <c r="J1177" t="n">
        <v>0.0606</v>
      </c>
      <c r="K1177" t="n">
        <v>0.1154</v>
      </c>
      <c r="L1177" t="inlineStr">
        <is>
          <t>The code defines a Python script that interacts with the Open Microscopy Environment (OMERO) API to perform deletion operations on annotations within an image. It creates a client session using the `omero.client()` function, then uses the session to create a delete service proxy object and a delete handle proxy object. The script then passes a non-empty options map to specify that</t>
        </is>
      </c>
      <c r="M1177" t="n">
        <v>0.003</v>
      </c>
      <c r="N1177" t="n">
        <v>0.0563</v>
      </c>
      <c r="O1177" t="n">
        <v>0.0752</v>
      </c>
    </row>
    <row r="1178">
      <c r="A1178" t="inlineStr">
        <is>
          <t>openmicroscopy</t>
        </is>
      </c>
      <c r="B1178" t="inlineStr">
        <is>
          <t>examples/Delete/Options.java</t>
        </is>
      </c>
      <c r="C1178">
        <f>HYPERLINK("https://github.com/ome/openmicroscopy/blob/master/examples/Delete/Options.java")</f>
        <v/>
      </c>
      <c r="D1178" t="inlineStr">
        <is>
          <t>This Java code defines a `Options` class with a `main()` method that creates a session using the OMERO client library and then retrieves a reference to the Delete service from the session. It then passes a non-empty options map to the delete service's `delete()` method, which specifies that all annotations should be kept during deletion.</t>
        </is>
      </c>
      <c r="E1178" t="n">
        <v>0.004</v>
      </c>
      <c r="F1178" t="n">
        <v>0.0615</v>
      </c>
      <c r="G1178" t="n">
        <v>0.1181</v>
      </c>
      <c r="H1178" t="inlineStr">
        <is>
          <t>This Java code defines a class called `Options` with a single method named `main`. When invoked, it creates an instance of the `omero.client` class, which represents a client for interacting with the OMERO server, and then uses this client to create a session on the server. It then retrieves a reference to the `IDeleteService` interface from</t>
        </is>
      </c>
      <c r="I1178" t="n">
        <v>0.0039</v>
      </c>
      <c r="J1178" t="n">
        <v>0.0615</v>
      </c>
      <c r="K1178" t="n">
        <v>0.1172</v>
      </c>
      <c r="L1178" t="inlineStr">
        <is>
          <t>The provided code defines a Java class named `Options` that serves as a command line utility for deleting annotations from an OMERO server using the OMERO Web API. The class takes a single argument, which is a path to an annotation link (either relative or absolute), and passes it to the `deleteServicePrx` object created by the `createSession()` method</t>
        </is>
      </c>
      <c r="M1178" t="n">
        <v>0.0031</v>
      </c>
      <c r="N1178" t="n">
        <v>0.0303</v>
      </c>
      <c r="O1178" t="n">
        <v>0.0769</v>
      </c>
    </row>
    <row r="1179">
      <c r="A1179" t="inlineStr">
        <is>
          <t>openmicroscopy</t>
        </is>
      </c>
      <c r="B1179" t="inlineStr">
        <is>
          <t>examples/Delete/Callback.py</t>
        </is>
      </c>
      <c r="C1179">
        <f>HYPERLINK("https://github.com/ome/openmicroscopy/blob/master/examples/Delete/Callback.py")</f>
        <v/>
      </c>
      <c r="D1179" t="inlineStr">
        <is>
          <t>This Python script uses the OMERO API to connect to an OMERO server and perform a deletion operation on an image with ID 1. The script first creates a session with the OMERO server using the `omero.client()` function, then it retrieves the `DeleteService` proxy object from the session using the `session.getDeleteService()`</t>
        </is>
      </c>
      <c r="E1179" t="n">
        <v>0.0043</v>
      </c>
      <c r="F1179" t="n">
        <v>0.06560000000000001</v>
      </c>
      <c r="G1179" t="n">
        <v>0.122</v>
      </c>
      <c r="H1179" t="inlineStr">
        <is>
          <t>This Python script uses the `omero` library to connect to an OMERO server and perform a deletion operation on an image with ID 1. The script creates a session, gets a reference to the delete service, creates a delete command object for the specified image, queues the command, and then creates a callback object that handles the asynchronous execution of the command. The script</t>
        </is>
      </c>
      <c r="I1179" t="n">
        <v>0.0034</v>
      </c>
      <c r="J1179" t="n">
        <v>0.0556</v>
      </c>
      <c r="K1179" t="n">
        <v>0.1103</v>
      </c>
      <c r="L1179" t="inlineStr">
        <is>
          <t>The provided Python code is a client for the OMERO image server API. It creates a session, retrieves a reference to the `DeleteService` proxy object, and then uses that service to queue up a deletion request for an image with ID 1. The code also defines a custom callback class (`DeleteCallbackI`) that handles the response from the server and prints out some</t>
        </is>
      </c>
      <c r="M1179" t="n">
        <v>0.0029</v>
      </c>
      <c r="N1179" t="n">
        <v>0.0286</v>
      </c>
      <c r="O1179" t="n">
        <v>0.0746</v>
      </c>
    </row>
    <row r="1180">
      <c r="A1180" t="inlineStr">
        <is>
          <t>openmicroscopy</t>
        </is>
      </c>
      <c r="B1180" t="inlineStr">
        <is>
          <t>examples/Delete/FileAnnotationDelete.java</t>
        </is>
      </c>
      <c r="C1180">
        <f>HYPERLINK("https://github.com/ome/openmicroscopy/blob/master/examples/Delete/FileAnnotationDelete.java")</f>
        <v/>
      </c>
      <c r="D1180" t="inlineStr">
        <is>
          <t>This is Java code for deleting a file annotation in OMERO. It uses the `Delete2` command to remove the file annotation from the server, as well as any associated original files or annotation links. The code creates a new session using the `createSession()` method of the `Client` class, and then retrieves the service factory proxy using the `ServiceFactoryPrx`</t>
        </is>
      </c>
      <c r="E1180" t="n">
        <v>0.0037</v>
      </c>
      <c r="F1180" t="n">
        <v>0.0606</v>
      </c>
      <c r="G1180" t="n">
        <v>0.1154</v>
      </c>
      <c r="H1180" t="inlineStr">
        <is>
          <t>This is a Java program that uses the OMERO API to delete a file annotation along with its associated original file and any annotation links in the OMERO database. The program takes no arguments on the command line and assumes that it is being run from within the same directory as the `OMERO.jar` library. It creates a new session with the OMERO</t>
        </is>
      </c>
      <c r="I1180" t="n">
        <v>0.0035</v>
      </c>
      <c r="J1180" t="n">
        <v>0.0563</v>
      </c>
      <c r="K1180" t="n">
        <v>0.1119</v>
      </c>
      <c r="L1180" t="inlineStr">
        <is>
          <t>The provided Java code is a client for deleting a FileAnnotation along with its associated OriginalFile and any annotation links using the OMERO Gateway API. It creates a new session, sets up the Ice configuration, and then uses a Delete2 request instance to perform the deletion. The code also handles exceptions related to creating sessions, permissions denied, server errors, and IOExceptions.</t>
        </is>
      </c>
      <c r="M1180" t="n">
        <v>0.003</v>
      </c>
      <c r="N1180" t="n">
        <v>0.029</v>
      </c>
      <c r="O1180" t="n">
        <v>0.0752</v>
      </c>
    </row>
    <row r="1181">
      <c r="A1181" t="inlineStr">
        <is>
          <t>openmicroscopy</t>
        </is>
      </c>
      <c r="B1181" t="inlineStr">
        <is>
          <t>examples/Delete/FileAnnotationDelete.py</t>
        </is>
      </c>
      <c r="C1181">
        <f>HYPERLINK("https://github.com/ome/openmicroscopy/blob/master/examples/Delete/FileAnnotationDelete.py")</f>
        <v/>
      </c>
      <c r="D1181" t="inlineStr">
        <is>
          <t>The code is a Python script that uses the OMERO API to create a new dataset in OMERO, upload a file to the server, create a FileAnnotation for the uploaded file, and then delete the FileAnnotation using the Delete2 command. The script also includes some error handling and logging.
The main function of the script is to demonstrate how to use the O</t>
        </is>
      </c>
      <c r="E1181" t="n">
        <v>0.0029</v>
      </c>
      <c r="F1181" t="n">
        <v>0.0282</v>
      </c>
      <c r="G1181" t="n">
        <v>0.0741</v>
      </c>
      <c r="H1181" t="inlineStr">
        <is>
          <t>This is a Python script that uses the OMERO client library to interact with an OMERO server. The script performs the following actions:
1. Creates a new session on the OMERO server using the `createSession` method of the `Client` class.
2. Creates a new dataset named "FileAnnotationDelete".
3. Up</t>
        </is>
      </c>
      <c r="I1181" t="n">
        <v>0.0037</v>
      </c>
      <c r="J1181" t="n">
        <v>0.0351</v>
      </c>
      <c r="K1181" t="n">
        <v>0.08260000000000001</v>
      </c>
      <c r="L1181" t="inlineStr">
        <is>
          <t>The provided Python script uses the OMERO API client library to interact with an OMERO server. It creates a new dataset named "FileAnnotationDelete", uploads a file to the server, creates a FileAnnotation object that references the uploaded file, and then deletes the FileAnnotation object using the Delete2 command.</t>
        </is>
      </c>
      <c r="M1181" t="n">
        <v>0.0038</v>
      </c>
      <c r="N1181" t="n">
        <v>0.0357</v>
      </c>
      <c r="O1181" t="n">
        <v>0.0833</v>
      </c>
    </row>
    <row r="1182">
      <c r="A1182" t="inlineStr">
        <is>
          <t>openmicroscopy</t>
        </is>
      </c>
      <c r="B1182" t="inlineStr">
        <is>
          <t>examples/Delete/Callback.java</t>
        </is>
      </c>
      <c r="C1182">
        <f>HYPERLINK("https://github.com/ome/openmicroscopy/blob/master/examples/Delete/Callback.java")</f>
        <v/>
      </c>
      <c r="D1182" t="inlineStr">
        <is>
          <t>The code is a Java program that uses the OMERO client library to connect to an OMERO server and perform a deletion operation on an image with ID 1 in the "/Image" folder. It creates a session with the server using the `createSession()` method of the `omero.client` class, gets a reference to the `IDeleteService`</t>
        </is>
      </c>
      <c r="E1182" t="n">
        <v>0.0034</v>
      </c>
      <c r="F1182" t="n">
        <v>0.0317</v>
      </c>
      <c r="G1182" t="n">
        <v>0.0794</v>
      </c>
      <c r="H1182" t="inlineStr">
        <is>
          <t>This is a Java program that uses the OMERO client library to connect to an OMERO server and perform a deletion operation on an image with ID 1 in the "/Image" group. The program creates a session with the server using the `createSession()` method of the `omero.client` class, obtains a reference to the `IDeleteService</t>
        </is>
      </c>
      <c r="I1182" t="n">
        <v>0.004</v>
      </c>
      <c r="J1182" t="n">
        <v>0.0635</v>
      </c>
      <c r="K1182" t="n">
        <v>0.119</v>
      </c>
      <c r="L1182" t="inlineStr">
        <is>
          <t>The provided code is a Java application that uses the OMERO API to interact with an OMERO server. It creates a session using the `omero.client` class and retrieves the `IDeleteService` proxy from the session. Then, it creates a `DeleteCommand` object with the specified parameters and queues the deletion for execution using the `queue</t>
        </is>
      </c>
      <c r="M1182" t="n">
        <v>0.0035</v>
      </c>
      <c r="N1182" t="n">
        <v>0.0323</v>
      </c>
      <c r="O1182" t="n">
        <v>0.08</v>
      </c>
    </row>
    <row r="1183">
      <c r="A1183" t="inlineStr">
        <is>
          <t>openmicroscopy</t>
        </is>
      </c>
      <c r="B1183" t="inlineStr">
        <is>
          <t>examples/ScreenPlateWell/imagesperwell.py</t>
        </is>
      </c>
      <c r="C1183">
        <f>HYPERLINK("https://github.com/ome/openmicroscopy/blob/master/examples/ScreenPlateWell/imagesperwell.py")</f>
        <v/>
      </c>
      <c r="D1183" t="inlineStr">
        <is>
          <t>This Python script uses the OMERO API to connect to an OMERO server and retrieve information about plates in the system. It then selects one of these plates at random and retrieves all the wells associated with it using a query. The script also demonstrates how to use pagination to load only a subset of the wells at a time.</t>
        </is>
      </c>
      <c r="E1183" t="n">
        <v>0.0036</v>
      </c>
      <c r="F1183" t="n">
        <v>0.0588</v>
      </c>
      <c r="G1183" t="n">
        <v>0.1136</v>
      </c>
      <c r="H1183" t="inlineStr">
        <is>
          <t>This is a Python script that uses the `omero` library to connect to an OMERO server and retrieve information about plates and their contents. The script defines a function called `loadWells()` which takes a plate ID as input and returns a list of wells in that plate along with their samples and images. It also includes some comments describing the purpose of each line of</t>
        </is>
      </c>
      <c r="I1183" t="n">
        <v>0.0033</v>
      </c>
      <c r="J1183" t="n">
        <v>0.0822</v>
      </c>
      <c r="K1183" t="n">
        <v>0.1095</v>
      </c>
      <c r="L1183" t="inlineStr">
        <is>
          <t>The code is a Python script that connects to an OMERO server using the `omero` library and retrieves a list of wells from a specific plate. It uses pagination to load only a subset of the total number of wells at a time, allowing for more efficient processing. The script also includes comments describing the code's purpose and how it works.</t>
        </is>
      </c>
      <c r="M1183" t="n">
        <v>0.003</v>
      </c>
      <c r="N1183" t="n">
        <v>0.0286</v>
      </c>
      <c r="O1183" t="n">
        <v>0.0752</v>
      </c>
    </row>
    <row r="1184">
      <c r="A1184" t="inlineStr">
        <is>
          <t>openmicroscopy</t>
        </is>
      </c>
      <c r="B1184" t="inlineStr">
        <is>
          <t>examples/ScreenPlateWell/listplates.py</t>
        </is>
      </c>
      <c r="C1184">
        <f>HYPERLINK("https://github.com/ome/openmicroscopy/blob/master/examples/ScreenPlateWell/listplates.py")</f>
        <v/>
      </c>
      <c r="D1184" t="inlineStr">
        <is>
          <t>This is a Python script that uses the OMERO API to retrieve information about plates and their contents from an OMERO server. The script retrieves all plates on the server and then queries each plate to get its name, ID, and wells. It also gets the images associated with each well sample. The script prints out the results in a tabular format.</t>
        </is>
      </c>
      <c r="E1184" t="n">
        <v>0.0035</v>
      </c>
      <c r="F1184" t="n">
        <v>0.0571</v>
      </c>
      <c r="G1184" t="n">
        <v>0.1119</v>
      </c>
      <c r="H1184" t="inlineStr">
        <is>
          <t>This is a Python script that uses the OMERO client library to connect to an OMERO server and retrieve information about plates stored on the server. The script retrieves all plates and their associated wells, and prints out the name of each plate along with its ID number. It also retrieves the images associated with each well and prints out the image IDs. The</t>
        </is>
      </c>
      <c r="I1184" t="n">
        <v>0.0034</v>
      </c>
      <c r="J1184" t="n">
        <v>0.0556</v>
      </c>
      <c r="K1184" t="n">
        <v>0.1103</v>
      </c>
      <c r="L1184" t="inlineStr">
        <is>
          <t>The provided Python script is used to retrieve data from an OMERO database using the `omero` library. It creates a client session, retrieves a query service instance, and executes a SQL query to retrieve all plates in the system. For each plate found, it prints out the plate's name followed by a list of well numbers that contain samples. The script uses the</t>
        </is>
      </c>
      <c r="M1184" t="n">
        <v>0.0029</v>
      </c>
      <c r="N1184" t="n">
        <v>0.0278</v>
      </c>
      <c r="O1184" t="n">
        <v>0.0741</v>
      </c>
    </row>
    <row r="1185">
      <c r="A1185" t="inlineStr">
        <is>
          <t>openmicroscopy</t>
        </is>
      </c>
      <c r="B1185" t="inlineStr">
        <is>
          <t>examples/ScreenPlateWell/platecodebyimage.py</t>
        </is>
      </c>
      <c r="C1185">
        <f>HYPERLINK("https://github.com/ome/openmicroscopy/blob/master/examples/ScreenPlateWell/platecodebyimage.py")</f>
        <v/>
      </c>
      <c r="D1185" t="inlineStr">
        <is>
          <t>The code is written in Python and uses the OMERO library to interact with the OMERO server. It performs the following actions:
1. Creates a new session on the OMERO server using the `createSession` method of the `Client` class.
2. Gets a query service object from the session using the `getQueryService`</t>
        </is>
      </c>
      <c r="E1185" t="n">
        <v>0.0036</v>
      </c>
      <c r="F1185" t="n">
        <v>0.0339</v>
      </c>
      <c r="G1185" t="n">
        <v>0.0813</v>
      </c>
      <c r="H1185" t="inlineStr">
        <is>
          <t>This is a Python script that uses the OMERO library to connect to an OMERO server and retrieve information about images and their associated plates. The script performs the following actions:
1. It creates a client object for connecting to the OMERO server using the `omero.client()` function.
2. It creates a session object for interacting</t>
        </is>
      </c>
      <c r="I1185" t="n">
        <v>0.004</v>
      </c>
      <c r="J1185" t="n">
        <v>0.0625</v>
      </c>
      <c r="K1185" t="n">
        <v>0.1181</v>
      </c>
      <c r="L1185" t="inlineStr">
        <is>
          <t>The code provides functions for retrieving images and their corresponding plates from the OMERO database using the OMERO Python client library. It uses inner joins to retrieve images that have well samples with plates, and then queries the database again to find the plate associated with each image. The code also prints out information about the retrieved images and their plates.</t>
        </is>
      </c>
      <c r="M1185" t="n">
        <v>0.003</v>
      </c>
      <c r="N1185" t="n">
        <v>0.058</v>
      </c>
      <c r="O1185" t="n">
        <v>0.0752</v>
      </c>
    </row>
    <row r="1186">
      <c r="A1186" t="inlineStr">
        <is>
          <t>openmicroscopy</t>
        </is>
      </c>
      <c r="B1186" t="inlineStr">
        <is>
          <t>examples/OmeroClients/constants.py</t>
        </is>
      </c>
      <c r="C1186">
        <f>HYPERLINK("https://github.com/ome/openmicroscopy/blob/master/examples/OmeroClients/constants.py")</f>
        <v/>
      </c>
      <c r="D1186" t="inlineStr">
        <is>
          <t>The provided code is a Python script that prints two messages to the console:
1. By default, no method call can pass more than `MESSAGESIZEMAX` kilobytes.
2. By default, `client.createSession()` will wait `CONNECTTIMEOUT` milliseconds for a connection.
The script does not contain any complex logic or calculations</t>
        </is>
      </c>
      <c r="E1186" t="n">
        <v>0</v>
      </c>
      <c r="F1186" t="n">
        <v>0.0357</v>
      </c>
      <c r="G1186" t="n">
        <v>0</v>
      </c>
      <c r="H1186" t="inlineStr">
        <is>
          <t>This Python script is responsible for printing out some information about the behavior of the `omero` library's methods. Specifically, it prints out the maximum size of messages that can be passed to these methods, as well as the default timeout value used when creating sessions with the `client.createSession()` method. The complexity of this script is O(N), where N is the number of</t>
        </is>
      </c>
      <c r="I1186" t="n">
        <v>0.0029</v>
      </c>
      <c r="J1186" t="n">
        <v>0.0274</v>
      </c>
      <c r="K1186" t="n">
        <v>0.0746</v>
      </c>
      <c r="L1186" t="inlineStr">
        <is>
          <t>The code is a Python script that prints two messages to the console. The first message states that by default, no method call can pass more than 64 MB of data. The second message explains that `client.createSession()` will wait up to 10 seconds for a connection if it cannot be established immediately.</t>
        </is>
      </c>
      <c r="M1186" t="n">
        <v>0</v>
      </c>
      <c r="N1186" t="n">
        <v>0</v>
      </c>
      <c r="O1186" t="n">
        <v>0</v>
      </c>
    </row>
    <row r="1187">
      <c r="A1187" t="inlineStr">
        <is>
          <t>openmicroscopy</t>
        </is>
      </c>
      <c r="B1187" t="inlineStr">
        <is>
          <t>examples/OmeroClients/rcollection.java</t>
        </is>
      </c>
      <c r="C1187">
        <f>HYPERLINK("https://github.com/ome/openmicroscopy/blob/master/examples/OmeroClients/rcollection.java")</f>
        <v/>
      </c>
      <c r="D1187" t="inlineStr">
        <is>
          <t>This is a Java program that creates two objects: a `RList` object with elements "a" and "b", and a `RSet` object with elements 1 and 2.</t>
        </is>
      </c>
      <c r="E1187" t="n">
        <v>0.0086</v>
      </c>
      <c r="F1187" t="n">
        <v>0.1176</v>
      </c>
      <c r="G1187" t="n">
        <v>0.102</v>
      </c>
      <c r="H1187" t="inlineStr">
        <is>
          <t>This is a Java program that creates a collection of objects using the OMERO library. The `main` method sets up a list and a set of strings and integers, respectively. The list is created using the `rlist` function from the `omero.rtypes` package, which takes two string arguments representing the type of elements in the list. Similarly, the set is</t>
        </is>
      </c>
      <c r="I1187" t="n">
        <v>0.0037</v>
      </c>
      <c r="J1187" t="n">
        <v>0.0588</v>
      </c>
      <c r="K1187" t="n">
        <v>0.1145</v>
      </c>
      <c r="L1187" t="inlineStr">
        <is>
          <t>The provided code defines a `main` method that creates two objects: a `RList` and a `RSet`. The `RList` is initialized with two elements of type `rstring`, while the `RSet` is initialized with two elements of type `rint`.</t>
        </is>
      </c>
      <c r="M1187" t="n">
        <v>0.005</v>
      </c>
      <c r="N1187" t="n">
        <v>0.0444</v>
      </c>
      <c r="O1187" t="n">
        <v>0.0459</v>
      </c>
    </row>
    <row r="1188">
      <c r="A1188" t="inlineStr">
        <is>
          <t>openmicroscopy</t>
        </is>
      </c>
      <c r="B1188" t="inlineStr">
        <is>
          <t>examples/OmeroClients/collectionmethods.py</t>
        </is>
      </c>
      <c r="C1188">
        <f>HYPERLINK("https://github.com/ome/openmicroscopy/blob/master/examples/OmeroClients/collectionmethods.py")</f>
        <v/>
      </c>
      <c r="D1188" t="inlineStr">
        <is>
          <t>This is Python code that defines classes for OMERO images, datasets, events, and pixels, as well as methods for interacting with these objects. The main class defined in the code is `ImageI`, which represents an OMERO image object. It has several attributes and methods, including `getDetails()`, `linkDataset()`, `copyDatasetLinks()`, `</t>
        </is>
      </c>
      <c r="E1188" t="n">
        <v>0.0045</v>
      </c>
      <c r="F1188" t="n">
        <v>0.07140000000000001</v>
      </c>
      <c r="G1188" t="n">
        <v>0.08260000000000001</v>
      </c>
      <c r="H1188" t="inlineStr">
        <is>
          <t>This is a Python script that defines several classes and functions related to the OMERO imaging database management system. It appears to provide a basic implementation of some of the core features of OMERO, such as creating and managing images, datasets, events, and pixels. The script also includes comments explaining the purpose and usage of each class and function. Overall, it seems</t>
        </is>
      </c>
      <c r="I1188" t="n">
        <v>0.0039</v>
      </c>
      <c r="J1188" t="n">
        <v>0.1143</v>
      </c>
      <c r="K1188" t="n">
        <v>0.1866</v>
      </c>
      <c r="L1188" t="inlineStr">
        <is>
          <t>The provided Python script defines several classes and functions related to the OMERO imaging database management system. It appears to provide methods for creating and managing links between images and datasets, as well as retrieving and manipulating pixel data. The script also includes comments and documentation that describe the purpose of each class and function, as well as some basic usage examples.</t>
        </is>
      </c>
      <c r="M1188" t="n">
        <v>0.0029</v>
      </c>
      <c r="N1188" t="n">
        <v>0.0571</v>
      </c>
      <c r="O1188" t="n">
        <v>0.0746</v>
      </c>
    </row>
    <row r="1189">
      <c r="A1189" t="inlineStr">
        <is>
          <t>openmicroscopy</t>
        </is>
      </c>
      <c r="B1189" t="inlineStr">
        <is>
          <t>examples/OmeroClients/constructors.java</t>
        </is>
      </c>
      <c r="C1189">
        <f>HYPERLINK("https://github.com/ome/openmicroscopy/blob/master/examples/OmeroClients/constructors.java")</f>
        <v/>
      </c>
      <c r="D1189" t="inlineStr">
        <is>
          <t>The code defines two classes, `Image` and `Dataset`, which represent images and datasets in OMERO, respectively. The `main()` method creates instances of these classes using their respective constructors, and then links them together by calling the `linkDataset()` method on the `image` instance. This is done to demonstrate how objects can be created and linked in OM</t>
        </is>
      </c>
      <c r="E1189" t="n">
        <v>0.0039</v>
      </c>
      <c r="F1189" t="n">
        <v>0.0625</v>
      </c>
      <c r="G1189" t="n">
        <v>0.1172</v>
      </c>
      <c r="H1189" t="inlineStr">
        <is>
          <t>This Java code defines a `constructors` class with a single method called `main`, which creates instances of two classes from the `omero.model` package: `ImageI` and `DatasetI`. The `ImageI` instance is created without any arguments, while the `DatasetI` instance is created with an ID argument set to `1L` and a flag</t>
        </is>
      </c>
      <c r="I1189" t="n">
        <v>0.0044</v>
      </c>
      <c r="J1189" t="n">
        <v>0.0678</v>
      </c>
      <c r="K1189" t="n">
        <v>0.082</v>
      </c>
      <c r="L1189" t="inlineStr">
        <is>
          <t>The provided code defines a Java class named "constructors" that has a single method called "main". Within this method, two objects are created using their respective interfaces (ImageI and DatasetI), and then linked together by calling the "linkDataset" method on the first object (an instance of Image).</t>
        </is>
      </c>
      <c r="M1189" t="n">
        <v>0.0039</v>
      </c>
      <c r="N1189" t="n">
        <v>0.0727</v>
      </c>
      <c r="O1189" t="n">
        <v>0.1261</v>
      </c>
    </row>
    <row r="1190">
      <c r="A1190" t="inlineStr">
        <is>
          <t>openmicroscopy</t>
        </is>
      </c>
      <c r="B1190" t="inlineStr">
        <is>
          <t>examples/OmeroClients/enumerations.py</t>
        </is>
      </c>
      <c r="C1190">
        <f>HYPERLINK("https://github.com/ome/openmicroscopy/blob/master/examples/OmeroClients/enumerations.py")</f>
        <v/>
      </c>
      <c r="D1190" t="inlineStr">
        <is>
          <t>The code is a Python script that imports the `omero` library and prints a message to the console with information about the available projection types in OMERO. Specifically, it mentions the `MaximumIntensity` projection type from the `omero.constants.projection` module.</t>
        </is>
      </c>
      <c r="E1190" t="n">
        <v>0.0049</v>
      </c>
      <c r="F1190" t="n">
        <v>0.0417</v>
      </c>
      <c r="G1190" t="n">
        <v>0.0455</v>
      </c>
      <c r="H1190" t="inlineStr">
        <is>
          <t>This is Python code that imports the `omero` library and prints a message to the console using the `print()` function. The message includes a string literal with the format `%s`, which will be replaced by the value of the `ProjectionType` enumeration from the `omero.constants.projection` module. The `ProjectionType` enum has several values,</t>
        </is>
      </c>
      <c r="I1190" t="n">
        <v>0.0043</v>
      </c>
      <c r="J1190" t="n">
        <v>0.06560000000000001</v>
      </c>
      <c r="K1190" t="n">
        <v>0.122</v>
      </c>
      <c r="L1190" t="inlineStr">
        <is>
          <t>The provided Python script is a simple command-line tool that prints out a message indicating how to use the `omero` library's projection function. It takes one argument, which represents the type of projection to perform (in this case, maximum intensity). The script uses the `omero.constants.projection.ProjectionType` enum to define the available types of projections</t>
        </is>
      </c>
      <c r="M1190" t="n">
        <v>0</v>
      </c>
      <c r="N1190" t="n">
        <v>0.0303</v>
      </c>
      <c r="O1190" t="n">
        <v>0.08</v>
      </c>
    </row>
    <row r="1191">
      <c r="A1191" t="inlineStr">
        <is>
          <t>openmicroscopy</t>
        </is>
      </c>
      <c r="B1191" t="inlineStr">
        <is>
          <t>examples/OmeroClients/interfaces.java</t>
        </is>
      </c>
      <c r="C1191">
        <f>HYPERLINK("https://github.com/ome/openmicroscopy/blob/master/examples/OmeroClients/interfaces.java")</f>
        <v/>
      </c>
      <c r="D1191" t="inlineStr">
        <is>
          <t>This Java program defines several classes that implement various OMERO-specific interfaces. The `main` function demonstrates how these interfaces can be used to determine the properties of objects in the OMERO system. Specifically, it checks whether certain objects are mutable or annotated, and performs actions based on those properties. It also shows how to use the `isLink()` method of the</t>
        </is>
      </c>
      <c r="E1191" t="n">
        <v>0.0037</v>
      </c>
      <c r="F1191" t="n">
        <v>0.1176</v>
      </c>
      <c r="G1191" t="n">
        <v>0.1527</v>
      </c>
      <c r="H1191" t="inlineStr">
        <is>
          <t>This Java program defines several classes that implement various interfaces in the `omero` package. The `main()` function creates instances of these classes and uses them to demonstrate how they can be used.
The `interfaces` class has several methods that demonstrate how to use the `omero` interfaces. These include:
* `assert !new EventI().isMutable();` -</t>
        </is>
      </c>
      <c r="I1191" t="n">
        <v>0.0041</v>
      </c>
      <c r="J1191" t="n">
        <v>0.1333</v>
      </c>
      <c r="K1191" t="n">
        <v>0.16</v>
      </c>
      <c r="L1191" t="inlineStr">
        <is>
          <t>The provided code defines a Java class named "interfaces" that demonstrates the use of various interfaces from the OMERO library for working with objects in OMERO. The class has a single `main` method that creates instances of several OMERO classes, including `EventI`, `ExperimenterI`, and `GroupExperimenterMapI`. It then</t>
        </is>
      </c>
      <c r="M1191" t="n">
        <v>0.0039</v>
      </c>
      <c r="N1191" t="n">
        <v>0.0364</v>
      </c>
      <c r="O1191" t="n">
        <v>0.08400000000000001</v>
      </c>
    </row>
    <row r="1192">
      <c r="A1192" t="inlineStr">
        <is>
          <t>openmicroscopy</t>
        </is>
      </c>
      <c r="B1192" t="inlineStr">
        <is>
          <t>examples/OmeroClients/primitives.py</t>
        </is>
      </c>
      <c r="C1192">
        <f>HYPERLINK("https://github.com/ome/openmicroscopy/blob/master/examples/OmeroClients/primitives.py")</f>
        <v/>
      </c>
      <c r="D1192" t="inlineStr">
        <is>
          <t>This is Python code that defines several variables with different types using the `omerotypes` module. The variables are assigned values based on their respective data types. The code does not contain any complex logic or calculations, but it does demonstrate the use of various data types in Python programming.</t>
        </is>
      </c>
      <c r="E1192" t="n">
        <v>0.0037</v>
      </c>
      <c r="F1192" t="n">
        <v>0.1053</v>
      </c>
      <c r="G1192" t="n">
        <v>0.08260000000000001</v>
      </c>
      <c r="H1192" t="inlineStr">
        <is>
          <t>This is Python code that defines several variables with different data types using the `omerotypes` module. The variables are initialized with values of type string, boolean, long, and integer. The complexity of this code is O(N), where N is the number of variables defined in the code. The comments describe the implementation of core algorithms, and there has been one initial commit to the code</t>
        </is>
      </c>
      <c r="I1192" t="n">
        <v>0.0037</v>
      </c>
      <c r="J1192" t="n">
        <v>0.1351</v>
      </c>
      <c r="K1192" t="n">
        <v>0.1825</v>
      </c>
      <c r="L1192" t="inlineStr">
        <is>
          <t>The provided Python code defines variables `string_value`, `boolean_value`, `long_value`, and `int_value` using the `omerotypes` module. It sets their values to string "value", True, 1, and 1 respectively.</t>
        </is>
      </c>
      <c r="M1192" t="n">
        <v>0.007</v>
      </c>
      <c r="N1192" t="n">
        <v>0.1026</v>
      </c>
      <c r="O1192" t="n">
        <v>0.101</v>
      </c>
    </row>
    <row r="1193">
      <c r="A1193" t="inlineStr">
        <is>
          <t>openmicroscopy</t>
        </is>
      </c>
      <c r="B1193" t="inlineStr">
        <is>
          <t>examples/OmeroClients/details.py</t>
        </is>
      </c>
      <c r="C1193">
        <f>HYPERLINK("https://github.com/ome/openmicroscopy/blob/master/examples/OmeroClients/details.py")</f>
        <v/>
      </c>
      <c r="D1193" t="inlineStr">
        <is>
          <t>The provided code is a Python script that uses the OMERO API to interact with an OMERO database. It defines several variables and functions related to images and their permissions. Here's a brief summary of what each section does:
1. `import omero`: This line imports the necessary modules for the script to run.
2. `import omer</t>
        </is>
      </c>
      <c r="E1193" t="n">
        <v>0.0039</v>
      </c>
      <c r="F1193" t="n">
        <v>0.0615</v>
      </c>
      <c r="G1193" t="n">
        <v>0.1563</v>
      </c>
      <c r="H1193" t="inlineStr">
        <is>
          <t>This is a Python script that uses the `omero` library to interact with an OMERO server. The script defines a function called `add()` which takes two arguments `a` and `b`, adds them together, and returns the result. The script also includes some comments describing the purpose of each line of code.</t>
        </is>
      </c>
      <c r="I1193" t="n">
        <v>0.0043</v>
      </c>
      <c r="J1193" t="n">
        <v>0.1017</v>
      </c>
      <c r="K1193" t="n">
        <v>0.122</v>
      </c>
      <c r="L1193" t="inlineStr">
        <is>
          <t>The provided Python script is a part of an application that interacts with the OMERO database management system. It appears to be responsible for managing permissions related to images stored in the database. Specifically, the script creates a new permission object, sets user read access to true, asserts that the permission has been set correctly, and then updates the details of an image by setting its</t>
        </is>
      </c>
      <c r="M1193" t="n">
        <v>0.0028</v>
      </c>
      <c r="N1193" t="n">
        <v>0.027</v>
      </c>
      <c r="O1193" t="n">
        <v>0.0725</v>
      </c>
    </row>
    <row r="1194">
      <c r="A1194" t="inlineStr">
        <is>
          <t>openmicroscopy</t>
        </is>
      </c>
      <c r="B1194" t="inlineStr">
        <is>
          <t>examples/OmeroClients/unloaded.py</t>
        </is>
      </c>
      <c r="C1194">
        <f>HYPERLINK("https://github.com/ome/openmicroscopy/blob/master/examples/OmeroClients/unloaded.py")</f>
        <v/>
      </c>
      <c r="D1194" t="inlineStr">
        <is>
          <t>The provided code defines two functions that manipulate objects in OMERO, which is a web-based image analysis platform. The first function creates an instance of the `ImageI` class and loads it from the database. The second function creates an unloaded "proxy" for an `ImageI` object with a given ID. The third function retrieves the ID of the `ImageI</t>
        </is>
      </c>
      <c r="E1194" t="n">
        <v>0.0031</v>
      </c>
      <c r="F1194" t="n">
        <v>0.0597</v>
      </c>
      <c r="G1194" t="n">
        <v>0.0769</v>
      </c>
      <c r="H1194" t="inlineStr">
        <is>
          <t>The provided Python code defines several functions related to managing images in the OMERO database. It includes methods for loading and unloading images, as well as accessing their metadata. The `omero` module is imported from the `omero.clients` package, which provides a client interface for interacting with the OMERO server.
The `add()` function</t>
        </is>
      </c>
      <c r="I1194" t="n">
        <v>0.0042</v>
      </c>
      <c r="J1194" t="n">
        <v>0.06560000000000001</v>
      </c>
      <c r="K1194" t="n">
        <v>0.121</v>
      </c>
      <c r="L1194" t="inlineStr">
        <is>
          <t>The provided Python code defines a function that interacts with the OMERO image server using the `omero` library. The function takes no arguments and returns nothing. It first imports two modules from the `omero` package: `omero.clients` and `omero.model`. Then, it creates three objects: an `ImageI` object called `image`,</t>
        </is>
      </c>
      <c r="M1194" t="n">
        <v>0.0038</v>
      </c>
      <c r="N1194" t="n">
        <v>0.06900000000000001</v>
      </c>
      <c r="O1194" t="n">
        <v>0.125</v>
      </c>
    </row>
    <row r="1195">
      <c r="A1195" t="inlineStr">
        <is>
          <t>openmicroscopy</t>
        </is>
      </c>
      <c r="B1195" t="inlineStr">
        <is>
          <t>examples/OmeroClients/lists.java</t>
        </is>
      </c>
      <c r="C1195">
        <f>HYPERLINK("https://github.com/ome/openmicroscopy/blob/master/examples/OmeroClients/lists.java")</f>
        <v/>
      </c>
      <c r="D1195" t="inlineStr">
        <is>
          <t>This is a Java program that creates two objects of type `PixelsI` and adds them to an object of type `ImageI`. It then retrieves one of the added pixels using its index (0 in this case), and sets it as the primary pixel for the image. The program does not perform any complex operations or use any external libraries, making its complexity O(N).</t>
        </is>
      </c>
      <c r="E1195" t="n">
        <v>0.0034</v>
      </c>
      <c r="F1195" t="n">
        <v>0.0556</v>
      </c>
      <c r="G1195" t="n">
        <v>0.1111</v>
      </c>
      <c r="H1195" t="inlineStr">
        <is>
          <t>This is Java code that defines a class called "lists" with a single method called "main". The method takes an array of strings as input and performs various operations on it, including creating instances of the "ImageI", "PixelsI", and "PixelType" classes, adding pixels to an image object, getting and setting primary pixels, and iterating over the pixels in an</t>
        </is>
      </c>
      <c r="I1195" t="n">
        <v>0.0037</v>
      </c>
      <c r="J1195" t="n">
        <v>0.0597</v>
      </c>
      <c r="K1195" t="n">
        <v>0.07630000000000001</v>
      </c>
      <c r="L1195" t="inlineStr">
        <is>
          <t>The provided code defines a Java class called "lists" that creates two objects of type "PixelsI" and adds them to an object of type "ImageI". It then retrieves the first pixel from the list using the "getPixels" method and sets the primary pixel of the image to the second pixel using the "setPrimaryPixels" method.</t>
        </is>
      </c>
      <c r="M1195" t="n">
        <v>0.0034</v>
      </c>
      <c r="N1195" t="n">
        <v>0.0323</v>
      </c>
      <c r="O1195" t="n">
        <v>0.0794</v>
      </c>
    </row>
    <row r="1196">
      <c r="A1196" t="inlineStr">
        <is>
          <t>openmicroscopy</t>
        </is>
      </c>
      <c r="B1196" t="inlineStr">
        <is>
          <t>examples/OmeroClients/queries.java</t>
        </is>
      </c>
      <c r="C1196">
        <f>HYPERLINK("https://github.com/ome/openmicroscopy/blob/master/examples/OmeroClients/queries.java")</f>
        <v/>
      </c>
      <c r="D1196" t="inlineStr">
        <is>
          <t>This is Java code that defines a `queries` class with a `main` method that creates a session with the OMERO server using the `omero.client` class, gets the query service using the `ServiceFactoryPrx`, and executes a query on the server using the `IQueryPrx`. The query string is defined as `"select i from Image i where</t>
        </is>
      </c>
      <c r="E1196" t="n">
        <v>0.004</v>
      </c>
      <c r="F1196" t="n">
        <v>0.0635</v>
      </c>
      <c r="G1196" t="n">
        <v>0.119</v>
      </c>
      <c r="H1196" t="inlineStr">
        <is>
          <t>This is Java code that defines a class called `queries` with a single method named `main`. The method takes no arguments and returns nothing. It creates a new instance of the `omero.client` class and uses it to create a session with an OMERO server. Then, it retrieves a service factory proxy object using the `createSession()` method and uses it</t>
        </is>
      </c>
      <c r="I1196" t="n">
        <v>0.0037</v>
      </c>
      <c r="J1196" t="n">
        <v>0.0588</v>
      </c>
      <c r="K1196" t="n">
        <v>0.1145</v>
      </c>
      <c r="L1196" t="inlineStr">
        <is>
          <t>The provided Java code defines a simple command-line application that connects to an OMERO server using the OMERO Web API and executes a query against the database. The query retrieves all images whose ID is equal to 1 and have a name matching the pattern "cell%mit%". The results are returned as a list of `IObject` objects.</t>
        </is>
      </c>
      <c r="M1196" t="n">
        <v>0.0033</v>
      </c>
      <c r="N1196" t="n">
        <v>0.0303</v>
      </c>
      <c r="O1196" t="n">
        <v>0.0781</v>
      </c>
    </row>
    <row r="1197">
      <c r="A1197" t="inlineStr">
        <is>
          <t>openmicroscopy</t>
        </is>
      </c>
      <c r="B1197" t="inlineStr">
        <is>
          <t>examples/OmeroClients/constants.java</t>
        </is>
      </c>
      <c r="C1197">
        <f>HYPERLINK("https://github.com/ome/openmicroscopy/blob/master/examples/OmeroClients/constants.java")</f>
        <v/>
      </c>
      <c r="D1197" t="inlineStr">
        <is>
          <t>The provided code is a Java program that prints two messages to the console using `System.out.println()`. The first message states that by default, no method call can pass more than 512 kilobytes (KB). The second message indicates that when calling the `client.createSession()` method, it will wait for up to 30 seconds (based on the value of</t>
        </is>
      </c>
      <c r="E1197" t="n">
        <v>0</v>
      </c>
      <c r="F1197" t="n">
        <v>0</v>
      </c>
      <c r="G1197" t="n">
        <v>0.0391</v>
      </c>
      <c r="H1197" t="inlineStr">
        <is>
          <t>This is a Java program that defines a class called `constants` with a single method named `main`. The method takes an array of strings as input and prints out two messages to the console using `System.out.println()`. The first message states that by default, no method call can pass more than 512 kilobytes (KB) of data, while the second message</t>
        </is>
      </c>
      <c r="I1197" t="n">
        <v>0.0037</v>
      </c>
      <c r="J1197" t="n">
        <v>0.058</v>
      </c>
      <c r="K1197" t="n">
        <v>0.1145</v>
      </c>
      <c r="L1197" t="inlineStr">
        <is>
          <t>The provided code defines a Java class named `constants` that prints two messages to the console. The first message specifies the maximum size of a method call in kilobytes (KB), while the second message describes the timeout duration for establishing a connection using the `client.createSession()` method.</t>
        </is>
      </c>
      <c r="M1197" t="n">
        <v>0</v>
      </c>
      <c r="N1197" t="n">
        <v>0</v>
      </c>
      <c r="O1197" t="n">
        <v>0.0424</v>
      </c>
    </row>
    <row r="1198">
      <c r="A1198" t="inlineStr">
        <is>
          <t>openmicroscopy</t>
        </is>
      </c>
      <c r="B1198" t="inlineStr">
        <is>
          <t>examples/OmeroClients/iterators.java</t>
        </is>
      </c>
      <c r="C1198">
        <f>HYPERLINK("https://github.com/ome/openmicroscopy/blob/master/examples/OmeroClients/iterators.java")</f>
        <v/>
      </c>
      <c r="D1198" t="inlineStr">
        <is>
          <t>This is Java code that defines a class called `iterators` with a single method named `main`. The method takes an array of strings as input and performs some operations on objects of type `ImageI`, `DatasetI`, and `DatasetImageLinkI`.
The method first creates three instances of these classes: `image`, `dataset`, and `link`. It then</t>
        </is>
      </c>
      <c r="E1198" t="n">
        <v>0.0042</v>
      </c>
      <c r="F1198" t="n">
        <v>0.0667</v>
      </c>
      <c r="G1198" t="n">
        <v>0.0806</v>
      </c>
      <c r="H1198" t="inlineStr">
        <is>
          <t>This Java code defines a `main` method that creates instances of several OMERO-specific classes (`ImageI`, `DatasetI`, `DatasetImageLinkI`) and uses them to iterate over the links between images and datasets in an OMERO database. The `Iterator` interface is used to traverse the list of links, and each element's name is retrieved</t>
        </is>
      </c>
      <c r="I1198" t="n">
        <v>0.0044</v>
      </c>
      <c r="J1198" t="n">
        <v>0.0667</v>
      </c>
      <c r="K1198" t="n">
        <v>0.123</v>
      </c>
      <c r="L1198" t="inlineStr">
        <is>
          <t>The provided code defines a Java class named `iterators` that demonstrates how to iterate over links between images and datasets using the OMERO API. The class has a single method, `main`, which creates an instance of `ImageI`, `DatasetI`, and `DatasetImageLinkI`. It then uses these objects to create a link between the image and dataset,</t>
        </is>
      </c>
      <c r="M1198" t="n">
        <v>0.0034</v>
      </c>
      <c r="N1198" t="n">
        <v>0.0323</v>
      </c>
      <c r="O1198" t="n">
        <v>0.0794</v>
      </c>
    </row>
    <row r="1199">
      <c r="A1199" t="inlineStr">
        <is>
          <t>openmicroscopy</t>
        </is>
      </c>
      <c r="B1199" t="inlineStr">
        <is>
          <t>examples/OmeroClients/getsetattr.py</t>
        </is>
      </c>
      <c r="C1199">
        <f>HYPERLINK("https://github.com/ome/openmicroscopy/blob/master/examples/OmeroClients/getsetattr.py")</f>
        <v/>
      </c>
      <c r="D1199" t="inlineStr">
        <is>
          <t>This is a Python script that defines a class called `ImageI` which inherits from `omerotypes.rstring`. The script also includes two functions named `__getattr__` and `__setattr__`, which are used to set and get attributes on instances of the `ImageI` class.
The first function, `__getattr__`, takes in one argument, `</t>
        </is>
      </c>
      <c r="E1199" t="n">
        <v>0.0045</v>
      </c>
      <c r="F1199" t="n">
        <v>0.1071</v>
      </c>
      <c r="G1199" t="n">
        <v>0.125</v>
      </c>
      <c r="H1199" t="inlineStr">
        <is>
          <t>This is a Python script that defines several functions for working with the OMERO image analysis platform's data model. The script imports the necessary modules from the `omero` package, which provides access to the OMERO server's API. It then defines several functions, including `add`, which adds two numbers together, and `__getattr__` and `__setattr</t>
        </is>
      </c>
      <c r="I1199" t="n">
        <v>0.0041</v>
      </c>
      <c r="J1199" t="n">
        <v>0.127</v>
      </c>
      <c r="K1199" t="n">
        <v>0.16</v>
      </c>
      <c r="L1199" t="inlineStr">
        <is>
          <t>The code defines two classes, `ImageI` and `DatasetLink`. The `ImageI` class has a method called `setName()` that sets the name of the image, and another method called `__getattr__()` that allows accessing attributes using dot notation. The `DatasetLink` class also has a method called `setName()` that sets the name of the dataset link</t>
        </is>
      </c>
      <c r="M1199" t="n">
        <v>0.0035</v>
      </c>
      <c r="N1199" t="n">
        <v>0.0333</v>
      </c>
      <c r="O1199" t="n">
        <v>0.0806</v>
      </c>
    </row>
    <row r="1200">
      <c r="A1200" t="inlineStr">
        <is>
          <t>openmicroscopy</t>
        </is>
      </c>
      <c r="B1200" t="inlineStr">
        <is>
          <t>examples/OmeroClients/sudo.java</t>
        </is>
      </c>
      <c r="C1200">
        <f>HYPERLINK("https://github.com/ome/openmicroscopy/blob/master/examples/OmeroClients/sudo.java")</f>
        <v/>
      </c>
      <c r="D1200" t="inlineStr">
        <is>
          <t>The code is a Java program that creates a new OMERO server instance using the `omero` library, and then uses the `sudo` command to create a new session with elevated privileges for the specified user (in this case, "root"). The program then retrieves the name of the current user from the created session using the `getEventContext()` method of the `</t>
        </is>
      </c>
      <c r="E1200" t="n">
        <v>0.003</v>
      </c>
      <c r="F1200" t="n">
        <v>0.0299</v>
      </c>
      <c r="G1200" t="n">
        <v>0.1136</v>
      </c>
      <c r="H1200" t="inlineStr">
        <is>
          <t>This is a Java program that uses the OMERO API to create a new session with elevated privileges (i.e., as root). The program takes no arguments on the command line. It first creates a connection to the OMERO server using the `omeroclient` library, then it creates a new session with the `root` user and sets its timeout to three</t>
        </is>
      </c>
      <c r="I1200" t="n">
        <v>0.0037</v>
      </c>
      <c r="J1200" t="n">
        <v>0.0588</v>
      </c>
      <c r="K1200" t="n">
        <v>0.1145</v>
      </c>
      <c r="L1200" t="inlineStr">
        <is>
          <t>The provided code is a Java application that utilizes the OMERO API to create a new session as a specific user (in this case, "root") using the `omero.client` class. It then creates a new session with a different name ("sudoSession") that has a limited lifetime (3 minutes). Finally, it joins the existing session with the newly created one using</t>
        </is>
      </c>
      <c r="M1200" t="n">
        <v>0</v>
      </c>
      <c r="N1200" t="n">
        <v>0.0294</v>
      </c>
      <c r="O1200" t="n">
        <v>0.07630000000000001</v>
      </c>
    </row>
    <row r="1201">
      <c r="A1201" t="inlineStr">
        <is>
          <t>openmicroscopy</t>
        </is>
      </c>
      <c r="B1201" t="inlineStr">
        <is>
          <t>examples/OmeroClients/enumerations.java</t>
        </is>
      </c>
      <c r="C1201">
        <f>HYPERLINK("https://github.com/ome/openmicroscopy/blob/master/examples/OmeroClients/enumerations.java")</f>
        <v/>
      </c>
      <c r="D1201" t="inlineStr">
        <is>
          <t>This is a Java program that prints a message to the console using the `System.out` method. The message is a string that describes the format for passing arguments to a function called `omer.constants.projection.ProjectionType`, which appears to be a type of projection used in image processing. The message includes the name of this type of projection, along with some additional information</t>
        </is>
      </c>
      <c r="E1201" t="n">
        <v>0.003</v>
      </c>
      <c r="F1201" t="n">
        <v>0.0556</v>
      </c>
      <c r="G1201" t="n">
        <v>0.07580000000000001</v>
      </c>
      <c r="H1201" t="inlineStr">
        <is>
          <t>This is a Java program that defines a public class called `enumerations` with a single method `main`. The method takes no arguments and has one statement that prints a string to the console using the `System.out.println()` method. The string is formatted using the `String.format()` method and includes a placeholder for the value of the `omeron.constants.pro</t>
        </is>
      </c>
      <c r="I1201" t="n">
        <v>0.004</v>
      </c>
      <c r="J1201" t="n">
        <v>0.0588</v>
      </c>
      <c r="K1201" t="n">
        <v>0.1181</v>
      </c>
      <c r="L1201" t="inlineStr">
        <is>
          <t>The provided code defines a Java class called `enumerations` that has a single method named `main`. The method takes no input parameters and prints a message to the console using the `System.out.println()` method. The message is formatted using the `String.format()` method and includes a placeholder for a string argument. The placeholder is filled with the value of the constant `om</t>
        </is>
      </c>
      <c r="M1201" t="n">
        <v>0.003</v>
      </c>
      <c r="N1201" t="n">
        <v>0.0282</v>
      </c>
      <c r="O1201" t="n">
        <v>0.07580000000000001</v>
      </c>
    </row>
    <row r="1202">
      <c r="A1202" t="inlineStr">
        <is>
          <t>openmicroscopy</t>
        </is>
      </c>
      <c r="B1202" t="inlineStr">
        <is>
          <t>examples/OmeroClients/timeout.py</t>
        </is>
      </c>
      <c r="C1202">
        <f>HYPERLINK("https://github.com/ome/openmicroscopy/blob/master/examples/OmeroClients/timeout.py")</f>
        <v/>
      </c>
      <c r="D1202" t="inlineStr">
        <is>
          <t>The code is a Python script that creates a session with an OMERO server using the `omero` library, creates a rendering engine object, and then starts a background thread called "Keep Alive" that periodically calls the `session.keepAllAlive()` method on the rendering engine object every 5 seconds (as defined by the `IDLETIME` variable).</t>
        </is>
      </c>
      <c r="E1202" t="n">
        <v>0.0035</v>
      </c>
      <c r="F1202" t="n">
        <v>0.0328</v>
      </c>
      <c r="G1202" t="n">
        <v>0.0806</v>
      </c>
      <c r="H1202" t="inlineStr">
        <is>
          <t>This is Python code that creates a session with the OMERO server using the `omero` library, creates a rendering engine object, and starts a background thread to periodically call the `keepAllAlive()` method on the session object to prevent the connection from being closed due to inactivity. The thread runs for twice the value of the IDLETIME constant (which defaults to</t>
        </is>
      </c>
      <c r="I1202" t="n">
        <v>0.0036</v>
      </c>
      <c r="J1202" t="n">
        <v>0.0588</v>
      </c>
      <c r="K1202" t="n">
        <v>0.1136</v>
      </c>
      <c r="L1202" t="inlineStr">
        <is>
          <t>The provided Python script is a client for the OMERO image analysis platform. It establishes a connection to the server using the `omero` library, creates a session, and starts a background thread that periodically calls the `keepAllAlive()` method to prevent the session from timing out. After starting the thread, the script waits for two times the idle timeout before stopping</t>
        </is>
      </c>
      <c r="M1202" t="n">
        <v>0.003</v>
      </c>
      <c r="N1202" t="n">
        <v>0.0294</v>
      </c>
      <c r="O1202" t="n">
        <v>0.07580000000000001</v>
      </c>
    </row>
    <row r="1203">
      <c r="A1203" t="inlineStr">
        <is>
          <t>openmicroscopy</t>
        </is>
      </c>
      <c r="B1203" t="inlineStr">
        <is>
          <t>examples/OmeroClients/configuration.java</t>
        </is>
      </c>
      <c r="C1203">
        <f>HYPERLINK("https://github.com/ome/openmicroscopy/blob/master/examples/OmeroClients/configuration.java")</f>
        <v/>
      </c>
      <c r="D1203" t="inlineStr">
        <is>
          <t>This is a Java program that demonstrates how to use the OMERO API to connect to an OMERO server and perform various operations such as creating a session, retrieving data from the server, and closing the session. The program takes two command-line arguments: the hostname or IP address of the OMERO server and the port number on which it listens</t>
        </is>
      </c>
      <c r="E1203" t="n">
        <v>0.0036</v>
      </c>
      <c r="F1203" t="n">
        <v>0.058</v>
      </c>
      <c r="G1203" t="n">
        <v>0.1136</v>
      </c>
      <c r="H1203" t="inlineStr">
        <is>
          <t>This is a Java program that uses the Ice library to connect to an OMERO server and perform various operations such as creating a session, logging in, and closing the session. The program takes command-line arguments for the hostname and port number of the OMERO server, and it also prompts the user for their username and password if they do not provide them on the</t>
        </is>
      </c>
      <c r="I1203" t="n">
        <v>0.0033</v>
      </c>
      <c r="J1203" t="n">
        <v>0.0541</v>
      </c>
      <c r="K1203" t="n">
        <v>0.1095</v>
      </c>
      <c r="L1203" t="inlineStr">
        <is>
          <t>The provided code is a Java class named `configuration` that defines two methods for creating an instance of the `omero.client` class. The first method takes no arguments and uses the default values for the hostname and port number. The second method takes two strings as arguments and sets them as the username and password before creating a session. Both methods use the `new` operator to instantiate</t>
        </is>
      </c>
      <c r="M1203" t="n">
        <v>0.0028</v>
      </c>
      <c r="N1203" t="n">
        <v>0.0267</v>
      </c>
      <c r="O1203" t="n">
        <v>0.0725</v>
      </c>
    </row>
    <row r="1204">
      <c r="A1204" t="inlineStr">
        <is>
          <t>openmicroscopy</t>
        </is>
      </c>
      <c r="B1204" t="inlineStr">
        <is>
          <t>examples/OmeroClients/staticfields.py</t>
        </is>
      </c>
      <c r="C1204">
        <f>HYPERLINK("https://github.com/ome/openmicroscopy/blob/master/examples/OmeroClients/staticfields.py")</f>
        <v/>
      </c>
      <c r="D1204" t="inlineStr">
        <is>
          <t>This Python script imports the `ImageI` class from the `omero_model_ImageI` module and prints its name and dataset links to the console.</t>
        </is>
      </c>
      <c r="E1204" t="n">
        <v>0.012</v>
      </c>
      <c r="F1204" t="n">
        <v>0.1935</v>
      </c>
      <c r="G1204" t="n">
        <v>0.1613</v>
      </c>
      <c r="H1204" t="inlineStr">
        <is>
          <t>The provided Python code defines a class called `ImageI` that inherits from another class called `ImageI`. It also imports a module called `omero_model_ImageI`, which is likely a library for working with images in OMERO. The code prints out the name of the `ImageI` class and its associated dataset links using the `print()` function. The</t>
        </is>
      </c>
      <c r="I1204" t="n">
        <v>0.004</v>
      </c>
      <c r="J1204" t="n">
        <v>0.0625</v>
      </c>
      <c r="K1204" t="n">
        <v>0.119</v>
      </c>
      <c r="L1204" t="inlineStr">
        <is>
          <t>The provided Python script defines two variables `ImageI` and `ImageI.NAME`, which represent an image object and its name respectively. It then prints out the value of these variables using the `print()` function. Additionally, it also accesses the `DATASETLINKS` attribute of the `ImageI` class and prints its value. Overall, the script appears to be</t>
        </is>
      </c>
      <c r="M1204" t="n">
        <v>0.0035</v>
      </c>
      <c r="N1204" t="n">
        <v>0.0645</v>
      </c>
      <c r="O1204" t="n">
        <v>0.08</v>
      </c>
    </row>
    <row r="1205">
      <c r="A1205" t="inlineStr">
        <is>
          <t>openmicroscopy</t>
        </is>
      </c>
      <c r="B1205" t="inlineStr">
        <is>
          <t>examples/OmeroClients/staticfields.java</t>
        </is>
      </c>
      <c r="C1205">
        <f>HYPERLINK("https://github.com/ome/openmicroscopy/blob/master/examples/OmeroClients/staticfields.java")</f>
        <v/>
      </c>
      <c r="D1205" t="inlineStr">
        <is>
          <t>The provided code is a Java program that uses the OMERO library to interact with an image dataset stored in an OMERO server. It retrieves information about the images in the dataset, including their names and data set links, and prints them to the console.</t>
        </is>
      </c>
      <c r="E1205" t="n">
        <v>0.0041</v>
      </c>
      <c r="F1205" t="n">
        <v>0.0377</v>
      </c>
      <c r="G1205" t="n">
        <v>0.08550000000000001</v>
      </c>
      <c r="H1205" t="inlineStr">
        <is>
          <t>This is Java code that defines a class named `staticfields` with a single method called `main`. The `main` method takes in an array of strings as its argument and prints out the values of two constants defined in the `ImageI` class from the OMERO library. The constants are `ImageI.NAME` and `ImageI.DATASETLINKS`.</t>
        </is>
      </c>
      <c r="I1205" t="n">
        <v>0.0043</v>
      </c>
      <c r="J1205" t="n">
        <v>0.06560000000000001</v>
      </c>
      <c r="K1205" t="n">
        <v>0.0813</v>
      </c>
      <c r="L1205" t="inlineStr">
        <is>
          <t>The provided code defines a Java class named `staticfields` that has a single method called `main`. The `main` method takes an array of string arguments as input and prints two constant values from the `ImageI` class to the console. These constants are `ImageI.NAME` and `ImageI.DATASETLINKS`, which are both strings representing the name and dataset</t>
        </is>
      </c>
      <c r="M1205" t="n">
        <v>0.0034</v>
      </c>
      <c r="N1205" t="n">
        <v>0.0312</v>
      </c>
      <c r="O1205" t="n">
        <v>0.0397</v>
      </c>
    </row>
    <row r="1206">
      <c r="A1206" t="inlineStr">
        <is>
          <t>openmicroscopy</t>
        </is>
      </c>
      <c r="B1206" t="inlineStr">
        <is>
          <t>examples/OmeroClients/sudo.py</t>
        </is>
      </c>
      <c r="C1206">
        <f>HYPERLINK("https://github.com/ome/openmicroscopy/blob/master/examples/OmeroClients/sudo.py")</f>
        <v/>
      </c>
      <c r="D1206" t="inlineStr">
        <is>
          <t>This is Python code that creates a new OMERO server session using the `omeroclient` library. The code first imports the necessary modules, including `sys`, `omero`, and `omeroclient`. It then defines two variables, `args` and `client`, which are used to store command line arguments and an instance of the `omeroclient` class, respectively</t>
        </is>
      </c>
      <c r="E1206" t="n">
        <v>0.0043</v>
      </c>
      <c r="F1206" t="n">
        <v>0.1017</v>
      </c>
      <c r="G1206" t="n">
        <v>0.122</v>
      </c>
      <c r="H1206" t="inlineStr">
        <is>
          <t>This is Python code that creates a new session with a specified timeout for a given principal (user). The code imports the necessary modules from the `omero` package, including `sys`, `omero.client`, and `omero.sys`. It then defines a function called `add` that takes two arguments `a` and `b` and returns their sum. Finally, it</t>
        </is>
      </c>
      <c r="I1206" t="n">
        <v>0.0041</v>
      </c>
      <c r="J1206" t="n">
        <v>0.127</v>
      </c>
      <c r="K1206" t="n">
        <v>0.16</v>
      </c>
      <c r="L1206" t="inlineStr">
        <is>
          <t>The provided Python script establishes a connection to an OMERO server using the `omero` library. It then creates a new session for the root user, sets up a timeout for the session, and retrieves the admin service. Finally, it prints the name of the current user who is associated with the session.</t>
        </is>
      </c>
      <c r="M1206" t="n">
        <v>0.0035</v>
      </c>
      <c r="N1206" t="n">
        <v>0.0333</v>
      </c>
      <c r="O1206" t="n">
        <v>0.0806</v>
      </c>
    </row>
    <row r="1207">
      <c r="A1207" t="inlineStr">
        <is>
          <t>openmicroscopy</t>
        </is>
      </c>
      <c r="B1207" t="inlineStr">
        <is>
          <t>examples/OmeroClients/configuration.py</t>
        </is>
      </c>
      <c r="C1207">
        <f>HYPERLINK("https://github.com/ome/openmicroscopy/blob/master/examples/OmeroClients/configuration.py")</f>
        <v/>
      </c>
      <c r="D1207" t="inlineStr">
        <is>
          <t>The provided Python code is a set of functions that interact with the OMERO server using the `omero` library. It includes three different ways to connect to the server:
1. Using the default configuration (port 4064): `client1 = omero.client()`
2. Specifying the hostname and port number explicitly: `client2</t>
        </is>
      </c>
      <c r="E1207" t="n">
        <v>0.0038</v>
      </c>
      <c r="F1207" t="n">
        <v>0.07140000000000001</v>
      </c>
      <c r="G1207" t="n">
        <v>0.0833</v>
      </c>
      <c r="H1207" t="inlineStr">
        <is>
          <t>This is a Python script that uses the `omero` library to connect to an Open Microscopy Environment (OME) server and perform various operations. The script first tries to establish a connection using the default settings, which may fail if the server is not running on the default port or if there is no configuration file specified. If the connection fails, it then tries again with the most</t>
        </is>
      </c>
      <c r="I1207" t="n">
        <v>0.0032</v>
      </c>
      <c r="J1207" t="n">
        <v>0.0533</v>
      </c>
      <c r="K1207" t="n">
        <v>0.1079</v>
      </c>
      <c r="L1207" t="inlineStr">
        <is>
          <t>The provided Python script is a simple example that demonstrates how to use the `omero` library to connect to an OMERO server and perform various tasks such as creating a session, closing a session, and retrieving data from the server. The script uses the `Ice` library for communication with the OMERO server. It includes several try-catch blocks to handle</t>
        </is>
      </c>
      <c r="M1207" t="n">
        <v>0.0031</v>
      </c>
      <c r="N1207" t="n">
        <v>0.0294</v>
      </c>
      <c r="O1207" t="n">
        <v>0.07630000000000001</v>
      </c>
    </row>
    <row r="1208">
      <c r="A1208" t="inlineStr">
        <is>
          <t>openmicroscopy</t>
        </is>
      </c>
      <c r="B1208" t="inlineStr">
        <is>
          <t>examples/OmeroClients/iterators.py</t>
        </is>
      </c>
      <c r="C1208">
        <f>HYPERLINK("https://github.com/ome/openmicroscopy/blob/master/examples/OmeroClients/iterators.py")</f>
        <v/>
      </c>
      <c r="D1208" t="inlineStr">
        <is>
          <t>This is Python code that defines two classes `ImageI` and `DatasetI`, which inherit from OMERO's `Image` and `Dataset` classes, respectively. The code then creates instances of these classes and uses them to create links between images and datasets, as well as iterating over those links to retrieve information about the linked datasets.</t>
        </is>
      </c>
      <c r="E1208" t="n">
        <v>0.0042</v>
      </c>
      <c r="F1208" t="n">
        <v>0.06560000000000001</v>
      </c>
      <c r="G1208" t="n">
        <v>0.121</v>
      </c>
      <c r="H1208" t="inlineStr">
        <is>
          <t>This is Python code that defines a function `add` which takes two arguments `a` and `b` and returns their sum. The code also includes a README file with information about the project, including its purpose and complexity. Additionally, there is a comment block at the top of the file explaining what the code does.</t>
        </is>
      </c>
      <c r="I1208" t="n">
        <v>0.004</v>
      </c>
      <c r="J1208" t="n">
        <v>0.0968</v>
      </c>
      <c r="K1208" t="n">
        <v>0.119</v>
      </c>
      <c r="L1208" t="inlineStr">
        <is>
          <t>The provided Python code defines two classes, `ImageI` and `DatasetI`, which represent images and datasets respectively. It then creates an instance of each class and uses them to create a link between the two objects. Finally, it iterates over the links associated with the image object and retrieves the name of the child dataset for each link.</t>
        </is>
      </c>
      <c r="M1208" t="n">
        <v>0.0032</v>
      </c>
      <c r="N1208" t="n">
        <v>0.0308</v>
      </c>
      <c r="O1208" t="n">
        <v>0.0775</v>
      </c>
    </row>
    <row r="1209">
      <c r="A1209" t="inlineStr">
        <is>
          <t>openmicroscopy</t>
        </is>
      </c>
      <c r="B1209" t="inlineStr">
        <is>
          <t>examples/OmeroClients/collectionmethods.java</t>
        </is>
      </c>
      <c r="C1209">
        <f>HYPERLINK("https://github.com/ome/openmicroscopy/blob/master/examples/OmeroClients/collectionmethods.java")</f>
        <v/>
      </c>
      <c r="D1209" t="inlineStr">
        <is>
          <t>The provided Java code defines a `collectionmethods` class that provides methods for manipulating collections of objects in OMERO. It includes several methods for creating and modifying collections, as well as methods for iterating over them. The class is designed to work with the OMERO model classes, which define the structure of OMERO data.
The `main()` method</t>
        </is>
      </c>
      <c r="E1209" t="n">
        <v>0.0033</v>
      </c>
      <c r="F1209" t="n">
        <v>0.0312</v>
      </c>
      <c r="G1209" t="n">
        <v>0.0781</v>
      </c>
      <c r="H1209" t="inlineStr">
        <is>
          <t>This is a Java program that defines a class called `collectionmethods` which has a single method called `main`. The `main` method takes no arguments and does not have any return type. It creates an instance of the `Image` class from the `omero.model` package, sets some properties on the object, and then adds a link between the `Image` and a `</t>
        </is>
      </c>
      <c r="I1209" t="n">
        <v>0.0036</v>
      </c>
      <c r="J1209" t="n">
        <v>0.0588</v>
      </c>
      <c r="K1209" t="n">
        <v>0.07580000000000001</v>
      </c>
      <c r="L1209" t="inlineStr">
        <is>
          <t>The provided code defines a Java class called `collectionmethods` that provides methods for manipulating collections of objects. The class has a `main` method that demonstrates how to create a new `Image` object, add a link between an `Image` and a `Dataset`, and retrieve a copy of the `DatasetImageLink` collection associated with the `Image`. The `Image</t>
        </is>
      </c>
      <c r="M1209" t="n">
        <v>0.0033</v>
      </c>
      <c r="N1209" t="n">
        <v>0.0317</v>
      </c>
      <c r="O1209" t="n">
        <v>0.0394</v>
      </c>
    </row>
    <row r="1210">
      <c r="A1210" t="inlineStr">
        <is>
          <t>openmicroscopy</t>
        </is>
      </c>
      <c r="B1210" t="inlineStr">
        <is>
          <t>examples/OmeroClients/updates.java</t>
        </is>
      </c>
      <c r="C1210">
        <f>HYPERLINK("https://github.com/ome/openmicroscopy/blob/master/examples/OmeroClients/updates.java")</f>
        <v/>
      </c>
      <c r="D1210" t="inlineStr">
        <is>
          <t>This is a Java program that uses the OMERO API to create a new image in the OMERO server using the `saveAndReturnObject` method of the `IUpdatePrx` interface. The program takes no arguments on the command line. It creates a new instance of the `omero.client` class with the given arguments, creates a new instance of the</t>
        </is>
      </c>
      <c r="E1210" t="n">
        <v>0.0033</v>
      </c>
      <c r="F1210" t="n">
        <v>0.0312</v>
      </c>
      <c r="G1210" t="n">
        <v>0.07870000000000001</v>
      </c>
      <c r="H1210" t="inlineStr">
        <is>
          <t>This is a Java program that uses the OMERO API to create a new image in the OMERO database, set its name using the `setName` method, and then save it using the `saveAndReturnObject` method of the `IUpdatePrx` interface. The program creates a new session with the OMERO server using the `createSession`</t>
        </is>
      </c>
      <c r="I1210" t="n">
        <v>0.0043</v>
      </c>
      <c r="J1210" t="n">
        <v>0.0678</v>
      </c>
      <c r="K1210" t="n">
        <v>0.122</v>
      </c>
      <c r="L1210" t="inlineStr">
        <is>
          <t>The provided code is a Java application that utilizes the OMERO API to create a new image object in the OMERO database. It takes no command line arguments and saves the newly created image object to the database using the `saveAndReturnObject` method of the `IUpdatePrx` interface. The `main` method creates a new instance of the `ImageI</t>
        </is>
      </c>
      <c r="M1210" t="n">
        <v>0.0033</v>
      </c>
      <c r="N1210" t="n">
        <v>0.0312</v>
      </c>
      <c r="O1210" t="n">
        <v>0.0781</v>
      </c>
    </row>
    <row r="1211">
      <c r="A1211" t="inlineStr">
        <is>
          <t>openmicroscopy</t>
        </is>
      </c>
      <c r="B1211" t="inlineStr">
        <is>
          <t>examples/OmeroClients/rcollection.py</t>
        </is>
      </c>
      <c r="C1211">
        <f>HYPERLINK("https://github.com/ome/openmicroscopy/blob/master/examples/OmeroClients/rcollection.py")</f>
        <v/>
      </c>
      <c r="D1211" t="inlineStr">
        <is>
          <t>This code defines two objects, `list` and `set`, using the OMERO Python client library. The `list` object is created with two string elements "a" and "b", while the `set` object is created with two integer elements 1 and 2. These objects are defined as instances of the `rlist` and `rset` classes from the</t>
        </is>
      </c>
      <c r="E1211" t="n">
        <v>0.0041</v>
      </c>
      <c r="F1211" t="n">
        <v>0.06560000000000001</v>
      </c>
      <c r="G1211" t="n">
        <v>0.12</v>
      </c>
      <c r="H1211" t="inlineStr">
        <is>
          <t>This is a Python script that defines two variables `list` and `set`, which are both instances of the `rlist` and `rset` classes from the `omerotypes` module, respectively. The `list` variable is initialized with two elements, "a" and "b", while the `set` variable is initialized with two integers, 1 and 2.</t>
        </is>
      </c>
      <c r="I1211" t="n">
        <v>0.0044</v>
      </c>
      <c r="J1211" t="n">
        <v>0.1034</v>
      </c>
      <c r="K1211" t="n">
        <v>0.082</v>
      </c>
      <c r="L1211" t="inlineStr">
        <is>
          <t>The provided code defines two variables, `list` and `set`, which are initialized using the `omerotypes` module's `rlist()` and `rset()` functions. These functions take strings or integers as arguments and return lists or sets respectively. The resulting values are then assigned to these variables.</t>
        </is>
      </c>
      <c r="M1211" t="n">
        <v>0.0043</v>
      </c>
      <c r="N1211" t="n">
        <v>0.1154</v>
      </c>
      <c r="O1211" t="n">
        <v>0.08699999999999999</v>
      </c>
    </row>
    <row r="1212">
      <c r="A1212" t="inlineStr">
        <is>
          <t>openmicroscopy</t>
        </is>
      </c>
      <c r="B1212" t="inlineStr">
        <is>
          <t>examples/OmeroClients/constructors.py</t>
        </is>
      </c>
      <c r="C1212">
        <f>HYPERLINK("https://github.com/ome/openmicroscopy/blob/master/examples/OmeroClients/constructors.py")</f>
        <v/>
      </c>
      <c r="D1212" t="inlineStr">
        <is>
          <t>The provided Python code defines a function that creates an instance of the `omero.model.ImageI` class and links it to a dataset using the `linkDataset()` method. It also imports two other modules from the `omero` package: `omero.clients` and `omero.model`.</t>
        </is>
      </c>
      <c r="E1212" t="n">
        <v>0.0049</v>
      </c>
      <c r="F1212" t="n">
        <v>0.08</v>
      </c>
      <c r="G1212" t="n">
        <v>0.1364</v>
      </c>
      <c r="H1212" t="inlineStr">
        <is>
          <t>This Python script imports the `omero` library and creates an instance of the `ImageI` class from the `omero.model` module. It then creates a new instance of the `DatasetI` class with an ID of 1 and sets its `is_primary` attribute to `False`. The `image` object is linked to this dataset using the `linkDat</t>
        </is>
      </c>
      <c r="I1212" t="n">
        <v>0.0042</v>
      </c>
      <c r="J1212" t="n">
        <v>0.0968</v>
      </c>
      <c r="K1212" t="n">
        <v>0.121</v>
      </c>
      <c r="L1212" t="inlineStr">
        <is>
          <t>The code is a Python script that uses the OMERO API to create a new image object and link it to a dataset. It imports the necessary modules from the OMERO library and creates an instance of the ImageI class. Then, it sets up a variable for the dataset ID (1) and passes it as an argument to the linkDataset method of the image object</t>
        </is>
      </c>
      <c r="M1212" t="n">
        <v>0.0028</v>
      </c>
      <c r="N1212" t="n">
        <v>0.0548</v>
      </c>
      <c r="O1212" t="n">
        <v>0.1095</v>
      </c>
    </row>
    <row r="1213">
      <c r="A1213" t="inlineStr">
        <is>
          <t>openmicroscopy</t>
        </is>
      </c>
      <c r="B1213" t="inlineStr">
        <is>
          <t>examples/OmeroClients/updates.py</t>
        </is>
      </c>
      <c r="C1213">
        <f>HYPERLINK("https://github.com/ome/openmicroscopy/blob/master/examples/OmeroClients/updates.py")</f>
        <v/>
      </c>
      <c r="D1213" t="inlineStr">
        <is>
          <t>This is Python code that creates an object of type `omero.model.ImageI` with some attributes set to specific values. It then uses the OMERO Web API to create a new session, retrieve an update service from the session, and save the created image object using the update service. Finally, it closes the session.</t>
        </is>
      </c>
      <c r="E1213" t="n">
        <v>0.0042</v>
      </c>
      <c r="F1213" t="n">
        <v>0.0645</v>
      </c>
      <c r="G1213" t="n">
        <v>0.121</v>
      </c>
      <c r="H1213" t="inlineStr">
        <is>
          <t>This is a Python script that uses the `omero` library to create a new image in an OMERO server. The script takes no arguments on the command line and assumes that it should connect to the default OMERO server running on localhost. It creates a new session with the server using the `omeroclient()` function, then retrieves an update service from the session</t>
        </is>
      </c>
      <c r="I1213" t="n">
        <v>0.0035</v>
      </c>
      <c r="J1213" t="n">
        <v>0.0571</v>
      </c>
      <c r="K1213" t="n">
        <v>0.1119</v>
      </c>
      <c r="L1213" t="inlineStr">
        <is>
          <t>The provided Python script is a simple example that demonstrates how to create an image object using the OMERO API and save it to the OMERO server. It takes no input arguments and creates a new image with a name and acquisition date set to the current timestamp. The script uses the `omerotool` library to connect to the OMERO server and retrieve</t>
        </is>
      </c>
      <c r="M1213" t="n">
        <v>0.0029</v>
      </c>
      <c r="N1213" t="n">
        <v>0.0286</v>
      </c>
      <c r="O1213" t="n">
        <v>0.0746</v>
      </c>
    </row>
    <row r="1214">
      <c r="A1214" t="inlineStr">
        <is>
          <t>openmicroscopy</t>
        </is>
      </c>
      <c r="B1214" t="inlineStr">
        <is>
          <t>examples/OmeroClients/primitives.java</t>
        </is>
      </c>
      <c r="C1214">
        <f>HYPERLINK("https://github.com/ome/openmicroscopy/blob/master/examples/OmeroClients/primitives.java")</f>
        <v/>
      </c>
      <c r="D1214" t="inlineStr">
        <is>
          <t>The provided code defines a Java class called `primitives` with a single method named `main`. Within this method, four variables are declared using the `omero.RString`, `omero.RBool`, `omero.RLong`, and `omero.RInt` classes from the `omero.rtypes` package to represent strings, booleans,</t>
        </is>
      </c>
      <c r="E1214" t="n">
        <v>0.0049</v>
      </c>
      <c r="F1214" t="n">
        <v>0.0784</v>
      </c>
      <c r="G1214" t="n">
        <v>0.1364</v>
      </c>
      <c r="H1214" t="inlineStr">
        <is>
          <t>This is a Java program that defines a class called "primitives" with a single method called "main". The method takes an array of strings as input and creates four objects of different primitive types (strings, booleans, longs, and integers). These objects are created using the appropriate constructors from the "omero.rtypes" package. The program does not perform any</t>
        </is>
      </c>
      <c r="I1214" t="n">
        <v>0.0038</v>
      </c>
      <c r="J1214" t="n">
        <v>0.0606</v>
      </c>
      <c r="K1214" t="n">
        <v>0.1163</v>
      </c>
      <c r="L1214" t="inlineStr">
        <is>
          <t>The provided code defines a Java class named "primitives" that has a single method called "main". Within this method, four primitive variables are declared and initialized using the corresponding primitive wrapper classes (e.g., RString for String). These variables are used as arguments to various methods within the scope of the main method. Overall, the purpose of this code appears to be demonstrating</t>
        </is>
      </c>
      <c r="M1214" t="n">
        <v>0.0029</v>
      </c>
      <c r="N1214" t="n">
        <v>0.0563</v>
      </c>
      <c r="O1214" t="n">
        <v>0.1119</v>
      </c>
    </row>
    <row r="1215">
      <c r="A1215" t="inlineStr">
        <is>
          <t>openmicroscopy</t>
        </is>
      </c>
      <c r="B1215" t="inlineStr">
        <is>
          <t>examples/OmeroClients/timeout.java</t>
        </is>
      </c>
      <c r="C1215">
        <f>HYPERLINK("https://github.com/ome/openmicroscopy/blob/master/examples/OmeroClients/timeout.java")</f>
        <v/>
      </c>
      <c r="D1215" t="inlineStr">
        <is>
          <t>The code is a Java program that connects to an OMERO server using the `omero` library and performs various operations on the connected session. It creates a rendering engine object, which is used to keep the connection alive by sending keep-alive messages to the server at regular intervals. The interval between these messages can be specified as a command-line argument, with a default</t>
        </is>
      </c>
      <c r="E1215" t="n">
        <v>0.0029</v>
      </c>
      <c r="F1215" t="n">
        <v>0.0274</v>
      </c>
      <c r="G1215" t="n">
        <v>0.0741</v>
      </c>
      <c r="H1215" t="inlineStr">
        <is>
          <t>This code is a Java program that uses the OMERO API to create a session with an OMERO server, retrieve the event context, and then start a thread that periodically calls the `keepAlive` method on the rendering engine service to prevent the session from timing out. The `IDLETIME` constant determines how often the keep alive call should be made.</t>
        </is>
      </c>
      <c r="I1215" t="n">
        <v>0.0037</v>
      </c>
      <c r="J1215" t="n">
        <v>0.0597</v>
      </c>
      <c r="K1215" t="n">
        <v>0.1145</v>
      </c>
      <c r="L1215" t="inlineStr">
        <is>
          <t>The provided code is a Java application that utilizes the OMERO API to connect to an OMERO server and retrieve the session UUID. It also creates a rendering engine object to perform a "keep alive" operation every `idletime` seconds. The code takes an optional argument `idletime`, which defaults to 5 if no value is passed.</t>
        </is>
      </c>
      <c r="M1215" t="n">
        <v>0.0033</v>
      </c>
      <c r="N1215" t="n">
        <v>0.0317</v>
      </c>
      <c r="O1215" t="n">
        <v>0.0394</v>
      </c>
    </row>
    <row r="1216">
      <c r="A1216" t="inlineStr">
        <is>
          <t>openmicroscopy</t>
        </is>
      </c>
      <c r="B1216" t="inlineStr">
        <is>
          <t>examples/OmeroClients/queries.py</t>
        </is>
      </c>
      <c r="C1216">
        <f>HYPERLINK("https://github.com/ome/openmicroscopy/blob/master/examples/OmeroClients/queries.py")</f>
        <v/>
      </c>
      <c r="D1216" t="inlineStr">
        <is>
          <t>The provided Python code is a client for the OMERO image analysis system. It creates a session with the server using the `omeros` library, retrieves a query service object (`q`), and then executes a query to find all images in the database that have an ID of 1 and a name matching the pattern "cell%mit%". The query uses a named parameter `:</t>
        </is>
      </c>
      <c r="E1216" t="n">
        <v>0.0029</v>
      </c>
      <c r="F1216" t="n">
        <v>0.0286</v>
      </c>
      <c r="G1216" t="n">
        <v>0.0746</v>
      </c>
      <c r="H1216" t="inlineStr">
        <is>
          <t>This is a Python script that uses the `omero` library to connect to an OMERO server and execute a query for images with a specific ID and name pattern. The script takes no arguments on the command line. It imports several modules, including `sys`, `omerotypes`, and `omeroservice`. It then creates a new session using the `client.createSession</t>
        </is>
      </c>
      <c r="I1216" t="n">
        <v>0.0039</v>
      </c>
      <c r="J1216" t="n">
        <v>0.09229999999999999</v>
      </c>
      <c r="K1216" t="n">
        <v>0.1172</v>
      </c>
      <c r="L1216" t="inlineStr">
        <is>
          <t>The code is a Python script that uses the `omero` library to connect to an OMERO server and perform a query for images based on their ID and name. It takes two parameters: a list of image IDs and a named parameter containing a string pattern to match against the image names. The query returns all images whose ID matches one of the specified IDs and whose name matches the</t>
        </is>
      </c>
      <c r="M1216" t="n">
        <v>0.0026</v>
      </c>
      <c r="N1216" t="n">
        <v>0.0256</v>
      </c>
      <c r="O1216" t="n">
        <v>0.0704</v>
      </c>
    </row>
    <row r="1217">
      <c r="A1217" t="inlineStr">
        <is>
          <t>openmicroscopy</t>
        </is>
      </c>
      <c r="B1217" t="inlineStr">
        <is>
          <t>examples/OmeroClients/interfaces.py</t>
        </is>
      </c>
      <c r="C1217">
        <f>HYPERLINK("https://github.com/ome/openmicroscopy/blob/master/examples/OmeroClients/interfaces.py")</f>
        <v/>
      </c>
      <c r="D1217" t="inlineStr">
        <is>
          <t>The provided code is part of a Python package that defines several classes related to experimenters and their relationships with events and groups. The main classes defined in this package are:
1. `EventI`: This class represents an event in OMERO, which can be associated with one or more experimenters. It has some basic properties such as name, description, and date, but</t>
        </is>
      </c>
      <c r="E1217" t="n">
        <v>0.0036</v>
      </c>
      <c r="F1217" t="n">
        <v>0.058</v>
      </c>
      <c r="G1217" t="n">
        <v>0.1128</v>
      </c>
      <c r="H1217" t="inlineStr">
        <is>
          <t>This is a Python script that defines several classes related to experimental data management using the OMERO format. The main class defined in this file is `EventI`, which represents an event in the OMERO system. Other classes included in this file are `ExperimenterI` and `GroupExperimenterMapI`. These classes inherit from the `EventI` class and</t>
        </is>
      </c>
      <c r="I1217" t="n">
        <v>0.0041</v>
      </c>
      <c r="J1217" t="n">
        <v>0.06560000000000001</v>
      </c>
      <c r="K1217" t="n">
        <v>0.12</v>
      </c>
      <c r="L1217" t="inlineStr">
        <is>
          <t>The provided code defines several classes related to events, experimenters, and group-experimenter maps. It also includes assertions that verify certain properties of these classes, such as immutability, globalness, annotated status, and linkage.</t>
        </is>
      </c>
      <c r="M1217" t="n">
        <v>0.0058</v>
      </c>
      <c r="N1217" t="n">
        <v>0.0488</v>
      </c>
      <c r="O1217" t="n">
        <v>0.0481</v>
      </c>
    </row>
    <row r="1218">
      <c r="A1218" t="inlineStr">
        <is>
          <t>openmicroscopy</t>
        </is>
      </c>
      <c r="B1218" t="inlineStr">
        <is>
          <t>examples/OmeroClients/details.java</t>
        </is>
      </c>
      <c r="C1218">
        <f>HYPERLINK("https://github.com/ome/openmicroscopy/blob/master/examples/OmeroClients/details.java")</f>
        <v/>
      </c>
      <c r="D1218" t="inlineStr">
        <is>
          <t>This is Java code that demonstrates how to create and manipulate objects in the OMERO API. The code creates an `Image` object and retrieves its `Details` object using the `getDetails()` method. It then sets permissions on the `Details` object by creating a `Permissions` object and setting its `userRead` property to true, and assigns this permission</t>
        </is>
      </c>
      <c r="E1218" t="n">
        <v>0.004</v>
      </c>
      <c r="F1218" t="n">
        <v>0.0635</v>
      </c>
      <c r="G1218" t="n">
        <v>0.1181</v>
      </c>
      <c r="H1218" t="inlineStr">
        <is>
          <t>This is a Java program that creates an instance of the `details` class, which represents information about an image in an imaging system. The program sets various properties on the `details` object, including the permissions for reading and writing the image, as well as the owner and group of the image. It also retrieves some other metadata associated with the image, such as its creation event and</t>
        </is>
      </c>
      <c r="I1218" t="n">
        <v>0.0032</v>
      </c>
      <c r="J1218" t="n">
        <v>0.0533</v>
      </c>
      <c r="K1218" t="n">
        <v>0.07190000000000001</v>
      </c>
      <c r="L1218" t="inlineStr">
        <is>
          <t>The provided Java code defines a `details` class that provides methods for working with image details. It creates a new instance of the `Image` class, gets the details of the image using the `getDetails()` method, sets permissions for the user to read the image using the `setPermissions()` method, and sets the owner and group of the image using the `setOwner()` and</t>
        </is>
      </c>
      <c r="M1218" t="n">
        <v>0.003</v>
      </c>
      <c r="N1218" t="n">
        <v>0.029</v>
      </c>
      <c r="O1218" t="n">
        <v>0.0752</v>
      </c>
    </row>
    <row r="1219">
      <c r="A1219" t="inlineStr">
        <is>
          <t>openmicroscopy</t>
        </is>
      </c>
      <c r="B1219" t="inlineStr">
        <is>
          <t>examples/OmeroClients/unloaded.java</t>
        </is>
      </c>
      <c r="C1219">
        <f>HYPERLINK("https://github.com/ome/openmicroscopy/blob/master/examples/OmeroClients/unloaded.java")</f>
        <v/>
      </c>
      <c r="D1219" t="inlineStr">
        <is>
          <t>The provided code defines a Java class named `unloaded` with a single method called `main`. This method creates two instances of the `ImageI` class from the OMERO library, which represents images in OMERO. The first instance is created without any arguments, which means it is initially loaded. The second instance is created with a boolean argument set to `false`,</t>
        </is>
      </c>
      <c r="E1219" t="n">
        <v>0.0031</v>
      </c>
      <c r="F1219" t="n">
        <v>0.0299</v>
      </c>
      <c r="G1219" t="n">
        <v>0.0382</v>
      </c>
      <c r="H1219" t="inlineStr">
        <is>
          <t>This Java program demonstrates how to create and use unloaded objects in the OMERO library for image analysis. The `ImageI` class represents an image in OMERO, and it has methods for loading and unloading the image from memory. By default, an `ImageI` object is created as a loaded object, meaning that its data is already available in memory.</t>
        </is>
      </c>
      <c r="I1219" t="n">
        <v>0.0037</v>
      </c>
      <c r="J1219" t="n">
        <v>0.0606</v>
      </c>
      <c r="K1219" t="n">
        <v>0.1154</v>
      </c>
      <c r="L1219" t="inlineStr">
        <is>
          <t>The provided code defines a Java class named `unloaded` that demonstrates how to create and manipulate objects of type `ImageI`. The class has a single method `main`, which creates two instances of `ImageI`: one loaded and one unloaded. The unloaded instance is created using a constructor that takes a boolean argument indicating whether the object should be loaded or not. The method then</t>
        </is>
      </c>
      <c r="M1219" t="n">
        <v>0.0029</v>
      </c>
      <c r="N1219" t="n">
        <v>0.0282</v>
      </c>
      <c r="O1219" t="n">
        <v>0.0741</v>
      </c>
    </row>
    <row r="1220">
      <c r="A1220" t="inlineStr">
        <is>
          <t>openmicroscopy</t>
        </is>
      </c>
      <c r="B1220" t="inlineStr">
        <is>
          <t>examples/Training/markup.py</t>
        </is>
      </c>
      <c r="C1220">
        <f>HYPERLINK("https://github.com/ome/openmicroscopy/blob/master/examples/Training/markup.py")</f>
        <v/>
      </c>
      <c r="D1220" t="inlineStr">
        <is>
          <t>This Python script reads a list of text files and generates Wiki output. It uses the `lines` function to iterate over each line in each file, skipping any header information that may be present. The `blocks` function then iterates over the remaining lines in each file, looking for instances of the "END_MARKER" string. When it finds one, it</t>
        </is>
      </c>
      <c r="E1220" t="n">
        <v>0.0037</v>
      </c>
      <c r="F1220" t="n">
        <v>0.0597</v>
      </c>
      <c r="G1220" t="n">
        <v>0.1154</v>
      </c>
      <c r="H1220" t="inlineStr">
        <is>
          <t>This Python script reads a list of text files and generates Wiki output based on certain criteria. The script uses regular expressions to identify specific patterns in the input files and extract relevant information. It then outputs this information to standard output or a file specified by the user. The complexity of the script is O(N), where N is the number of input files. The comments indicate that the script implements</t>
        </is>
      </c>
      <c r="I1220" t="n">
        <v>0.0034</v>
      </c>
      <c r="J1220" t="n">
        <v>0.05</v>
      </c>
      <c r="K1220" t="n">
        <v>0.1399</v>
      </c>
      <c r="L1220" t="inlineStr">
        <is>
          <t>The provided Python script parses a list of text files and generates Wiki output. It uses the `lines` function to iterate over each line in the input file, and the `blocks` function to group consecutive lines into blocks based on a specific marker (`END_MARKER`). The resulting blocks are then processed further by the script.</t>
        </is>
      </c>
      <c r="M1220" t="n">
        <v>0.0034</v>
      </c>
      <c r="N1220" t="n">
        <v>0.0635</v>
      </c>
      <c r="O1220" t="n">
        <v>0.0794</v>
      </c>
    </row>
    <row r="1221">
      <c r="A1221" t="inlineStr">
        <is>
          <t>openmicroscopy</t>
        </is>
      </c>
      <c r="B1221" t="inlineStr">
        <is>
          <t>examples/Training/python/__main__.py</t>
        </is>
      </c>
      <c r="C1221">
        <f>HYPERLINK("https://github.com/ome/openmicroscopy/blob/master/examples/Training/python/__main__.py")</f>
        <v/>
      </c>
      <c r="D1221" t="inlineStr">
        <is>
          <t>This code defines a Python script that runs various OMERO training exercises. It imports several modules from the `omero` package, including `omero.cli`, `omero.gateway`, and `omero.model`. The script then executes several other scripts located in the same directory as this one, using the `exec()` function to run them. These scripts</t>
        </is>
      </c>
      <c r="E1221" t="n">
        <v>0.0045</v>
      </c>
      <c r="F1221" t="n">
        <v>0.1</v>
      </c>
      <c r="G1221" t="n">
        <v>0.1653</v>
      </c>
      <c r="H1221" t="inlineStr">
        <is>
          <t>This Python script defines a set of functions that perform various operations on data stored in a database. The script imports several modules from the `os` module, including `os.path`, which provides utilities for working with file paths. It also uses the `__name__` variable to determine whether it is being run as a standalone script or imported by another module. If it is being run</t>
        </is>
      </c>
      <c r="I1221" t="n">
        <v>0.0028</v>
      </c>
      <c r="J1221" t="n">
        <v>0.0548</v>
      </c>
      <c r="K1221" t="n">
        <v>0.1103</v>
      </c>
      <c r="L1221" t="inlineStr">
        <is>
          <t>The provided Python script appears to be a collection of training exercises for using the OMERO image analysis platform. It imports various modules from the `omero` package and executes several scripts that demonstrate various features of the platform, such as bulk shape creation, connecting to an OMERO server, creating images, deleting objects, managing filesets, setting permissions, accessing metadata</t>
        </is>
      </c>
      <c r="M1221" t="n">
        <v>0.0031</v>
      </c>
      <c r="N1221" t="n">
        <v>0.0606</v>
      </c>
      <c r="O1221" t="n">
        <v>0.1154</v>
      </c>
    </row>
    <row r="1222">
      <c r="A1222" t="inlineStr">
        <is>
          <t>openmicroscopy</t>
        </is>
      </c>
      <c r="B1222" t="inlineStr">
        <is>
          <t>examples/Training/python/Write_Data.py</t>
        </is>
      </c>
      <c r="C1222">
        <f>HYPERLINK("https://github.com/ome/openmicroscopy/blob/master/examples/Training/python/Write_Data.py")</f>
        <v/>
      </c>
      <c r="D1222" t="inlineStr">
        <is>
          <t>This Python script creates a new OMERO dataset using the `BlitzGateway` class from the `omero` library. The script first imports the necessary modules, including `os`, `omerotypes`, `omero`, and `Parse_OMERO_Properties`. It then defines a constant for the username, password, hostname, and port number used to</t>
        </is>
      </c>
      <c r="E1222" t="n">
        <v>0.005</v>
      </c>
      <c r="F1222" t="n">
        <v>0.1111</v>
      </c>
      <c r="G1222" t="n">
        <v>0.1293</v>
      </c>
      <c r="H1222" t="inlineStr">
        <is>
          <t>This Python script creates a new dataset in an OMERO server using the Blitz Gateway API. It first establishes a connection with the OMERO server using the `BlitzGateway` class from the `omero` module. Then it creates a new instance of the `DatasetI` object and sets its name using the `setName()` method.</t>
        </is>
      </c>
      <c r="I1222" t="n">
        <v>0.0043</v>
      </c>
      <c r="J1222" t="n">
        <v>0.1017</v>
      </c>
      <c r="K1222" t="n">
        <v>0.122</v>
      </c>
      <c r="L1222" t="inlineStr">
        <is>
          <t>The code creates a new dataset in the OMERO database using the Blitz Gateway API. It first establishes a connection to the server, then creates a new `omero.model.DatasetI` object and sets its name. Finally, it saves the object and retrieves its ID for printing. Additionally, the code also links the newly created dataset to a specific project</t>
        </is>
      </c>
      <c r="M1222" t="n">
        <v>0.0032</v>
      </c>
      <c r="N1222" t="n">
        <v>0.0299</v>
      </c>
      <c r="O1222" t="n">
        <v>0.0775</v>
      </c>
    </row>
    <row r="1223">
      <c r="A1223" t="inlineStr">
        <is>
          <t>openmicroscopy</t>
        </is>
      </c>
      <c r="B1223" t="inlineStr">
        <is>
          <t>examples/Training/python/ROIs.py</t>
        </is>
      </c>
      <c r="C1223">
        <f>HYPERLINK("https://github.com/ome/openmicroscopy/blob/master/examples/Training/python/ROIs.py")</f>
        <v/>
      </c>
      <c r="D1223" t="inlineStr">
        <is>
          <t>This code defines a function called `main` that performs several tasks related to creating and manipulating regions of interest (ROIs) in an OMERO image. The function takes no arguments and returns nothing. Here's a high-level overview of what it does:
1. It imports various modules, including NumPy for numerical computations, the OMERO</t>
        </is>
      </c>
      <c r="E1223" t="n">
        <v>0.0042</v>
      </c>
      <c r="F1223" t="n">
        <v>0.0968</v>
      </c>
      <c r="G1223" t="n">
        <v>0.121</v>
      </c>
      <c r="H1223" t="inlineStr">
        <is>
          <t>This code defines a function called `add` that takes two arguments `a` and `b` and returns their sum. The function uses the built-in `+` operator to perform the addition. It also includes a comment explaining what the function does and its complexity.</t>
        </is>
      </c>
      <c r="I1223" t="n">
        <v>0.0052</v>
      </c>
      <c r="J1223" t="n">
        <v>0.12</v>
      </c>
      <c r="K1223" t="n">
        <v>0.1316</v>
      </c>
      <c r="L1223" t="inlineStr">
        <is>
          <t>The given code is written in Python and uses the `omero` library to interact with an OMERO server. It defines a function called `main()` that performs the following tasks:
1. Connects to an OMERO server using the `BlitzGateway` class from the `omero.gateway` module.
2. Loads an</t>
        </is>
      </c>
      <c r="M1223" t="n">
        <v>0.004</v>
      </c>
      <c r="N1223" t="n">
        <v>0.0364</v>
      </c>
      <c r="O1223" t="n">
        <v>0.0847</v>
      </c>
    </row>
    <row r="1224">
      <c r="A1224" t="inlineStr">
        <is>
          <t>openmicroscopy</t>
        </is>
      </c>
      <c r="B1224" t="inlineStr">
        <is>
          <t>examples/Training/python/Metadata.py</t>
        </is>
      </c>
      <c r="C1224">
        <f>HYPERLINK("https://github.com/ome/openmicroscopy/blob/master/examples/Training/python/Metadata.py")</f>
        <v/>
      </c>
      <c r="D1224" t="inlineStr">
        <is>
          <t>The code provides a Python script that connects to an OMERO server using the `BlitzGateway` class from the `omero` library, loads an image with ID `imageId`, and retrieves its instrument information. If the instrument has a microscope associated with it, the script prints out the model and type of the microscope.</t>
        </is>
      </c>
      <c r="E1224" t="n">
        <v>0.0036</v>
      </c>
      <c r="F1224" t="n">
        <v>0.0339</v>
      </c>
      <c r="G1224" t="n">
        <v>0.0813</v>
      </c>
      <c r="H1224" t="inlineStr">
        <is>
          <t>This code defines a Python script that connects to an OMERO server using the `BlitzGateway` class from the `omero` library. It then retrieves an image with a given ID and prints information about its instrument, including the model and type of microscope it was used on.</t>
        </is>
      </c>
      <c r="I1224" t="n">
        <v>0.0048</v>
      </c>
      <c r="J1224" t="n">
        <v>0.0741</v>
      </c>
      <c r="K1224" t="n">
        <v>0.1271</v>
      </c>
      <c r="L1224" t="inlineStr">
        <is>
          <t>The code establishes a connection to an imaging system using the OMERO API and retrieves information about the instrument used to capture the image. It then prints out details about the instrument, including its model and type.</t>
        </is>
      </c>
      <c r="M1224" t="n">
        <v>0.005</v>
      </c>
      <c r="N1224" t="n">
        <v>0.0444</v>
      </c>
      <c r="O1224" t="n">
        <v>0.0917</v>
      </c>
    </row>
    <row r="1225">
      <c r="A1225" t="inlineStr">
        <is>
          <t>openmicroscopy</t>
        </is>
      </c>
      <c r="B1225" t="inlineStr">
        <is>
          <t>examples/Training/python/Bulk_Shapes.py</t>
        </is>
      </c>
      <c r="C1225">
        <f>HYPERLINK("https://github.com/ome/openmicroscopy/blob/master/examples/Training/python/Bulk_Shapes.py")</f>
        <v/>
      </c>
      <c r="D1225" t="inlineStr">
        <is>
          <t>This Python script creates a new ROI (Region Of Interest) object in OMERO, which is a software platform for managing and analyzing microscopic images. The script uses the OMERO Web API to create a new ROI object and adds N shapes to it, where N is specified by the user. Each shape is a Point object that has X and Y</t>
        </is>
      </c>
      <c r="E1225" t="n">
        <v>0.0039</v>
      </c>
      <c r="F1225" t="n">
        <v>0.08699999999999999</v>
      </c>
      <c r="G1225" t="n">
        <v>0.1504</v>
      </c>
      <c r="H1225" t="inlineStr">
        <is>
          <t>The provided code creates a new ROI object in the OMERO database using the `BlitzGateway` class from the `omero` package. It then adds N shapes to the ROI by creating a new `PointI` object for each shape and adding it to the ROI's list of shapes using the `addShape()` method. Finally, the updated</t>
        </is>
      </c>
      <c r="I1225" t="n">
        <v>0.0035</v>
      </c>
      <c r="J1225" t="n">
        <v>0.0323</v>
      </c>
      <c r="K1225" t="n">
        <v>0.08</v>
      </c>
      <c r="L1225" t="inlineStr">
        <is>
          <t>The provided code creates an OMERO Roi object with 20 points as shapes using the Blitz Gateway API.</t>
        </is>
      </c>
      <c r="M1225" t="n">
        <v>0</v>
      </c>
      <c r="N1225" t="n">
        <v>0</v>
      </c>
      <c r="O1225" t="n">
        <v>0.0556</v>
      </c>
    </row>
    <row r="1226">
      <c r="A1226" t="inlineStr">
        <is>
          <t>openmicroscopy</t>
        </is>
      </c>
      <c r="B1226" t="inlineStr">
        <is>
          <t>examples/Training/python/Raw_Data_Access.py</t>
        </is>
      </c>
      <c r="C1226">
        <f>HYPERLINK("https://github.com/ome/openmicroscopy/blob/master/examples/Training/python/Raw_Data_Access.py")</f>
        <v/>
      </c>
      <c r="D1226" t="inlineStr">
        <is>
          <t>This code retrieves a specific plane from an OMERO image using the `BlitzGateway` class from the `omero` library. The `USERNAME`, `PASSWORD`, `HOST`, and `PORT` variables are defined at the top of the file, along with the ID of the image to retrieve (`imageId`).
The code then creates a new</t>
        </is>
      </c>
      <c r="E1226" t="n">
        <v>0.0045</v>
      </c>
      <c r="F1226" t="n">
        <v>0.0702</v>
      </c>
      <c r="G1226" t="n">
        <v>0.124</v>
      </c>
      <c r="H1226" t="inlineStr">
        <is>
          <t>This Python script uses the `BlitzGateway` class from the `omero` package to connect to an OMERO server and retrieve a specific image. The script then retrieves the pixel data for that image using the `getPixelsWrapper()` method, which returns a 2D numpy array representing the image data. The size of the image is also retrieved and</t>
        </is>
      </c>
      <c r="I1226" t="n">
        <v>0.004</v>
      </c>
      <c r="J1226" t="n">
        <v>0.0635</v>
      </c>
      <c r="K1226" t="n">
        <v>0.1181</v>
      </c>
      <c r="L1226" t="inlineStr">
        <is>
          <t>The provided Python script connects to an OMERO server using the `BlitzGateway` class from the `omero` library. It then retrieves a specific plane of an image by ID and converts it into a 2D numpy array using the `pixelswrapper` method. The resulting numpy array can be further processed using various analysis routines available in the</t>
        </is>
      </c>
      <c r="M1226" t="n">
        <v>0.0033</v>
      </c>
      <c r="N1226" t="n">
        <v>0.0317</v>
      </c>
      <c r="O1226" t="n">
        <v>0.07870000000000001</v>
      </c>
    </row>
    <row r="1227">
      <c r="A1227" t="inlineStr">
        <is>
          <t>openmicroscopy</t>
        </is>
      </c>
      <c r="B1227" t="inlineStr">
        <is>
          <t>examples/Training/python/Delete.py</t>
        </is>
      </c>
      <c r="C1227">
        <f>HYPERLINK("https://github.com/ome/openmicroscopy/blob/master/examples/Training/python/Delete.py")</f>
        <v/>
      </c>
      <c r="D1227" t="inlineStr">
        <is>
          <t>The provided Python script uses the OMERO API to interact with an OMERO server. It creates two projects on the server using the `create_project` function, then deletes one of them using the `delete_project` function. The script also imports the `Parse_OMERO_Properties` module, which is used to read properties from a file containing username</t>
        </is>
      </c>
      <c r="E1227" t="n">
        <v>0</v>
      </c>
      <c r="F1227" t="n">
        <v>0.0312</v>
      </c>
      <c r="G1227" t="n">
        <v>0.0403</v>
      </c>
      <c r="H1227" t="inlineStr">
        <is>
          <t>This code defines a Python script that interacts with the Open Microscopy Environment (OME) server using the `BlitzGateway` class from the `omero` module. The script performs several operations on the OME server, including creating a new project, deleting a project, and retrieving information about projects.
The script first imports the necessary modules, including `</t>
        </is>
      </c>
      <c r="I1227" t="n">
        <v>0.004</v>
      </c>
      <c r="J1227" t="n">
        <v>0.0984</v>
      </c>
      <c r="K1227" t="n">
        <v>0.119</v>
      </c>
      <c r="L1227" t="inlineStr">
        <is>
          <t>The provided Python script uses the `BlitzGateway` class from the `omero` module to connect to an OMERO server and perform various operations such as creating, deleting, and updating projects. It also demonstrates how to use the `Parse_OMERO_Properties` module to obtain user credentials and server details. The script includes comments that provide additional context and</t>
        </is>
      </c>
      <c r="M1227" t="n">
        <v>0.004</v>
      </c>
      <c r="N1227" t="n">
        <v>0.0625</v>
      </c>
      <c r="O1227" t="n">
        <v>0.119</v>
      </c>
    </row>
    <row r="1228">
      <c r="A1228" t="inlineStr">
        <is>
          <t>openmicroscopy</t>
        </is>
      </c>
      <c r="B1228" t="inlineStr">
        <is>
          <t>examples/Training/python/Scripting_Service_Example.py</t>
        </is>
      </c>
      <c r="C1228">
        <f>HYPERLINK("https://github.com/ome/openmicroscopy/blob/master/examples/Training/python/Scripting_Service_Example.py")</f>
        <v/>
      </c>
      <c r="D1228" t="inlineStr">
        <is>
          <t>The provided code defines a Python script that connects to an OMERO server using the `BlitzGateway` class and retrieves an image with the specified ID. It then performs some basic operations on the image, such as getting its size and metadata. Finally, it disconnects from the server.
The script is designed to be used as a "template"</t>
        </is>
      </c>
      <c r="E1228" t="n">
        <v>0.0032</v>
      </c>
      <c r="F1228" t="n">
        <v>0.0308</v>
      </c>
      <c r="G1228" t="n">
        <v>0.0775</v>
      </c>
      <c r="H1228" t="inlineStr">
        <is>
          <t>The provided code defines a Python script that serves as a starting point for implementing OMERO scripts using the Blitz Gateway API. It includes comments explaining the purpose of each section of the code and provides a basic outline for implementing an OMERO script.
The script imports several modules, including `omero.rtypes`, `omero.gateway`, and `</t>
        </is>
      </c>
      <c r="I1228" t="n">
        <v>0.0034</v>
      </c>
      <c r="J1228" t="n">
        <v>0.0635</v>
      </c>
      <c r="K1228" t="n">
        <v>0.119</v>
      </c>
      <c r="L1228" t="inlineStr">
        <is>
          <t>The provided code is a Python script that serves as a template for running a script on the OMERO scripting service. It imports necessary modules, defines a function called `main`, which connects to the OMERO server using the `BlitzGateway` class, and then calls the `run_script` method to execute the script. The script itself is commented</t>
        </is>
      </c>
      <c r="M1228" t="n">
        <v>0.0033</v>
      </c>
      <c r="N1228" t="n">
        <v>0.09379999999999999</v>
      </c>
      <c r="O1228" t="n">
        <v>0.07870000000000001</v>
      </c>
    </row>
    <row r="1229">
      <c r="A1229" t="inlineStr">
        <is>
          <t>openmicroscopy</t>
        </is>
      </c>
      <c r="B1229" t="inlineStr">
        <is>
          <t>examples/Training/python/Filesets.py</t>
        </is>
      </c>
      <c r="C1229">
        <f>HYPERLINK("https://github.com/ome/openmicroscopy/blob/master/examples/Training/python/Filesets.py")</f>
        <v/>
      </c>
      <c r="D1229" t="inlineStr">
        <is>
          <t>The provided Python script connects to an instance of the OMERO server using the `BlitzGateway` class from the `omero.gateway` module. It then retrieves the `Fileset` object associated with a given image ID, which represents a collection of the original files used to create the image. Finally, it lists all images that are part of the</t>
        </is>
      </c>
      <c r="E1229" t="n">
        <v>0</v>
      </c>
      <c r="F1229" t="n">
        <v>0.0312</v>
      </c>
      <c r="G1229" t="n">
        <v>0.0394</v>
      </c>
      <c r="H1229" t="inlineStr">
        <is>
          <t>The provided Python script uses the `BlitzGateway` library from the `omero` package to connect to an OMERO server instance. It then retrieves the `Fileset` object associated with a given `Image` ID using the `getFileset()` method, and lists all images that are part of the same fileset as the input image using the `copy</t>
        </is>
      </c>
      <c r="I1229" t="n">
        <v>0.0035</v>
      </c>
      <c r="J1229" t="n">
        <v>0.0328</v>
      </c>
      <c r="K1229" t="n">
        <v>0.08</v>
      </c>
      <c r="L1229" t="inlineStr">
        <is>
          <t>The provided Python script uses the `BlitzGateway` class from the `omero` package to connect to an OMERO server instance. It then retrieves the `Fileset` object associated with a given image ID using the `getFileset()` method and lists all images that are part of the same fileset as the input image using the `copyImages()` method</t>
        </is>
      </c>
      <c r="M1229" t="n">
        <v>0.0034</v>
      </c>
      <c r="N1229" t="n">
        <v>0.0323</v>
      </c>
      <c r="O1229" t="n">
        <v>0.0794</v>
      </c>
    </row>
    <row r="1230">
      <c r="A1230" t="inlineStr">
        <is>
          <t>openmicroscopy</t>
        </is>
      </c>
      <c r="B1230" t="inlineStr">
        <is>
          <t>examples/Training/python/Render_Images.py</t>
        </is>
      </c>
      <c r="C1230">
        <f>HYPERLINK("https://github.com/ome/openmicroscopy/blob/master/examples/Training/python/Render_Images.py")</f>
        <v/>
      </c>
      <c r="D1230" t="inlineStr">
        <is>
          <t>This Python script uses the OMERO API to connect to an OMERO server, retrieve an image with a given ID, and create a thumbnail for it using the current rendering settings. The thumbnail is then saved as a JPEG file named "thumbnail.jpg".
The script imports several libraries, including `omero.gateway`, `io`,</t>
        </is>
      </c>
      <c r="E1230" t="n">
        <v>0.0044</v>
      </c>
      <c r="F1230" t="n">
        <v>0.0667</v>
      </c>
      <c r="G1230" t="n">
        <v>0.123</v>
      </c>
      <c r="H1230" t="inlineStr">
        <is>
          <t>This Python script uses the `omero` library to connect to an OMERO server and retrieve the thumbnail for an image with ID `imageId`. The script first creates a connection to the OMERO server using the `BlitzGateway` class, then retrieves the image object using its ID. Next, it calls the `getThumbnail()` method on</t>
        </is>
      </c>
      <c r="I1230" t="n">
        <v>0.0042</v>
      </c>
      <c r="J1230" t="n">
        <v>0.0667</v>
      </c>
      <c r="K1230" t="n">
        <v>0.121</v>
      </c>
      <c r="L1230" t="inlineStr">
        <is>
          <t>The provided Python script connects to an OMERO server using the `BlitzGateway` class from the `omero` module, retrieves an image object by ID, and generates a thumbnail for that image using the `getThumbnail()` method. The resulting thumbnail is then saved as a JPEG file named "thumbnail.jpg".</t>
        </is>
      </c>
      <c r="M1230" t="n">
        <v>0.004</v>
      </c>
      <c r="N1230" t="n">
        <v>0.0727</v>
      </c>
      <c r="O1230" t="n">
        <v>0.0847</v>
      </c>
    </row>
    <row r="1231">
      <c r="A1231" t="inlineStr">
        <is>
          <t>openmicroscopy</t>
        </is>
      </c>
      <c r="B1231" t="inlineStr">
        <is>
          <t>examples/Training/python/Tables.py</t>
        </is>
      </c>
      <c r="C1231">
        <f>HYPERLINK("https://github.com/ome/openmicroscopy/blob/master/examples/Training/python/Tables.py")</f>
        <v/>
      </c>
      <c r="D1231" t="inlineStr">
        <is>
          <t>This Python script uses the OMERO API to create a new table with two columns, `Uid` and `MyStringColumnInit`, and then populates it with data from an existing dataset in an OMERO server. The script first establishes a connection to the OMERO server using the `BlitzGateway` class, then creates a new table</t>
        </is>
      </c>
      <c r="E1231" t="n">
        <v>0.0043</v>
      </c>
      <c r="F1231" t="n">
        <v>0.0678</v>
      </c>
      <c r="G1231" t="n">
        <v>0.122</v>
      </c>
      <c r="H1231" t="inlineStr">
        <is>
          <t>This Python script uses the `BlitzGateway` class from the `omero` library to connect to an OMERO server and create a new table with two columns: `Uid` (long integer) and `MyStringColumnInit` (string). The script also populates the table with some sample data using the `ParsingContext` class.</t>
        </is>
      </c>
      <c r="I1231" t="n">
        <v>0.0049</v>
      </c>
      <c r="J1231" t="n">
        <v>0.0755</v>
      </c>
      <c r="K1231" t="n">
        <v>0.1282</v>
      </c>
      <c r="L1231" t="inlineStr">
        <is>
          <t>The provided Python code creates a connection to an OMERO server using the `BlitzGateway` class from the `omero` module. It then defines two columns for a new table named `table_name`, which should be unique. The first column, `col1`, has a long integer data type and is called `Uid`. The second column, `col</t>
        </is>
      </c>
      <c r="M1231" t="n">
        <v>0.0035</v>
      </c>
      <c r="N1231" t="n">
        <v>0.06560000000000001</v>
      </c>
      <c r="O1231" t="n">
        <v>0.0806</v>
      </c>
    </row>
    <row r="1232">
      <c r="A1232" t="inlineStr">
        <is>
          <t>openmicroscopy</t>
        </is>
      </c>
      <c r="B1232" t="inlineStr">
        <is>
          <t>examples/Training/python/Parse_OMERO_Properties.py</t>
        </is>
      </c>
      <c r="C1232">
        <f>HYPERLINK("https://github.com/ome/openmicroscopy/blob/master/examples/Training/python/Parse_OMERO_Properties.py")</f>
        <v/>
      </c>
      <c r="D1232" t="inlineStr">
        <is>
          <t>This Python script imports various properties from the OMERO configuration file and sets them as variables for use throughout the rest of the code. The properties include the host name, port number, username, password, web host URL, server name, project ID, dataset ID, image ID, and plate ID. These values are then used in subsequent commands to access and manipulate data stored on an O</t>
        </is>
      </c>
      <c r="E1232" t="n">
        <v>0.0033</v>
      </c>
      <c r="F1232" t="n">
        <v>0.0548</v>
      </c>
      <c r="G1232" t="n">
        <v>0.1095</v>
      </c>
      <c r="H1232" t="inlineStr">
        <is>
          <t>This Python script imports various libraries, including `omeroutils` for interacting with the OMERO server, and sets up a connection to the server using the specified host, port, username, password, web host, server name, project ID, dataset ID, image ID, and plate ID. It then retrieves properties from the OMERO server using the `getProperties</t>
        </is>
      </c>
      <c r="I1232" t="n">
        <v>0.0041</v>
      </c>
      <c r="J1232" t="n">
        <v>0.06560000000000001</v>
      </c>
      <c r="K1232" t="n">
        <v>0.12</v>
      </c>
      <c r="L1232" t="inlineStr">
        <is>
          <t>The provided Python script uses the `omero` library to connect to an OMERO server and retrieve properties for the specified project, dataset, image, and plate. It then sets these values as global variables for use in other parts of the script.</t>
        </is>
      </c>
      <c r="M1232" t="n">
        <v>0.0045</v>
      </c>
      <c r="N1232" t="n">
        <v>0.0408</v>
      </c>
      <c r="O1232" t="n">
        <v>0.0885</v>
      </c>
    </row>
    <row r="1233">
      <c r="A1233" t="inlineStr">
        <is>
          <t>openmicroscopy</t>
        </is>
      </c>
      <c r="B1233" t="inlineStr">
        <is>
          <t>examples/Training/python/Connect_To_OMERO.py</t>
        </is>
      </c>
      <c r="C1233">
        <f>HYPERLINK("https://github.com/ome/openmicroscopy/blob/master/examples/Training/python/Connect_To_OMERO.py")</f>
        <v/>
      </c>
      <c r="D1233" t="inlineStr">
        <is>
          <t>The code connects to an OMERO server using the `BlitzGateway` class from the `omero.gateway` module. It then checks if the connection was successful by checking the value of the `connected` variable. If the connection was unsuccessful, it prints an error message to standard error. Otherwise, it proceeds with executing the rest of the</t>
        </is>
      </c>
      <c r="E1233" t="n">
        <v>0</v>
      </c>
      <c r="F1233" t="n">
        <v>0.0323</v>
      </c>
      <c r="G1233" t="n">
        <v>0.04</v>
      </c>
      <c r="H1233" t="inlineStr">
        <is>
          <t>The provided code is a Python script that connects to an instance of the OMERO image database using the `BlitzGateway` class from the `omero.gateway` module. It then retrieves information about the user's account and prints it to the console. The script also includes some comments explaining what each line does.</t>
        </is>
      </c>
      <c r="I1233" t="n">
        <v>0.0037</v>
      </c>
      <c r="J1233" t="n">
        <v>0.0667</v>
      </c>
      <c r="K1233" t="n">
        <v>0.082</v>
      </c>
      <c r="L1233" t="inlineStr">
        <is>
          <t>The provided code is a Python script that connects to an OMERO server using the `BlitzGateway` class from the `omero.gateway` module. It uses the `USERNAME`, `PASSWORD`, `HOST`, and `PORT` variables defined at the top of the script to establish a connection. Once connected, the script checks if the connection was</t>
        </is>
      </c>
      <c r="M1233" t="n">
        <v>0.0037</v>
      </c>
      <c r="N1233" t="n">
        <v>0.0678</v>
      </c>
      <c r="O1233" t="n">
        <v>0.082</v>
      </c>
    </row>
    <row r="1234">
      <c r="A1234" t="inlineStr">
        <is>
          <t>openmicroscopy</t>
        </is>
      </c>
      <c r="B1234" t="inlineStr">
        <is>
          <t>examples/Training/python/Groups_Permissions.py</t>
        </is>
      </c>
      <c r="C1234">
        <f>HYPERLINK("https://github.com/ome/openmicroscopy/blob/master/examples/Training/python/Groups_Permissions.py")</f>
        <v/>
      </c>
      <c r="D1234" t="inlineStr">
        <is>
          <t>The provided Python code connects to an OMERO server using the `BlitzGateway` class from the `omero` package, and retrieves information about the current user's permissions on the server. The code uses the `getGroupFromContext()` method to retrieve the current user's group, and then uses the `getDetails()` method to retrieve the details</t>
        </is>
      </c>
      <c r="E1234" t="n">
        <v>0.0037</v>
      </c>
      <c r="F1234" t="n">
        <v>0.0333</v>
      </c>
      <c r="G1234" t="n">
        <v>0.082</v>
      </c>
      <c r="H1234" t="inlineStr">
        <is>
          <t>This Python script uses the `BlitzGateway` class from the `omero` library to connect to an OMERO server and retrieve information about the current user's permissions for a given group. The script first creates a new instance of the `BlitzGateway` class with the specified username, password, hostname, and port number. It then calls the</t>
        </is>
      </c>
      <c r="I1234" t="n">
        <v>0.0041</v>
      </c>
      <c r="J1234" t="n">
        <v>0.0645</v>
      </c>
      <c r="K1234" t="n">
        <v>0.12</v>
      </c>
      <c r="L1234" t="inlineStr">
        <is>
          <t>The provided Python script connects to an OMERO server using the `BlitzGateway` class from the `omero` library. It then logs in to the default group and retrieves the permissions for that group. The script uses the `Parse_OMERO_Properties` module to define constants for the username, password, hostname, and port number used to</t>
        </is>
      </c>
      <c r="M1234" t="n">
        <v>0.0043</v>
      </c>
      <c r="N1234" t="n">
        <v>0.06560000000000001</v>
      </c>
      <c r="O1234" t="n">
        <v>0.122</v>
      </c>
    </row>
    <row r="1235">
      <c r="A1235" t="inlineStr">
        <is>
          <t>openmicroscopy</t>
        </is>
      </c>
      <c r="B1235" t="inlineStr">
        <is>
          <t>examples/Training/python/Create_Image.py</t>
        </is>
      </c>
      <c r="C1235">
        <f>HYPERLINK("https://github.com/ome/openmicroscopy/blob/master/examples/Training/python/Create_Image.py")</f>
        <v/>
      </c>
      <c r="D1235" t="inlineStr">
        <is>
          <t>The provided Python code creates an OMERO image from a NumPy array using the `createImageFromNumpySeq()` function from the `omero` library. The function takes several parameters, including the dimensions of the image, the pixel type, and the data itself. In this case, the image has four dimensions (X, Y, Z, C), with sizes 5</t>
        </is>
      </c>
      <c r="E1235" t="n">
        <v>0.0035</v>
      </c>
      <c r="F1235" t="n">
        <v>0.06560000000000001</v>
      </c>
      <c r="G1235" t="n">
        <v>0.12</v>
      </c>
      <c r="H1235" t="inlineStr">
        <is>
          <t>The provided code creates a new image in the OMERO server using the `createImageFromNumpySeq()` method from the `BlitzGateway` class. It takes in five parameters:
1. `size_x`: The number of pixels in the X direction.
2. `size_y`: The number of pixels in the Y direction.
3</t>
        </is>
      </c>
      <c r="I1235" t="n">
        <v>0</v>
      </c>
      <c r="J1235" t="n">
        <v>0</v>
      </c>
      <c r="K1235" t="n">
        <v>0.0427</v>
      </c>
      <c r="L1235" t="inlineStr">
        <is>
          <t>The code creates an image using the `createImageFromNumpySeq()` method from the `BlitzGateway` class in the `omero` library. It takes a hard-coded array as input and uses it to create a multi-dimensional image with dimensions `size_x`, `size_y`, `size_z`, `size_c`, and `size_</t>
        </is>
      </c>
      <c r="M1235" t="n">
        <v>0.0046</v>
      </c>
      <c r="N1235" t="n">
        <v>0.037</v>
      </c>
      <c r="O1235" t="n">
        <v>0.0893</v>
      </c>
    </row>
    <row r="1236">
      <c r="A1236" t="inlineStr">
        <is>
          <t>openmicroscopy</t>
        </is>
      </c>
      <c r="B1236" t="inlineStr">
        <is>
          <t>examples/Training/python/Read_Data.py</t>
        </is>
      </c>
      <c r="C1236">
        <f>HYPERLINK("https://github.com/ome/openmicroscopy/blob/master/examples/Training/python/Read_Data.py")</f>
        <v/>
      </c>
      <c r="D1236" t="inlineStr">
        <is>
          <t>This Python script connects to an OMERO server using the `BlitzGateway` class from the `omero` module, and then prints information about the projects owned by the user who is currently logged into the server. The script uses the `print_obj()` function defined earlier to display the name and ID of each project, as well as its owner's username</t>
        </is>
      </c>
      <c r="E1236" t="n">
        <v>0.0038</v>
      </c>
      <c r="F1236" t="n">
        <v>0.1194</v>
      </c>
      <c r="G1236" t="n">
        <v>0.1163</v>
      </c>
      <c r="H1236" t="inlineStr">
        <is>
          <t>This Python script uses the `omero` library to connect to an OMERO server and retrieve information about projects that the current user owns. The script prints out the ID, name, and owner of each project it finds. It also includes a helper function called `print_obj()` that takes an object as input and displays its ID, name, and owner using a formatted string</t>
        </is>
      </c>
      <c r="I1236" t="n">
        <v>0.0035</v>
      </c>
      <c r="J1236" t="n">
        <v>0.08450000000000001</v>
      </c>
      <c r="K1236" t="n">
        <v>0.1119</v>
      </c>
      <c r="L1236" t="inlineStr">
        <is>
          <t>The provided Python script uses the `omero` library to connect to an OMERO server and retrieve information about projects owned by the user. It then prints out information about each project using the `print_obj()` function, which displays the object's ID, name, and owner.</t>
        </is>
      </c>
      <c r="M1236" t="n">
        <v>0.0043</v>
      </c>
      <c r="N1236" t="n">
        <v>0.0755</v>
      </c>
      <c r="O1236" t="n">
        <v>0.08699999999999999</v>
      </c>
    </row>
    <row r="1237">
      <c r="A1237" t="inlineStr">
        <is>
          <t>openmicroscopy</t>
        </is>
      </c>
      <c r="B1237" t="inlineStr">
        <is>
          <t>examples/Training/python/Task_Scripts/ROIs_To_Table.py</t>
        </is>
      </c>
      <c r="C1237">
        <f>HYPERLINK("https://github.com/ome/openmicroscopy/blob/master/examples/Training/python/Task_Scripts/ROIs_To_Table.py")</f>
        <v/>
      </c>
      <c r="D1237" t="inlineStr">
        <is>
          <t>This Python script uses the `omero` library to connect to an OMERO server and retrieve information about datasets and images. It then processes each image by calculating the length of each ROI line and storing it in an OMERO table. Additionally, it calculates the average length of all lines for each image and adds it as a double annotation on the image.</t>
        </is>
      </c>
      <c r="E1237" t="n">
        <v>0.0035</v>
      </c>
      <c r="F1237" t="n">
        <v>0.0571</v>
      </c>
      <c r="G1237" t="n">
        <v>0.1119</v>
      </c>
      <c r="H1237" t="inlineStr">
        <is>
          <t>This Python script uses the `omero` library to connect to an OMERO server and retrieve datasets based on their IDs specified in the `script_params`. It then iterates over these datasets and processes each one by creating a new table with columns for `imageId`, `roiId`, `shapeId`, `theZ`, `theT`, `lineLength`, and</t>
        </is>
      </c>
      <c r="I1237" t="n">
        <v>0.0045</v>
      </c>
      <c r="J1237" t="n">
        <v>0.06900000000000001</v>
      </c>
      <c r="K1237" t="n">
        <v>0.124</v>
      </c>
      <c r="L1237" t="inlineStr">
        <is>
          <t>The provided Python code defines a function `process_data` that processes data from an OMERO server by iterating over datasets and images within those datasets. It performs two tasks:
1. Calculates the length of each ROI line in an image and adds the result to an OMERO table.
2. Calculates the average length of all ROI lines</t>
        </is>
      </c>
      <c r="M1237" t="n">
        <v>0.0033</v>
      </c>
      <c r="N1237" t="n">
        <v>0.0615</v>
      </c>
      <c r="O1237" t="n">
        <v>0.0781</v>
      </c>
    </row>
    <row r="1238">
      <c r="A1238" t="inlineStr">
        <is>
          <t>openmicroscopy</t>
        </is>
      </c>
      <c r="B1238" t="inlineStr">
        <is>
          <t>examples/Training/python/Task_Scripts/Write_Data_4.py</t>
        </is>
      </c>
      <c r="C1238">
        <f>HYPERLINK("https://github.com/ome/openmicroscopy/blob/master/examples/Training/python/Task_Scripts/Write_Data_4.py")</f>
        <v/>
      </c>
      <c r="D1238" t="inlineStr">
        <is>
          <t>The provided code is a Python script that connects to an OMERO instance using the `BlitzGateway` class from the `omero` library. It then retrieves an image with a given ID and saves it to a file named `File_Name`.</t>
        </is>
      </c>
      <c r="E1238" t="n">
        <v>0.0049</v>
      </c>
      <c r="F1238" t="n">
        <v>0.0426</v>
      </c>
      <c r="G1238" t="n">
        <v>0.09089999999999999</v>
      </c>
      <c r="H1238" t="inlineStr">
        <is>
          <t>The provided code defines a function called `add` that takes two arguments `a` and `b`, performs some calculations using them, and returns their sum. The function does not have any comments or documentation, but it appears to be a basic implementation of a mathematical operation.</t>
        </is>
      </c>
      <c r="I1238" t="n">
        <v>0.0041</v>
      </c>
      <c r="J1238" t="n">
        <v>0.0755</v>
      </c>
      <c r="K1238" t="n">
        <v>0.1282</v>
      </c>
      <c r="L1238" t="inlineStr">
        <is>
          <t>The provided code is a Python script that connects to the OMERO database using the Blitz Gateway library and retrieves a specific image based on its ID. It then saves the image to a local file named "File_Name". The script uses the `Parse_OMERO_Properties` module to retrieve the necessary login credentials and the `projectId` variable to specify</t>
        </is>
      </c>
      <c r="M1238" t="n">
        <v>0.0039</v>
      </c>
      <c r="N1238" t="n">
        <v>0.0597</v>
      </c>
      <c r="O1238" t="n">
        <v>0.1172</v>
      </c>
    </row>
    <row r="1239">
      <c r="A1239" t="inlineStr">
        <is>
          <t>openmicroscopy</t>
        </is>
      </c>
      <c r="B1239" t="inlineStr">
        <is>
          <t>examples/Training/python/Task_Scripts/Raw_Data_Task.py</t>
        </is>
      </c>
      <c r="C1239">
        <f>HYPERLINK("https://github.com/ome/openmicroscopy/blob/master/examples/Training/python/Task_Scripts/Raw_Data_Task.py")</f>
        <v/>
      </c>
      <c r="D1239" t="inlineStr">
        <is>
          <t>The provided code defines a Python script that connects to an OMERO instance using the `BlitzGateway` class from the `omero.gateway` module. It then retrieves an image with the specified ID from the OMERO database and performs some operations on it using NumPy functions. Specifically, it creates a new array by stacking two existing arrays</t>
        </is>
      </c>
      <c r="E1239" t="n">
        <v>0.0034</v>
      </c>
      <c r="F1239" t="n">
        <v>0.0635</v>
      </c>
      <c r="G1239" t="n">
        <v>0.0794</v>
      </c>
      <c r="H1239" t="inlineStr">
        <is>
          <t>The provided code defines a function called `add` that takes two arguments `a` and `b`, performs some calculations using NumPy arrays, and returns the result of those calculations. It also includes comments describing the purpose of the script and the complexity of its operations.</t>
        </is>
      </c>
      <c r="I1239" t="n">
        <v>0.0042</v>
      </c>
      <c r="J1239" t="n">
        <v>0.0769</v>
      </c>
      <c r="K1239" t="n">
        <v>0.0862</v>
      </c>
      <c r="L1239" t="inlineStr">
        <is>
          <t>The provided code is a Python script that serves as a template for running a script on the OMERO scripting service. It imports necessary libraries such as `omero.util.script_utils`, `BlitzGateway`, and `numpy`. The script defines two functions: `main` and `connectToServer`. The `main` function takes an image ID as a</t>
        </is>
      </c>
      <c r="M1239" t="n">
        <v>0.0038</v>
      </c>
      <c r="N1239" t="n">
        <v>0.0678</v>
      </c>
      <c r="O1239" t="n">
        <v>0.0833</v>
      </c>
    </row>
    <row r="1240">
      <c r="A1240" t="inlineStr">
        <is>
          <t>openmicroscopy</t>
        </is>
      </c>
      <c r="B1240" t="inlineStr">
        <is>
          <t>examples/Training/python/Task_Scripts/Write_Data_3.py</t>
        </is>
      </c>
      <c r="C1240">
        <f>HYPERLINK("https://github.com/ome/openmicroscopy/blob/master/examples/Training/python/Task_Scripts/Write_Data_3.py")</f>
        <v/>
      </c>
      <c r="D1240" t="inlineStr">
        <is>
          <t>The code defines a function called `main` that takes an image ID as a parameter and performs some operations on it using the OMERO API. It first establishes a connection with the OMERO server using the `BlitzGateway` class, then retrieves the image object corresponding to the given ID using the `getObjectById` method. Finally, it calls</t>
        </is>
      </c>
      <c r="E1240" t="n">
        <v>0.0033</v>
      </c>
      <c r="F1240" t="n">
        <v>0.0635</v>
      </c>
      <c r="G1240" t="n">
        <v>0.07870000000000001</v>
      </c>
      <c r="H1240" t="inlineStr">
        <is>
          <t>The provided code defines a function called `add` that takes two arguments `a` and `b`, which are both integers. The function returns their sum.</t>
        </is>
      </c>
      <c r="I1240" t="n">
        <v>0.007900000000000001</v>
      </c>
      <c r="J1240" t="n">
        <v>0.125</v>
      </c>
      <c r="K1240" t="n">
        <v>0.1042</v>
      </c>
      <c r="L1240" t="inlineStr">
        <is>
          <t>The provided code is a Python script that connects to an OMERO server using the `BlitzGateway` class from the `omero` library. It then retrieves an image with a given ID from the server and performs some basic operations on it, such as checking its properties and updating them. The script uses the `Parse_OMERO_Properties` module</t>
        </is>
      </c>
      <c r="M1240" t="n">
        <v>0.004</v>
      </c>
      <c r="N1240" t="n">
        <v>0.0312</v>
      </c>
      <c r="O1240" t="n">
        <v>0.119</v>
      </c>
    </row>
    <row r="1241">
      <c r="A1241" t="inlineStr">
        <is>
          <t>openmicroscopy</t>
        </is>
      </c>
      <c r="B1241" t="inlineStr">
        <is>
          <t>examples/Training/python/Task_Scripts/Raw_Data2.py</t>
        </is>
      </c>
      <c r="C1241">
        <f>HYPERLINK("https://github.com/ome/openmicroscopy/blob/master/examples/Training/python/Task_Scripts/Raw_Data2.py")</f>
        <v/>
      </c>
      <c r="D1241" t="inlineStr">
        <is>
          <t>The provided code defines a function that takes an integer `imageId` as input and returns a list of integers representing the pixel values of the image with that ID. It uses the `BlitzGateway` class from the `omero.gateway` module to connect to an OMERO server and retrieve the image data using the `getPixels` method. The</t>
        </is>
      </c>
      <c r="E1241" t="n">
        <v>0.004</v>
      </c>
      <c r="F1241" t="n">
        <v>0.0635</v>
      </c>
      <c r="G1241" t="n">
        <v>0.119</v>
      </c>
      <c r="H1241" t="inlineStr">
        <is>
          <t>The provided code defines a function `add` that takes two arguments `a` and `b`, which are both integers, and returns their sum. It uses the NumPy library to perform the addition operation.</t>
        </is>
      </c>
      <c r="I1241" t="n">
        <v>0.0058</v>
      </c>
      <c r="J1241" t="n">
        <v>0.1</v>
      </c>
      <c r="K1241" t="n">
        <v>0.09619999999999999</v>
      </c>
      <c r="L1241" t="inlineStr">
        <is>
          <t>The provided code is a Python script that connects to an OMERO instance using the `BlitzGateway` class and retrieves an image with a given ID. It then uses the `Parse_OMERO_Properties` module to parse the properties of the image and extract certain metadata such as the username, password, hostname, port number, and image ID.</t>
        </is>
      </c>
      <c r="M1241" t="n">
        <v>0.0041</v>
      </c>
      <c r="N1241" t="n">
        <v>0.0635</v>
      </c>
      <c r="O1241" t="n">
        <v>0.12</v>
      </c>
    </row>
    <row r="1242">
      <c r="A1242" t="inlineStr">
        <is>
          <t>openmicroscopy</t>
        </is>
      </c>
      <c r="B1242" t="inlineStr">
        <is>
          <t>examples/Training/python/Advanced/Raw_Data_advanced.py</t>
        </is>
      </c>
      <c r="C1242">
        <f>HYPERLINK("https://github.com/ome/openmicroscopy/blob/master/examples/Training/python/Advanced/Raw_Data_advanced.py")</f>
        <v/>
      </c>
      <c r="D1242" t="inlineStr">
        <is>
          <t>The provided Python code connects to an OMERO server using the `BlitzGateway` class from the `omero.gateway` module. It then retrieves an image with ID `imageId` from the server and saves its primary pixels as a TIFF file. The code also notes down the minimum and maximum pixel values for each channel in the image,</t>
        </is>
      </c>
      <c r="E1242" t="n">
        <v>0.0034</v>
      </c>
      <c r="F1242" t="n">
        <v>0.0635</v>
      </c>
      <c r="G1242" t="n">
        <v>0.0794</v>
      </c>
      <c r="H1242" t="inlineStr">
        <is>
          <t>This Python script uses the `BlitzGateway` class from the `omero` library to connect to an OMERO server, retrieve an image with ID `imageId`, and save its primary pixels as a TIFF file for analysis. The script also retrieves the minimum and maximum pixel values for each channel in the image and scales the pixels to the same range across</t>
        </is>
      </c>
      <c r="I1242" t="n">
        <v>0.0037</v>
      </c>
      <c r="J1242" t="n">
        <v>0.0597</v>
      </c>
      <c r="K1242" t="n">
        <v>0.1145</v>
      </c>
      <c r="L1242" t="inlineStr">
        <is>
          <t>The provided Python code appears to be a script that connects to an OMERO server using the `BlitzGateway` class, retrieves an image object based on a specified ID, and then saves a specific plane (or "slice") of the image as a TIFF file for further analysis.
The script uses several external modules, including `numpy`, which</t>
        </is>
      </c>
      <c r="M1242" t="n">
        <v>0.0033</v>
      </c>
      <c r="N1242" t="n">
        <v>0.0317</v>
      </c>
      <c r="O1242" t="n">
        <v>0.07870000000000001</v>
      </c>
    </row>
    <row r="1243">
      <c r="A1243" t="inlineStr">
        <is>
          <t>openmicroscopy</t>
        </is>
      </c>
      <c r="B1243" t="inlineStr">
        <is>
          <t>examples/Training/python/Advanced/Read_Data_advanced.py</t>
        </is>
      </c>
      <c r="C1243">
        <f>HYPERLINK("https://github.com/ome/openmicroscopy/blob/master/examples/Training/python/Advanced/Read_Data_advanced.py")</f>
        <v/>
      </c>
      <c r="D1243" t="inlineStr">
        <is>
          <t>This Python script uses the OMERO API to create datasets and tags in an OMERO server. It connects to the server using the `BlitzGateway` class from the `omero` module, which provides a high-level interface for interacting with the OMERO server. The script then creates three new datasets and assigns them names using the</t>
        </is>
      </c>
      <c r="E1243" t="n">
        <v>0.0041</v>
      </c>
      <c r="F1243" t="n">
        <v>0.0968</v>
      </c>
      <c r="G1243" t="n">
        <v>0.12</v>
      </c>
      <c r="H1243" t="inlineStr">
        <is>
          <t>This Python script uses the `omero` library to connect to an OMERO server and create datasets with a specified name and tag. The script takes three arguments:
1. A username for authentication on the OMERO server.
2. A password for authentication on the OMERO server.
3. The name of the dataset to be created.</t>
        </is>
      </c>
      <c r="I1243" t="n">
        <v>0.004</v>
      </c>
      <c r="J1243" t="n">
        <v>0.0645</v>
      </c>
      <c r="K1243" t="n">
        <v>0.119</v>
      </c>
      <c r="L1243" t="inlineStr">
        <is>
          <t>The code creates a connection to an OMERO server using the `BlitzGateway` class from the `omero` module. It then defines two variables for the name of the dataset and tag that will be created. Next, it uses a loop to create three datasets with the specified names. Finally, it saves the array of newly created datasets to the OMERO</t>
        </is>
      </c>
      <c r="M1243" t="n">
        <v>0.0031</v>
      </c>
      <c r="N1243" t="n">
        <v>0.0597</v>
      </c>
      <c r="O1243" t="n">
        <v>0.07630000000000001</v>
      </c>
    </row>
    <row r="1244">
      <c r="A1244" t="inlineStr">
        <is>
          <t>openmicroscopy</t>
        </is>
      </c>
      <c r="B1244" t="inlineStr">
        <is>
          <t>examples/Training/python/Advanced/Create_Image_advanced.py</t>
        </is>
      </c>
      <c r="C1244">
        <f>HYPERLINK("https://github.com/ome/openmicroscopy/blob/master/examples/Training/python/Advanced/Create_Image_advanced.py")</f>
        <v/>
      </c>
      <c r="D1244" t="inlineStr">
        <is>
          <t>This Python script uses the OMERO API to connect to an OMERO server, retrieve an image with a specific ID, and then create a new image by merging two other images. The script assumes that the ID of the target image is stored in the `imageId` variable, and that the IDs of the source images are stored in the `datasetId` variable.</t>
        </is>
      </c>
      <c r="E1244" t="n">
        <v>0.0036</v>
      </c>
      <c r="F1244" t="n">
        <v>0.058</v>
      </c>
      <c r="G1244" t="n">
        <v>0.1128</v>
      </c>
      <c r="H1244" t="inlineStr">
        <is>
          <t>This Python script uses the `omeroutils` library to connect to an OMERO server and retrieve an image with ID `imageId` from a specific dataset with ID `datasetId`. It then creates a new image by combining two existing images, using the first channel of one of them as the replacement for the selected channel in the other image. The resulting image has the same name</t>
        </is>
      </c>
      <c r="I1244" t="n">
        <v>0.0034</v>
      </c>
      <c r="J1244" t="n">
        <v>0.0556</v>
      </c>
      <c r="K1244" t="n">
        <v>0.1103</v>
      </c>
      <c r="L1244" t="inlineStr">
        <is>
          <t>The code creates a new image by combining two existing images using the `BlitzGateway` class from the `omero` library. It retrieves the images and their corresponding datasets based on user input, then combines them into a single image using the `createImageFromImages()` method. The resulting image is saved as a new object in the database.
The code includes</t>
        </is>
      </c>
      <c r="M1244" t="n">
        <v>0.0032</v>
      </c>
      <c r="N1244" t="n">
        <v>0.0308</v>
      </c>
      <c r="O1244" t="n">
        <v>0.0775</v>
      </c>
    </row>
    <row r="1245">
      <c r="A1245" t="inlineStr">
        <is>
          <t>openmicroscopy</t>
        </is>
      </c>
      <c r="B1245" t="inlineStr">
        <is>
          <t>examples/Training/python/Advanced/Write_data_advanced.py</t>
        </is>
      </c>
      <c r="C1245">
        <f>HYPERLINK("https://github.com/ome/openmicroscopy/blob/master/examples/Training/python/Advanced/Write_data_advanced.py")</f>
        <v/>
      </c>
      <c r="D1245" t="inlineStr">
        <is>
          <t>This Python script creates a new OMERO dataset using the BlitzGateway API. It connects to an OMERO server with the specified credentials, sets the name of the new dataset, saves it to the database, and prints its ID. The script also defines two datasets, `dataset` and `dataset2`, which can be used for testing purposes.</t>
        </is>
      </c>
      <c r="E1245" t="n">
        <v>0.004</v>
      </c>
      <c r="F1245" t="n">
        <v>0.0645</v>
      </c>
      <c r="G1245" t="n">
        <v>0.119</v>
      </c>
      <c r="H1245" t="inlineStr">
        <is>
          <t>The provided code creates a new dataset in an OMERO server using the Python client library for OMERO. It defines a function called `add` that takes two arguments, `a` and `b`, and returns their sum. The code also imports several modules from the `omero` package, including `BlitzGateway`, `DatasetI`, and `</t>
        </is>
      </c>
      <c r="I1245" t="n">
        <v>0.0037</v>
      </c>
      <c r="J1245" t="n">
        <v>0.0702</v>
      </c>
      <c r="K1245" t="n">
        <v>0.123</v>
      </c>
      <c r="L1245" t="inlineStr">
        <is>
          <t>The provided Python script creates two datasets using the `omero` library, which is part of the Open Microscopy Environment (OME). It connects to an OMERO server using the `BlitzGateway` class, sets the name for each dataset, and saves them to the server using the `saveAndReturnObject()` method. The script then prints out the</t>
        </is>
      </c>
      <c r="M1245" t="n">
        <v>0.0035</v>
      </c>
      <c r="N1245" t="n">
        <v>0.0333</v>
      </c>
      <c r="O1245" t="n">
        <v>0.0806</v>
      </c>
    </row>
    <row r="1246">
      <c r="A1246" t="inlineStr">
        <is>
          <t>openmicroscopy</t>
        </is>
      </c>
      <c r="B1246" t="inlineStr">
        <is>
          <t>examples/Training/python/Json_Api/Login.py</t>
        </is>
      </c>
      <c r="C1246">
        <f>HYPERLINK("https://github.com/ome/openmicroscopy/blob/master/examples/Training/python/Json_Api/Login.py")</f>
        <v/>
      </c>
      <c r="D1246" t="inlineStr">
        <is>
          <t>This Python script uses the `requests` library to send HTTP requests to an OMERO server and retrieve information about its API endpoints. The script starts by sending a GET request to the root URL of the OMERO web service (`%s/api/`), which returns a JSON response containing a list of available API versions. It then selects the most recent version and retrieves</t>
        </is>
      </c>
      <c r="E1246" t="n">
        <v>0.0036</v>
      </c>
      <c r="F1246" t="n">
        <v>0.0571</v>
      </c>
      <c r="G1246" t="n">
        <v>0.1128</v>
      </c>
      <c r="H1246" t="inlineStr">
        <is>
          <t>This code defines a Python script that retrieves data from an Open Microscopy Environment (OME) server using the REST API. The script uses the `requests` library to send HTTP GET requests to various URLs on the server, including the root URL, the servers URL, the login URL, the projects URL, the save URL, and the schema URL. It also uses the `Parse</t>
        </is>
      </c>
      <c r="I1246" t="n">
        <v>0.0035</v>
      </c>
      <c r="J1246" t="n">
        <v>0.0571</v>
      </c>
      <c r="K1246" t="n">
        <v>0.1119</v>
      </c>
      <c r="L1246" t="inlineStr">
        <is>
          <t>The provided Python script uses the `requests` library to make HTTP requests to an OMERO server. It first retrieves the list of available API versions from the base URL, then selects the most recent one and uses it to retrieve the base URL for that version. From there, it gets a list of URLs as starting points, including the URLs for logging in, listing servers, projects</t>
        </is>
      </c>
      <c r="M1246" t="n">
        <v>0.0028</v>
      </c>
      <c r="N1246" t="n">
        <v>0.027</v>
      </c>
      <c r="O1246" t="n">
        <v>0.0725</v>
      </c>
    </row>
    <row r="1247">
      <c r="A1247" t="inlineStr">
        <is>
          <t>openmicroscopy</t>
        </is>
      </c>
      <c r="B1247" t="inlineStr">
        <is>
          <t>examples/Training/javascript/utils.js</t>
        </is>
      </c>
      <c r="C1247">
        <f>HYPERLINK("https://github.com/ome/openmicroscopy/blob/master/examples/Training/javascript/utils.js")</f>
        <v/>
      </c>
      <c r="D1247" t="inlineStr">
        <is>
          <t>The provided code is an async function named `makeJSONRequest` that makes a JSON request to a specified URL using the Fetch API. It takes three parameters: `method`, which specifies the HTTP method used in the request (e.g., GET, POST, PUT, DELETE), `url`, which specifies the URL of the endpoint being requested, and `data`,</t>
        </is>
      </c>
      <c r="E1247" t="n">
        <v>0.0035</v>
      </c>
      <c r="F1247" t="n">
        <v>0.0645</v>
      </c>
      <c r="G1247" t="n">
        <v>0.08</v>
      </c>
      <c r="H1247" t="inlineStr">
        <is>
          <t>The provided code is a JavaScript module that defines an `async` function called `makeJSONRequest`. This function takes three parameters: `method`, which specifies the HTTP request method to use (e.g., GET, POST, PUT, DELETE); `url`, which specifies the URL to send the request to; and `data`, which is optional and specifies any data</t>
        </is>
      </c>
      <c r="I1247" t="n">
        <v>0.0046</v>
      </c>
      <c r="J1247" t="n">
        <v>0.0984</v>
      </c>
      <c r="K1247" t="n">
        <v>0.1613</v>
      </c>
      <c r="L1247" t="inlineStr">
        <is>
          <t>The provided code defines a `makeJSONRequest` function that makes a JSON request using the `fetch` API. It takes three arguments: `method`, which is the HTTP method used for the request (`GET`, `POST`, `PUT`, `DELETE`, etc.), `url`, which is the URL of the endpoint being requested, and `data`, which is any additional data to be</t>
        </is>
      </c>
      <c r="M1247" t="n">
        <v>0.0034</v>
      </c>
      <c r="N1247" t="n">
        <v>0.0645</v>
      </c>
      <c r="O1247" t="n">
        <v>0.0794</v>
      </c>
    </row>
    <row r="1248">
      <c r="A1248" t="inlineStr">
        <is>
          <t>openmicroscopy</t>
        </is>
      </c>
      <c r="B1248" t="inlineStr">
        <is>
          <t>examples/Training/java/src/training/WriteData.java</t>
        </is>
      </c>
      <c r="C1248">
        <f>HYPERLINK("https://github.com/ome/openmicroscopy/blob/master/examples/Training/java/src/training/WriteData.java")</f>
        <v/>
      </c>
      <c r="D1248" t="inlineStr">
        <is>
          <t>The provided code appears to be a Java implementation of a backend system for a scientific application. It includes comments describing the purpose of each file and the complexity of the algorithm used. The code size is approximately 1000 lines long.</t>
        </is>
      </c>
      <c r="E1248" t="n">
        <v>0.0045</v>
      </c>
      <c r="F1248" t="n">
        <v>0.08160000000000001</v>
      </c>
      <c r="G1248" t="n">
        <v>0.0885</v>
      </c>
      <c r="H1248" t="inlineStr">
        <is>
          <t>The provided code is a C++ implementation of a backend system. It includes a number of files and directories, each containing different components of the system. The code implements various algorithms and data structures used by the system, such as data parsing, processing, and storage. The complexity of the code is O(N), indicating that its performance scales linearly with the size of the input. The code</t>
        </is>
      </c>
      <c r="I1248" t="n">
        <v>0.0033</v>
      </c>
      <c r="J1248" t="n">
        <v>0.0533</v>
      </c>
      <c r="K1248" t="n">
        <v>0.1087</v>
      </c>
      <c r="L1248" t="inlineStr">
        <is>
          <t>The provided code implements a software system for processing large datasets. It uses various algorithms and data structures to optimize performance and memory usage. The code has been written in C++ and utilizes open-source libraries such as Boost and Eigen for additional functionality. The overall goal of the project seems to be to create a scalable and efficient solution for handling big data.</t>
        </is>
      </c>
      <c r="M1248" t="n">
        <v>0.0038</v>
      </c>
      <c r="N1248" t="n">
        <v>0.0833</v>
      </c>
      <c r="O1248" t="n">
        <v>0.1481</v>
      </c>
    </row>
    <row r="1249">
      <c r="A1249" t="inlineStr">
        <is>
          <t>openmicroscopy</t>
        </is>
      </c>
      <c r="B1249" t="inlineStr">
        <is>
          <t>examples/Training/java/src/training/ROIFolders.java</t>
        </is>
      </c>
      <c r="C1249">
        <f>HYPERLINK("https://github.com/ome/openmicroscopy/blob/master/examples/Training/java/src/training/ROIFolders.java")</f>
        <v/>
      </c>
      <c r="D1249" t="inlineStr">
        <is>
          <t>The provided code appears to be a Python script that implements various algorithms related to image processing and analysis. It includes comments describing the purpose of each algorithm and the complexity of their implementation. The script also includes a README file that provides information about the project's goals and the structure of the codebase. Overall, the code seems to be well-documented and organized, making it</t>
        </is>
      </c>
      <c r="E1249" t="n">
        <v>0.0033</v>
      </c>
      <c r="F1249" t="n">
        <v>0.0533</v>
      </c>
      <c r="G1249" t="n">
        <v>0.073</v>
      </c>
      <c r="H1249" t="inlineStr">
        <is>
          <t>The provided code appears to be a Python script containing a function named "add" which takes two arguments "a" and "b" and returns their sum. The script also includes a README file with information about the project, complexity, comments, commits, and code size.</t>
        </is>
      </c>
      <c r="I1249" t="n">
        <v>0.0043</v>
      </c>
      <c r="J1249" t="n">
        <v>0.0784</v>
      </c>
      <c r="K1249" t="n">
        <v>0.08699999999999999</v>
      </c>
      <c r="L1249" t="inlineStr">
        <is>
          <t>The provided code implements a software system for processing scientific data. It appears to be written in C++ and uses various libraries such as Boost and Eigen for numerical computations. The code has been optimized for performance using techniques such as loop unrolling and memory access optimization. The system processes large amounts of data and performs complex calculations, including linear algebra operations and statistical analysis. The output of the</t>
        </is>
      </c>
      <c r="M1249" t="n">
        <v>0.0035</v>
      </c>
      <c r="N1249" t="n">
        <v>0.0519</v>
      </c>
      <c r="O1249" t="n">
        <v>0.1418</v>
      </c>
    </row>
    <row r="1250">
      <c r="A1250" t="inlineStr">
        <is>
          <t>openmicroscopy</t>
        </is>
      </c>
      <c r="B1250" t="inlineStr">
        <is>
          <t>examples/Training/java/src/training/ROIs.java</t>
        </is>
      </c>
      <c r="C1250">
        <f>HYPERLINK("https://github.com/ome/openmicroscopy/blob/master/examples/Training/java/src/training/ROIs.java")</f>
        <v/>
      </c>
      <c r="D1250" t="inlineStr">
        <is>
          <t>The provided code appears to be a Java implementation of various algorithms used in image processing tasks. It includes functions for image filtering, edge detection, and feature extraction. The code is well-documented and has been optimized for performance using techniques such as caching and parallelization. However, there are some issues with the code's structure and readability, which could make it difficult for other developers</t>
        </is>
      </c>
      <c r="E1250" t="n">
        <v>0.0028</v>
      </c>
      <c r="F1250" t="n">
        <v>0.08110000000000001</v>
      </c>
      <c r="G1250" t="n">
        <v>0.1103</v>
      </c>
      <c r="H1250" t="inlineStr">
        <is>
          <t>The provided code appears to be a collection of backend software components, written in C++. It includes a README file that provides information about the project, including its license and purpose. The code also includes comments that explain the implementation of core algorithms. The complexity of the code is O(N), where N is the number of elements being processed. There have been no commits to the code</t>
        </is>
      </c>
      <c r="I1250" t="n">
        <v>0.0036</v>
      </c>
      <c r="J1250" t="n">
        <v>0.0789</v>
      </c>
      <c r="K1250" t="n">
        <v>0.1439</v>
      </c>
      <c r="L1250" t="inlineStr">
        <is>
          <t>The provided code implements a system for processing large datasets using parallel computing techniques. It uses a combination of data structures and algorithms to optimize performance and memory usage. The code has been written in C++ and is designed to run on Linux systems.</t>
        </is>
      </c>
      <c r="M1250" t="n">
        <v>0.005</v>
      </c>
      <c r="N1250" t="n">
        <v>0.0769</v>
      </c>
      <c r="O1250" t="n">
        <v>0.1293</v>
      </c>
    </row>
    <row r="1251">
      <c r="A1251" t="inlineStr">
        <is>
          <t>openmicroscopy</t>
        </is>
      </c>
      <c r="B1251" t="inlineStr">
        <is>
          <t>examples/Training/java/src/training/DeleteData.java</t>
        </is>
      </c>
      <c r="C1251">
        <f>HYPERLINK("https://github.com/ome/openmicroscopy/blob/master/examples/Training/java/src/training/DeleteData.java")</f>
        <v/>
      </c>
      <c r="D1251" t="inlineStr">
        <is>
          <t>The provided code appears to be a Python script containing various functions related to image processing. It includes comments explaining the purpose of each function and the complexity of their implementation. The code also includes a README file describing the overall project and its goals. The script uses O(N) time complexity for its operations.</t>
        </is>
      </c>
      <c r="E1251" t="n">
        <v>0.0034</v>
      </c>
      <c r="F1251" t="n">
        <v>0.0635</v>
      </c>
      <c r="G1251" t="n">
        <v>0.0794</v>
      </c>
      <c r="H1251" t="inlineStr">
        <is>
          <t>The provided code appears to be a collection of backend software components, written in C++. It includes a README file that provides information about the project, its complexity, comments, commits, and code size. The summary of the functionality of the code is as follows:
* The code implements core algorithms.
* It has a complexity of O(N).
* It was</t>
        </is>
      </c>
      <c r="I1251" t="n">
        <v>0.0081</v>
      </c>
      <c r="J1251" t="n">
        <v>0.09089999999999999</v>
      </c>
      <c r="K1251" t="n">
        <v>0.2818</v>
      </c>
      <c r="L1251" t="inlineStr">
        <is>
          <t>The provided code implements a system for processing large amounts of data using multiple threads. It uses the OpenMP library to parallelize certain parts of the algorithm, allowing it to run faster on multi-core processors. The code also includes comments explaining the implementation of core algorithms and the overall structure of the program.</t>
        </is>
      </c>
      <c r="M1251" t="n">
        <v>0.0045</v>
      </c>
      <c r="N1251" t="n">
        <v>0.0968</v>
      </c>
      <c r="O1251" t="n">
        <v>0.16</v>
      </c>
    </row>
    <row r="1252">
      <c r="A1252" t="inlineStr">
        <is>
          <t>openmicroscopy</t>
        </is>
      </c>
      <c r="B1252" t="inlineStr">
        <is>
          <t>examples/Training/java/src/training/RenderImages.java</t>
        </is>
      </c>
      <c r="C1252">
        <f>HYPERLINK("https://github.com/ome/openmicroscopy/blob/master/examples/Training/java/src/training/RenderImages.java")</f>
        <v/>
      </c>
      <c r="D1252" t="inlineStr">
        <is>
          <t>The provided code appears to be a Java implementation of some sort of algorithm or system. It includes comments and documentation, including a README file that describes the purpose of the code and its complexity. The code also includes a license header indicating that it is licensed under the GNU General Public License.
The code itself consists of several files, each containing a different component of the overall system</t>
        </is>
      </c>
      <c r="E1252" t="n">
        <v>0.0026</v>
      </c>
      <c r="F1252" t="n">
        <v>0.0519</v>
      </c>
      <c r="G1252" t="n">
        <v>0.0709</v>
      </c>
      <c r="H1252" t="inlineStr">
        <is>
          <t>The provided code appears to be a collection of backend software components, written in C++. It includes comments detailing the implementation of core algorithms and the use of the GNU General Public License. The complexity of the code is O(N), where N represents the number of elements being processed. There have been one commit made to the repository, which includes the initial codebase. The total size of</t>
        </is>
      </c>
      <c r="I1252" t="n">
        <v>0.0036</v>
      </c>
      <c r="J1252" t="n">
        <v>0.1053</v>
      </c>
      <c r="K1252" t="n">
        <v>0.1799</v>
      </c>
      <c r="L1252" t="inlineStr">
        <is>
          <t>The provided code implements a backend system for managing scientific data. It appears to use a variety of algorithms and techniques to perform tasks such as data processing and analysis. The code has been written to be highly modular and extensible, allowing new features to be added easily. It also includes a number of comments and documentation to help developers understand how the code works and how to use it effectively.</t>
        </is>
      </c>
      <c r="M1252" t="n">
        <v>0.003</v>
      </c>
      <c r="N1252" t="n">
        <v>0.0506</v>
      </c>
      <c r="O1252" t="n">
        <v>0.1049</v>
      </c>
    </row>
    <row r="1253">
      <c r="A1253" t="inlineStr">
        <is>
          <t>openmicroscopy</t>
        </is>
      </c>
      <c r="B1253" t="inlineStr">
        <is>
          <t>examples/Training/java/src/training/Setup.java</t>
        </is>
      </c>
      <c r="C1253">
        <f>HYPERLINK("https://github.com/ome/openmicroscopy/blob/master/examples/Training/java/src/training/Setup.java")</f>
        <v/>
      </c>
      <c r="D1253" t="inlineStr">
        <is>
          <t>The provided code appears to be a C++ implementation of a backend system, containing various functionalities such as data processing, algorithm implementations, and other essential features required for a robust backend system. The complexity of the code is O(N), indicating that its performance scales linearly with the size of the input data. The code has been commented extensively throughout, providing insight into the thought process behind</t>
        </is>
      </c>
      <c r="E1253" t="n">
        <v>0.0028</v>
      </c>
      <c r="F1253" t="n">
        <v>0.08</v>
      </c>
      <c r="G1253" t="n">
        <v>0.1087</v>
      </c>
      <c r="H1253" t="inlineStr">
        <is>
          <t>The provided code appears to be a collection of backend software components written in C++. The README file describes the project's purpose and provides information about the complexity of the code, comments, commits, and code size.
The code itself seems to implement various algorithms related to image processing and analysis. It includes functions such as "add" and "subtract", which perform</t>
        </is>
      </c>
      <c r="I1253" t="n">
        <v>0.0036</v>
      </c>
      <c r="J1253" t="n">
        <v>0.1159</v>
      </c>
      <c r="K1253" t="n">
        <v>0.1515</v>
      </c>
      <c r="L1253" t="inlineStr">
        <is>
          <t>The provided code implements a set of functions for performing various tasks related to image processing. It appears to be part of a larger project involving the development of a software platform for scientific research. The code uses a combination of C++ and Python programming languages and makes use of several external libraries such as NumPy and SciPy. The overall goal of the code seems to be to provide a flexible and efficient</t>
        </is>
      </c>
      <c r="M1253" t="n">
        <v>0.0033</v>
      </c>
      <c r="N1253" t="n">
        <v>0.0741</v>
      </c>
      <c r="O1253" t="n">
        <v>0.1379</v>
      </c>
    </row>
    <row r="1254">
      <c r="A1254" t="inlineStr">
        <is>
          <t>openmicroscopy</t>
        </is>
      </c>
      <c r="B1254" t="inlineStr">
        <is>
          <t>examples/Training/java/src/training/CreateImage.java</t>
        </is>
      </c>
      <c r="C1254">
        <f>HYPERLINK("https://github.com/ome/openmicroscopy/blob/master/examples/Training/java/src/training/CreateImage.java")</f>
        <v/>
      </c>
      <c r="D1254" t="inlineStr">
        <is>
          <t>The code appears to be a collection of backend software components written in C++. It includes a README file that describes the purpose of the repository and provides some basic information about the complexity and size of the codebase. The comments in the code provide additional context and explain the implementation of certain algorithms. The commits listed in the README indicate that there has been one initial commit to the</t>
        </is>
      </c>
      <c r="E1254" t="n">
        <v>0.0031</v>
      </c>
      <c r="F1254" t="n">
        <v>0.0513</v>
      </c>
      <c r="G1254" t="n">
        <v>0.1056</v>
      </c>
      <c r="H1254" t="inlineStr">
        <is>
          <t>The provided code appears to be a collection of backend software components written in C++. It includes a README file that describes the purpose of the repository and provides information about the complexity of the code, comments, commits, and code size. The summary provided at the end of the README file states that the code implements core algorithms.</t>
        </is>
      </c>
      <c r="I1254" t="n">
        <v>0.007900000000000001</v>
      </c>
      <c r="J1254" t="n">
        <v>0.09089999999999999</v>
      </c>
      <c r="K1254" t="n">
        <v>0.2428</v>
      </c>
      <c r="L1254" t="inlineStr">
        <is>
          <t>The provided code implements a system for processing scientific data. It appears to perform various tasks related to data analysis, including filtering, normalization, and visualization. The code also includes comments explaining the implementation of core algorithms and the overall purpose of the system.</t>
        </is>
      </c>
      <c r="M1254" t="n">
        <v>0.0056</v>
      </c>
      <c r="N1254" t="n">
        <v>0.1176</v>
      </c>
      <c r="O1254" t="n">
        <v>0.1304</v>
      </c>
    </row>
    <row r="1255">
      <c r="A1255" t="inlineStr">
        <is>
          <t>openmicroscopy</t>
        </is>
      </c>
      <c r="B1255" t="inlineStr">
        <is>
          <t>examples/Training/java/src/training/LoadMetadataAdvanced.java</t>
        </is>
      </c>
      <c r="C1255">
        <f>HYPERLINK("https://github.com/ome/openmicroscopy/blob/master/examples/Training/java/src/training/LoadMetadataAdvanced.java")</f>
        <v/>
      </c>
      <c r="D1255" t="inlineStr">
        <is>
          <t>The provided code appears to be a collection of backend software components implementing various algorithms. It includes comments explaining the purpose of each component and its complexity. The code size is approximately 1000 lines long.</t>
        </is>
      </c>
      <c r="E1255" t="n">
        <v>0.0063</v>
      </c>
      <c r="F1255" t="n">
        <v>0.1395</v>
      </c>
      <c r="G1255" t="n">
        <v>0.1402</v>
      </c>
      <c r="H1255" t="inlineStr">
        <is>
          <t>The code appears to be a collection of backend software components written in C++. It includes comments describing the purpose of each file and the complexity of the implementation. The code size is approximately 1000 lines long. The README file provides information about the project's goals and the structure of the repository.</t>
        </is>
      </c>
      <c r="I1255" t="n">
        <v>0.0042</v>
      </c>
      <c r="J1255" t="n">
        <v>0.0984</v>
      </c>
      <c r="K1255" t="n">
        <v>0.0806</v>
      </c>
      <c r="L1255" t="inlineStr">
        <is>
          <t>The provided code implements a system for processing scientific data. It appears to be written in C++ and uses various libraries such as Boost and OpenCV. The code is well-documented, with comments explaining the purpose of each function and the overall structure of the program. The program's primary goal seems to be to perform image analysis tasks, likely including feature extraction and object recognition.</t>
        </is>
      </c>
      <c r="M1255" t="n">
        <v>0.0034</v>
      </c>
      <c r="N1255" t="n">
        <v>0.08110000000000001</v>
      </c>
      <c r="O1255" t="n">
        <v>0.1103</v>
      </c>
    </row>
    <row r="1256">
      <c r="A1256" t="inlineStr">
        <is>
          <t>openmicroscopy</t>
        </is>
      </c>
      <c r="B1256" t="inlineStr">
        <is>
          <t>examples/Training/java/src/training/ReadDataAdvanced.java</t>
        </is>
      </c>
      <c r="C1256">
        <f>HYPERLINK("https://github.com/ome/openmicroscopy/blob/master/examples/Training/java/src/training/ReadDataAdvanced.java")</f>
        <v/>
      </c>
      <c r="D1256" t="inlineStr">
        <is>
          <t>The provided code appears to be a Java implementation of a backend system, containing various classes and methods related to implementing core algorithms. The complexity of the code is O(N), indicating that its performance scales linearly with the size of the input data set. There are no comments explaining the purpose of individual functions or variables within the code, making it difficult to understand the overall structure and functionality of the</t>
        </is>
      </c>
      <c r="E1256" t="n">
        <v>0.0034</v>
      </c>
      <c r="F1256" t="n">
        <v>0.1</v>
      </c>
      <c r="G1256" t="n">
        <v>0.2207</v>
      </c>
      <c r="H1256" t="inlineStr">
        <is>
          <t>The provided code appears to be a collection of backend software components implemented using Java. The README file provides information about the project's goals and objectives, while the comments within the code provide additional context and explanations for the implementation choices made. The complexity of the code is estimated to be O(N), where N represents the number of input elements processed by the algorithm. The code</t>
        </is>
      </c>
      <c r="I1256" t="n">
        <v>0.0033</v>
      </c>
      <c r="J1256" t="n">
        <v>0.0789</v>
      </c>
      <c r="K1256" t="n">
        <v>0.1449</v>
      </c>
      <c r="L1256" t="inlineStr">
        <is>
          <t>The provided code implements a server component responsible for handling client requests and providing responses. It utilizes various libraries and frameworks, including Express.js and Socket.io, to handle HTTP and WebSocket connections respectively. The code also includes comments and documentation throughout, which provide insight into the implementation and usage of the software.</t>
        </is>
      </c>
      <c r="M1256" t="n">
        <v>0.0043</v>
      </c>
      <c r="N1256" t="n">
        <v>0.06560000000000001</v>
      </c>
      <c r="O1256" t="n">
        <v>0.0813</v>
      </c>
    </row>
    <row r="1257">
      <c r="A1257" t="inlineStr">
        <is>
          <t>openmicroscopy</t>
        </is>
      </c>
      <c r="B1257" t="inlineStr">
        <is>
          <t>examples/Training/java/src/training/Sudo.java</t>
        </is>
      </c>
      <c r="C1257">
        <f>HYPERLINK("https://github.com/ome/openmicroscopy/blob/master/examples/Training/java/src/training/Sudo.java")</f>
        <v/>
      </c>
      <c r="D1257" t="inlineStr">
        <is>
          <t>The code implements the backend of a web application, specifically the core algorithms used to process data. It has a complexity of O(N), where N is the size of the input data set. The code includes comments explaining its implementation and provides a README file describing the purpose of the repository and the complexity of the code. There is also a single initial commit containing all the code. The</t>
        </is>
      </c>
      <c r="E1257" t="n">
        <v>0.0035</v>
      </c>
      <c r="F1257" t="n">
        <v>0.0769</v>
      </c>
      <c r="G1257" t="n">
        <v>0.1418</v>
      </c>
      <c r="H1257" t="inlineStr">
        <is>
          <t>The provided code appears to be a Python script that implements a web application's backend using Flask. It defines a few endpoints for handling HTTP requests and responses, including one endpoint for retrieving data from a database and another for updating the database. The script also includes some basic error handling and logging features. Overall, the code seems to be well-structured and easy to understand</t>
        </is>
      </c>
      <c r="I1257" t="n">
        <v>0.0033</v>
      </c>
      <c r="J1257" t="n">
        <v>0.0533</v>
      </c>
      <c r="K1257" t="n">
        <v>0.1095</v>
      </c>
      <c r="L1257" t="inlineStr">
        <is>
          <t>The provided code implements a system for processing scientific data using a machine learning algorithm. It takes in input data from various sources and processes it through a series of transformations before producing output data that can be used for analysis or visualization. The code uses a variety of libraries and frameworks, including NumPy, Scikit-learn, and Matplotlib, to perform the necessary computations.</t>
        </is>
      </c>
      <c r="M1257" t="n">
        <v>0.0035</v>
      </c>
      <c r="N1257" t="n">
        <v>0.0563</v>
      </c>
      <c r="O1257" t="n">
        <v>0.1119</v>
      </c>
    </row>
    <row r="1258">
      <c r="A1258" t="inlineStr">
        <is>
          <t>openmicroscopy</t>
        </is>
      </c>
      <c r="B1258" t="inlineStr">
        <is>
          <t>examples/Training/java/src/training/RawDataAccess.java</t>
        </is>
      </c>
      <c r="C1258">
        <f>HYPERLINK("https://github.com/ome/openmicroscopy/blob/master/examples/Training/java/src/training/RawDataAccess.java")</f>
        <v/>
      </c>
      <c r="D1258" t="inlineStr">
        <is>
          <t>The provided code appears to be a Java implementation of various algorithms used in scientific computing. It includes a README file that describes the purpose of the repository and its contents, as well as comments throughout the code describing the complexity and implementation of each algorithm. The code also includes a commit history and a code size metric. Overall, the code seems to be a collection of reusable scientific computing</t>
        </is>
      </c>
      <c r="E1258" t="n">
        <v>0.0026</v>
      </c>
      <c r="F1258" t="n">
        <v>0.0513</v>
      </c>
      <c r="G1258" t="n">
        <v>0.1056</v>
      </c>
      <c r="H1258" t="inlineStr">
        <is>
          <t>The code is a collection of backend software components that implement various algorithms. It has been written using C++ programming language and uses the GNU General Public License for open-source distribution. The code size is approximately 1000 lines long. The complexity of the code is O(N), indicating that its performance degrades linearly with the size of the input data set. The comments</t>
        </is>
      </c>
      <c r="I1258" t="n">
        <v>0.0035</v>
      </c>
      <c r="J1258" t="n">
        <v>0.0833</v>
      </c>
      <c r="K1258" t="n">
        <v>0.1493</v>
      </c>
      <c r="L1258" t="inlineStr">
        <is>
          <t>The provided code implements a web application framework using Node.js and Express. It provides a RESTful API for interacting with a database, allowing users to create, update, and delete data. The code also includes support for authentication and authorization, with JWT tokens used for user sessions. Overall, the code appears to be well-structured and easy to understand, with comments and documentation</t>
        </is>
      </c>
      <c r="M1258" t="n">
        <v>0.0036</v>
      </c>
      <c r="N1258" t="n">
        <v>0.0563</v>
      </c>
      <c r="O1258" t="n">
        <v>0.1128</v>
      </c>
    </row>
    <row r="1259">
      <c r="A1259" t="inlineStr">
        <is>
          <t>openmicroscopy</t>
        </is>
      </c>
      <c r="B1259" t="inlineStr">
        <is>
          <t>examples/Training/java/src/training/ReadData.java</t>
        </is>
      </c>
      <c r="C1259">
        <f>HYPERLINK("https://github.com/ome/openmicroscopy/blob/master/examples/Training/java/src/training/ReadData.java")</f>
        <v/>
      </c>
      <c r="D1259" t="inlineStr">
        <is>
          <t>The provided code appears to be a Python script containing the implementation of various algorithms used in a scientific computing application. The code uses the NumPy library for numerical computations and implements several mathematical functions such as matrix multiplication, vector addition, and dot product. The script also includes comments explaining the purpose of each function and the complexity of the algorithm.
The script does not contain any user interface elements</t>
        </is>
      </c>
      <c r="E1259" t="n">
        <v>0.0031</v>
      </c>
      <c r="F1259" t="n">
        <v>0.0769</v>
      </c>
      <c r="G1259" t="n">
        <v>0.18</v>
      </c>
      <c r="H1259" t="inlineStr">
        <is>
          <t>The provided code appears to be a collection of backend software components, written in C++. It includes a README file that describes the purpose of the repository and provides some basic information about the code. The code itself consists of a series of functions that implement various algorithms, including a function called "add" which takes two arguments and returns their sum. The complexity of the code is described as</t>
        </is>
      </c>
      <c r="I1259" t="n">
        <v>0.0031</v>
      </c>
      <c r="J1259" t="n">
        <v>0.1039</v>
      </c>
      <c r="K1259" t="n">
        <v>0.1418</v>
      </c>
      <c r="L1259" t="inlineStr">
        <is>
          <t>The provided code implements a system for processing scientific data. It appears to be written in C++ and uses various libraries such as Boost and Eigen. The code includes comments and documentation, which suggest that it was developed for use in research and academic settings. The code's primary function appears to be to perform mathematical calculations and data analysis tasks, possibly related to image processing or other fields of</t>
        </is>
      </c>
      <c r="M1259" t="n">
        <v>0.0031</v>
      </c>
      <c r="N1259" t="n">
        <v>0.0769</v>
      </c>
      <c r="O1259" t="n">
        <v>0.1064</v>
      </c>
    </row>
    <row r="1260">
      <c r="A1260" t="inlineStr">
        <is>
          <t>openmicroscopy</t>
        </is>
      </c>
      <c r="B1260" t="inlineStr">
        <is>
          <t>examples/Training/java/src/training/HowToUseTables.java</t>
        </is>
      </c>
      <c r="C1260">
        <f>HYPERLINK("https://github.com/ome/openmicroscopy/blob/master/examples/Training/java/src/training/HowToUseTables.java")</f>
        <v/>
      </c>
      <c r="D1260" t="inlineStr">
        <is>
          <t>The provided code appears to be a C++ implementation of various algorithms used in scientific computing, specifically in the field of image processing. It includes comments describing the purpose and complexity of each algorithm, as well as information about commits and code size. The code does not contain any actual implementations, only descriptions of what the code does and how it works.</t>
        </is>
      </c>
      <c r="E1260" t="n">
        <v>0.0029</v>
      </c>
      <c r="F1260" t="n">
        <v>0.0571</v>
      </c>
      <c r="G1260" t="n">
        <v>0.1119</v>
      </c>
      <c r="H1260" t="inlineStr">
        <is>
          <t>The provided code appears to be a collection of backend software components, written in C++. It includes comments explaining the purpose and implementation of the code, as well as information about the complexity and size of the code. The code also includes a license header indicating that it is licensed under the GNU General Public License. Overall, the code seems to be a significant piece of software that has been</t>
        </is>
      </c>
      <c r="I1260" t="n">
        <v>0.0031</v>
      </c>
      <c r="J1260" t="n">
        <v>0.0769</v>
      </c>
      <c r="K1260" t="n">
        <v>0.1056</v>
      </c>
      <c r="L1260" t="inlineStr">
        <is>
          <t>The code implements various functions related to image processing, including resizing, cropping, and converting between different formats. It uses the OpenCV library for computer vision tasks and has been optimized for performance using techniques such as parallelization and caching.</t>
        </is>
      </c>
      <c r="M1260" t="n">
        <v>0.0056</v>
      </c>
      <c r="N1260" t="n">
        <v>0.1277</v>
      </c>
      <c r="O1260" t="n">
        <v>0.1351</v>
      </c>
    </row>
    <row r="1261">
      <c r="A1261" t="inlineStr">
        <is>
          <t>openmicroscopy</t>
        </is>
      </c>
      <c r="B1261" t="inlineStr">
        <is>
          <t>examples/TreeList/AllProjects.py</t>
        </is>
      </c>
      <c r="C1261">
        <f>HYPERLINK("https://github.com/ome/openmicroscopy/blob/master/examples/TreeList/AllProjects.py")</f>
        <v/>
      </c>
      <c r="D1261" t="inlineStr">
        <is>
          <t>This Python script defines a function called `getProjects()` that retrieves all projects associated with a given user's OMERO server instance. The function takes two arguments: `query_prx` and `username`. It uses the `omeror_sys_ParametersI` class to create a parameter object that is used in a SQL query to retrieve project information. The query joins</t>
        </is>
      </c>
      <c r="E1261" t="n">
        <v>0.0042</v>
      </c>
      <c r="F1261" t="n">
        <v>0.09379999999999999</v>
      </c>
      <c r="G1261" t="n">
        <v>0.121</v>
      </c>
      <c r="H1261" t="inlineStr">
        <is>
          <t>This is a Python function named `getProjects` that retrieves all projects associated with a given user. The function takes two arguments: `query_prx`, which is an object representing a database query, and `username`, which is a string containing the name of the user to retrieve projects for.
The function first defines a new class called `ParametersI`. It then uses this</t>
        </is>
      </c>
      <c r="I1261" t="n">
        <v>0.0037</v>
      </c>
      <c r="J1261" t="n">
        <v>0.0882</v>
      </c>
      <c r="K1261" t="n">
        <v>0.1145</v>
      </c>
      <c r="L1261" t="inlineStr">
        <is>
          <t>The code defines a function called `getProjects` that retrieves projects based on a given user name. It uses the OMERO API to perform the query and returns a list of project objects. The function takes two parameters: `query_prx`, which is a proxy object for the OMERO query interface, and `username`, which is a string representing the user'</t>
        </is>
      </c>
      <c r="M1261" t="n">
        <v>0.0032</v>
      </c>
      <c r="N1261" t="n">
        <v>0.0606</v>
      </c>
      <c r="O1261" t="n">
        <v>0.0775</v>
      </c>
    </row>
    <row r="1262">
      <c r="A1262" t="inlineStr">
        <is>
          <t>openmicroscopy</t>
        </is>
      </c>
      <c r="B1262" t="inlineStr">
        <is>
          <t>examples/TreeList/Main.java</t>
        </is>
      </c>
      <c r="C1262">
        <f>HYPERLINK("https://github.com/ome/openmicroscopy/blob/master/examples/TreeList/Main.java")</f>
        <v/>
      </c>
      <c r="D1262" t="inlineStr">
        <is>
          <t>The code is a Java program that uses the OMERO API to connect to an OMERO server and retrieve all projects associated with a given user. It takes four command-line arguments: the hostname or IP address of the OMERO server, the port number where the server listens for connections, the username of the user who owns the projects, and the</t>
        </is>
      </c>
      <c r="E1262" t="n">
        <v>0.003</v>
      </c>
      <c r="F1262" t="n">
        <v>0.029</v>
      </c>
      <c r="G1262" t="n">
        <v>0.07580000000000001</v>
      </c>
      <c r="H1262" t="inlineStr">
        <is>
          <t>This Java program is a command-line utility that connects to an OMERO server using the OMERO API and retrieves all projects associated with the specified user account. It uses the `omeror.api` package for interacting with the OMERO server and the `java.util` package for working with lists. The program takes four arguments on the command</t>
        </is>
      </c>
      <c r="I1262" t="n">
        <v>0.004</v>
      </c>
      <c r="J1262" t="n">
        <v>0.0615</v>
      </c>
      <c r="K1262" t="n">
        <v>0.119</v>
      </c>
      <c r="L1262" t="inlineStr">
        <is>
          <t>The provided code is a Java application that connects to an OMERO server using the OMERO API and retrieves a list of all projects associated with the current user's account. It then prints these project names to the console. The code takes four command line arguments: the hostname of the OMERO server, the port number where the server is listening for</t>
        </is>
      </c>
      <c r="M1262" t="n">
        <v>0.003</v>
      </c>
      <c r="N1262" t="n">
        <v>0.0286</v>
      </c>
      <c r="O1262" t="n">
        <v>0.0752</v>
      </c>
    </row>
    <row r="1263">
      <c r="A1263" t="inlineStr">
        <is>
          <t>openmicroscopy</t>
        </is>
      </c>
      <c r="B1263" t="inlineStr">
        <is>
          <t>examples/TreeList/PrintProjects.java</t>
        </is>
      </c>
      <c r="C1263">
        <f>HYPERLINK("https://github.com/ome/openmicroscopy/blob/master/examples/TreeList/PrintProjects.java")</f>
        <v/>
      </c>
      <c r="D1263" t="inlineStr">
        <is>
          <t>The provided code is a Java class named `PrintProjects` that has a single method called `print`. This method takes in a list of `Project` objects as its input, and it prints out the name of each project along with the names of all datasets associated with each project.
The method first iterates through the list of projects using a foreach loop, and then for each project</t>
        </is>
      </c>
      <c r="E1263" t="n">
        <v>0.0033</v>
      </c>
      <c r="F1263" t="n">
        <v>0.0541</v>
      </c>
      <c r="G1263" t="n">
        <v>0.1087</v>
      </c>
      <c r="H1263" t="inlineStr">
        <is>
          <t>This is Java code that defines a class called `PrintProjects` with a single method called `print`. The method takes a list of `Project` objects as input and prints their names along with any associated datasets. The method uses a nested loop to iterate over each project in the list and its associated datasets, printing both the project name and the dataset name on separate lines.</t>
        </is>
      </c>
      <c r="I1263" t="n">
        <v>0.0033</v>
      </c>
      <c r="J1263" t="n">
        <v>0.0548</v>
      </c>
      <c r="K1263" t="n">
        <v>0.1095</v>
      </c>
      <c r="L1263" t="inlineStr">
        <is>
          <t>The provided code is a Java class named `PrintProjects` that defines a single method called `print`. It takes a list of `Project` objects as input and prints their names followed by any linked datasets.</t>
        </is>
      </c>
      <c r="M1263" t="n">
        <v>0.0055</v>
      </c>
      <c r="N1263" t="n">
        <v>0.0476</v>
      </c>
      <c r="O1263" t="n">
        <v>0.0472</v>
      </c>
    </row>
    <row r="1264">
      <c r="A1264" t="inlineStr">
        <is>
          <t>openmicroscopy</t>
        </is>
      </c>
      <c r="B1264" t="inlineStr">
        <is>
          <t>examples/TreeList/Usage.py</t>
        </is>
      </c>
      <c r="C1264">
        <f>HYPERLINK("https://github.com/ome/openmicroscopy/blob/master/examples/TreeList/Usage.py")</f>
        <v/>
      </c>
      <c r="D1264" t="inlineStr">
        <is>
          <t>The provided code is a Python script that implements a server for handling requests to retrieve data from a tree structure. It takes four command line arguments: `host`, `port`, `username`, and `password`. If any of these arguments are missing or invalid, the program will exit with a status code of `-2` using the `sys.exit()` function.
The main function of</t>
        </is>
      </c>
      <c r="E1264" t="n">
        <v>0.0037</v>
      </c>
      <c r="F1264" t="n">
        <v>0.0588</v>
      </c>
      <c r="G1264" t="n">
        <v>0.1145</v>
      </c>
      <c r="H1264" t="inlineStr">
        <is>
          <t>This is a Python script that defines a function called `usage()` which prints a message to the console indicating how to use the program. The main entry point for the program is the `main()` function, which takes four command line arguments: `host`, `port`, `username`, and `password`. These values are then used to perform some action on the server specified by `host` and</t>
        </is>
      </c>
      <c r="I1264" t="n">
        <v>0.0035</v>
      </c>
      <c r="J1264" t="n">
        <v>0.0857</v>
      </c>
      <c r="K1264" t="n">
        <v>0.1119</v>
      </c>
      <c r="L1264" t="inlineStr">
        <is>
          <t>The provided Python script is a server application that listens for incoming connections on a specified host and port, authenticates users using a username and password combination, and then allows them to interact with a tree data structure. The script uses the `sys` module to handle command line arguments and the `print` function to display error messages when incorrect parameters are passed or when the user attempts to access una</t>
        </is>
      </c>
      <c r="M1264" t="n">
        <v>0.0031</v>
      </c>
      <c r="N1264" t="n">
        <v>0.0513</v>
      </c>
      <c r="O1264" t="n">
        <v>0.1056</v>
      </c>
    </row>
    <row r="1265">
      <c r="A1265" t="inlineStr">
        <is>
          <t>openmicroscopy</t>
        </is>
      </c>
      <c r="B1265" t="inlineStr">
        <is>
          <t>examples/TreeList/AllProjects.java</t>
        </is>
      </c>
      <c r="C1265">
        <f>HYPERLINK("https://github.com/ome/openmicroscopy/blob/master/examples/TreeList/AllProjects.java")</f>
        <v/>
      </c>
      <c r="D1265" t="inlineStr">
        <is>
          <t>This is a Java class named `AllProjects` that provides a method for retrieving all projects associated with a given user. The method takes two parameters: `query`, which is an instance of the `IQueryPrx` interface, and `username`, which is a string representing the name of the user. It returns a list of `Project` objects.
The method uses the</t>
        </is>
      </c>
      <c r="E1265" t="n">
        <v>0.0038</v>
      </c>
      <c r="F1265" t="n">
        <v>0.0615</v>
      </c>
      <c r="G1265" t="n">
        <v>0.1163</v>
      </c>
      <c r="H1265" t="inlineStr">
        <is>
          <t>This is a Java program that retrieves all projects associated with a given user's name. It uses the OMERO API to perform the query and returns a list of project objects. The query is implemented using HQL, which is a domain-specific language for querying databases. The method takes in an IQueryPrx object and a string representing the user's name as</t>
        </is>
      </c>
      <c r="I1265" t="n">
        <v>0.0036</v>
      </c>
      <c r="J1265" t="n">
        <v>0.08450000000000001</v>
      </c>
      <c r="K1265" t="n">
        <v>0.1515</v>
      </c>
      <c r="L1265" t="inlineStr">
        <is>
          <t>The provided code defines a Java class named `AllProjects` that provides a method for retrieving all projects associated with a given user. The method takes two parameters: an instance of `IQueryPrx`, which represents a query object used to execute database queries, and a string representing the username of the user whose projects should be retrieved. The method returns a list of project objects.</t>
        </is>
      </c>
      <c r="M1265" t="n">
        <v>0.0029</v>
      </c>
      <c r="N1265" t="n">
        <v>0.0282</v>
      </c>
      <c r="O1265" t="n">
        <v>0.0741</v>
      </c>
    </row>
    <row r="1266">
      <c r="A1266" t="inlineStr">
        <is>
          <t>openmicroscopy</t>
        </is>
      </c>
      <c r="B1266" t="inlineStr">
        <is>
          <t>examples/TreeList/PrintProjects.py</t>
        </is>
      </c>
      <c r="C1266">
        <f>HYPERLINK("https://github.com/ome/openmicroscopy/blob/master/examples/TreeList/PrintProjects.py")</f>
        <v/>
      </c>
      <c r="D1266" t="inlineStr">
        <is>
          <t>The provided code implements a function called `print_` that takes a list of objects as input and prints their names to the console. It also recursively iterates over the child datasets of each project and prints their names with indentation. The complexity of the algorithm is O(N), where N is the number of projects.</t>
        </is>
      </c>
      <c r="E1266" t="n">
        <v>0.004</v>
      </c>
      <c r="F1266" t="n">
        <v>0.09520000000000001</v>
      </c>
      <c r="G1266" t="n">
        <v>0.119</v>
      </c>
      <c r="H1266" t="inlineStr">
        <is>
          <t>This Python script defines a function called `print_` that takes a list of objects as input and prints their names to the console. The function iterates over each object in the list and calls its `getName()` method to retrieve its name. For each object, it then prints the name followed by a newline character. Additionally, if the object has any child datasets, it will iterate over those</t>
        </is>
      </c>
      <c r="I1266" t="n">
        <v>0.0032</v>
      </c>
      <c r="J1266" t="n">
        <v>0.08</v>
      </c>
      <c r="K1266" t="n">
        <v>0.1079</v>
      </c>
      <c r="L1266" t="inlineStr">
        <is>
          <t>The provided code defines a function named `print_` that takes a list of objects as input and prints their names and associated datasets. It uses nested loops to iterate over the objects and their child elements, and then prints the name and associated dataset for each object.</t>
        </is>
      </c>
      <c r="M1266" t="n">
        <v>0.0039</v>
      </c>
      <c r="N1266" t="n">
        <v>0.0727</v>
      </c>
      <c r="O1266" t="n">
        <v>0.08400000000000001</v>
      </c>
    </row>
    <row r="1267">
      <c r="A1267" t="inlineStr">
        <is>
          <t>openmicroscopy</t>
        </is>
      </c>
      <c r="B1267" t="inlineStr">
        <is>
          <t>examples/TreeList/Usage.java</t>
        </is>
      </c>
      <c r="C1267">
        <f>HYPERLINK("https://github.com/ome/openmicroscopy/blob/master/examples/TreeList/Usage.java")</f>
        <v/>
      </c>
      <c r="D1267" t="inlineStr">
        <is>
          <t>The provided code is a Java class named `Usage` that defines a single method called `usage()`. This method prints a message to the console indicating how to use the program, followed by calling `System.exit()` with a negative exit status (-2).</t>
        </is>
      </c>
      <c r="E1267" t="n">
        <v>0.0046</v>
      </c>
      <c r="F1267" t="n">
        <v>0.0408</v>
      </c>
      <c r="G1267" t="n">
        <v>0.0893</v>
      </c>
      <c r="H1267" t="inlineStr">
        <is>
          <t>This is a Java program that defines a single class named "Usage" with a single method called "usage". The method prints a message to the console and then exits the program with a status code of -2. The program does not perform any other actions or have any dependencies on external libraries or resources.</t>
        </is>
      </c>
      <c r="I1267" t="n">
        <v>0.004</v>
      </c>
      <c r="J1267" t="n">
        <v>0.0645</v>
      </c>
      <c r="K1267" t="n">
        <v>0.0794</v>
      </c>
      <c r="L1267" t="inlineStr">
        <is>
          <t>The provided code defines a Java class named "Usage" that has a single method called "usage". When invoked, this method prints a message to the console informing users how to use the application, followed by calling the `System.exit()` method with a negative exit status (-2).</t>
        </is>
      </c>
      <c r="M1267" t="n">
        <v>0</v>
      </c>
      <c r="N1267" t="n">
        <v>0.037</v>
      </c>
      <c r="O1267" t="n">
        <v>0.08550000000000001</v>
      </c>
    </row>
    <row r="1268">
      <c r="A1268" t="inlineStr">
        <is>
          <t>openmicroscopy</t>
        </is>
      </c>
      <c r="B1268" t="inlineStr">
        <is>
          <t>examples/TreeList/Main.py</t>
        </is>
      </c>
      <c r="C1268">
        <f>HYPERLINK("https://github.com/ome/openmicroscopy/blob/master/examples/TreeList/Main.py")</f>
        <v/>
      </c>
      <c r="D1268" t="inlineStr">
        <is>
          <t>This is a Python script that connects to an OMERO server using the `omero` library and retrieves all projects for a given user. The script takes four command line arguments: the host name or IP address of the OMERO server, the port number on which the server listens, the username, and the password. It then uses these credentials to create a</t>
        </is>
      </c>
      <c r="E1268" t="n">
        <v>0.0036</v>
      </c>
      <c r="F1268" t="n">
        <v>0.058</v>
      </c>
      <c r="G1268" t="n">
        <v>0.1128</v>
      </c>
      <c r="H1268" t="inlineStr">
        <is>
          <t>This is a Python script that connects to an OMERO server using the `omero` library and retrieves information about all projects on the server. The script takes four command line arguments: the host name or IP address of the OMERO server, the port number where the server listens for connections, the username to use when connecting to the server, and the password</t>
        </is>
      </c>
      <c r="I1268" t="n">
        <v>0.0035</v>
      </c>
      <c r="J1268" t="n">
        <v>0.0571</v>
      </c>
      <c r="K1268" t="n">
        <v>0.1119</v>
      </c>
      <c r="L1268" t="inlineStr">
        <is>
          <t>The provided Python script is a command-line utility that connects to an OMERO server using the `omero` library and retrieves all projects associated with a given user account. It then prints out the project names to standard output. The script takes four arguments: the host name, port number, username, and password. If any of these arguments are missing, the script will</t>
        </is>
      </c>
      <c r="M1268" t="n">
        <v>0.003</v>
      </c>
      <c r="N1268" t="n">
        <v>0.0286</v>
      </c>
      <c r="O1268" t="n">
        <v>0.0752</v>
      </c>
    </row>
    <row r="1269">
      <c r="A1269" t="inlineStr">
        <is>
          <t>openmicroscopy</t>
        </is>
      </c>
      <c r="B1269" t="inlineStr">
        <is>
          <t>examples/RegionsOfInterest/Main.java</t>
        </is>
      </c>
      <c r="C1269">
        <f>HYPERLINK("https://github.com/ome/openmicroscopy/blob/master/examples/RegionsOfInterest/Main.java")</f>
        <v/>
      </c>
      <c r="D1269" t="inlineStr">
        <is>
          <t>This is a Java program that uses the OMERO API to interact with an OMERO server. It creates a ROI object and saves it to the server using the `saveAndReturnObject` method of the `UpdateService`. It then retrieves the ID of the saved ROI and prints it to the console. Additionally, it retrieves the image associated with the RO</t>
        </is>
      </c>
      <c r="E1269" t="n">
        <v>0.0037</v>
      </c>
      <c r="F1269" t="n">
        <v>0.0606</v>
      </c>
      <c r="G1269" t="n">
        <v>0.1154</v>
      </c>
      <c r="H1269" t="inlineStr">
        <is>
          <t>This is a Java program that uses the OMERO API to connect to an OMERO server and perform various operations on ROIs (regions of interest). It creates a new ROI using the `createRoi()` method, saves it to the server using the `saveAndReturnObject()` method, and then retrieves the ROI from the server using the `find</t>
        </is>
      </c>
      <c r="I1269" t="n">
        <v>0.004</v>
      </c>
      <c r="J1269" t="n">
        <v>0.0645</v>
      </c>
      <c r="K1269" t="n">
        <v>0.119</v>
      </c>
      <c r="L1269" t="inlineStr">
        <is>
          <t>The provided code is a Java application that uses the OMERO API to interact with an OMERO server. It creates a ROI object and saves it to the server using the `saveAndReturnObject` method. Then, it retrieves the saved ROI from the server using the `findByImage`, `findByPlane`, and `findByRoi`</t>
        </is>
      </c>
      <c r="M1269" t="n">
        <v>0.0038</v>
      </c>
      <c r="N1269" t="n">
        <v>0.0357</v>
      </c>
      <c r="O1269" t="n">
        <v>0.0833</v>
      </c>
    </row>
    <row r="1270">
      <c r="A1270" t="inlineStr">
        <is>
          <t>openmicroscopy</t>
        </is>
      </c>
      <c r="B1270" t="inlineStr">
        <is>
          <t>examples/RegionsOfInterest/Main.py</t>
        </is>
      </c>
      <c r="C1270">
        <f>HYPERLINK("https://github.com/ome/openmicroscopy/blob/master/examples/RegionsOfInterest/Main.py")</f>
        <v/>
      </c>
      <c r="D1270" t="inlineStr">
        <is>
          <t>This is a Python script that defines a function to create a new ROI (Region of Interest) object in OMERO, a software platform for image analysis. The function takes no arguments and returns a newly created `ROI` instance with an ellipse shape defined by its center coordinates (`x`, `y`) and semi-axes lengths (`a`, `b`). The `</t>
        </is>
      </c>
      <c r="E1270" t="n">
        <v>0.0043</v>
      </c>
      <c r="F1270" t="n">
        <v>0.125</v>
      </c>
      <c r="G1270" t="n">
        <v>0.1953</v>
      </c>
      <c r="H1270" t="inlineStr">
        <is>
          <t>This is a Python script that uses the `omero` library to create a ROI (Region Of Interest) object with an ellipse shape. The script defines an `ellipse` variable as an instance of the `omero.model.EllipseI()` class, which represents an ellipse in OMERO. The `ellipse.setX()` method sets the x</t>
        </is>
      </c>
      <c r="I1270" t="n">
        <v>0.0039</v>
      </c>
      <c r="J1270" t="n">
        <v>0.0345</v>
      </c>
      <c r="K1270" t="n">
        <v>0.08400000000000001</v>
      </c>
      <c r="L1270" t="inlineStr">
        <is>
          <t>The code defines a Python script that uses the `omero` library to create an Ellipse object within an ROI (Region Of Interest). The script imports the necessary modules from the `omero.clients` package and creates an instance of the `RoiI` class. It then sets the X coordinate of the ellipse to 1 using the `setX()` method.</t>
        </is>
      </c>
      <c r="M1270" t="n">
        <v>0.0033</v>
      </c>
      <c r="N1270" t="n">
        <v>0.0625</v>
      </c>
      <c r="O1270" t="n">
        <v>0.1181</v>
      </c>
    </row>
    <row r="1271">
      <c r="A1271" t="inlineStr">
        <is>
          <t>openmicroscopy</t>
        </is>
      </c>
      <c r="B1271" t="inlineStr">
        <is>
          <t>examples/OmeroTables/first.py</t>
        </is>
      </c>
      <c r="C1271">
        <f>HYPERLINK("https://github.com/ome/openmicroscopy/blob/master/examples/OmeroTables/first.py")</f>
        <v/>
      </c>
      <c r="D1271" t="inlineStr">
        <is>
          <t>This is Python code that uses the OMERO library to create a new table in an HDF5 file and add data to it. The code first creates a client object using the `omero.client()` function, then creates a session object using the `session.createSession()` method on the client object. It then retrieves a list of shared resources from the server using the</t>
        </is>
      </c>
      <c r="E1271" t="n">
        <v>0.0036</v>
      </c>
      <c r="F1271" t="n">
        <v>0.0571</v>
      </c>
      <c r="G1271" t="n">
        <v>0.1136</v>
      </c>
      <c r="H1271" t="inlineStr">
        <is>
          <t>This is Python code that uses the `omero` library to create a new table in an HDF5 file and populate it with data. The table has one column called "name" and its values are set to [1, 2, 3, 4]. The code then retrieves the IDs of all rows where the value in the "name" column is equal to</t>
        </is>
      </c>
      <c r="I1271" t="n">
        <v>0.0037</v>
      </c>
      <c r="J1271" t="n">
        <v>0.0597</v>
      </c>
      <c r="K1271" t="n">
        <v>0.1145</v>
      </c>
      <c r="L1271" t="inlineStr">
        <is>
          <t>The code creates a new table in the OMERO database using the `omerotable` module. It then adds data to the table by creating a column named "name" with values 1, 2, 3, and 4. Finally, it retrieves the data from the table where the name is equal to 1 and prints the value.</t>
        </is>
      </c>
      <c r="M1271" t="n">
        <v>0.0035</v>
      </c>
      <c r="N1271" t="n">
        <v>0.06560000000000001</v>
      </c>
      <c r="O1271" t="n">
        <v>0.08</v>
      </c>
    </row>
    <row r="1272">
      <c r="A1272" t="inlineStr">
        <is>
          <t>openmicroscopy</t>
        </is>
      </c>
      <c r="B1272" t="inlineStr">
        <is>
          <t>examples/OmeroTables/MeasurementTable.java</t>
        </is>
      </c>
      <c r="C1272">
        <f>HYPERLINK("https://github.com/ome/openmicroscopy/blob/master/examples/OmeroTables/MeasurementTable.java")</f>
        <v/>
      </c>
      <c r="D1272" t="inlineStr">
        <is>
          <t>This Java code defines a `MeasurementTable` class that demonstrates how to work with the OMERO tables API. It creates a table, attaches it to an image, and queries the table. The code imports various classes from the OMERO grid library and uses them to create objects representing images, annotations, and links between images and annotations. The main method takes</t>
        </is>
      </c>
      <c r="E1272" t="n">
        <v>0.0037</v>
      </c>
      <c r="F1272" t="n">
        <v>0.0597</v>
      </c>
      <c r="G1272" t="n">
        <v>0.1145</v>
      </c>
      <c r="H1272" t="inlineStr">
        <is>
          <t>This Java program demonstrates how to use the OMERO tables API to create, attach, and query a measurement table in OMERO. It creates a new table, adds some data to it, and queries the table using various methods. The program uses the `omero` library, which provides a set of classes and interfaces that simplify interaction with the OMERO server</t>
        </is>
      </c>
      <c r="I1272" t="n">
        <v>0.0037</v>
      </c>
      <c r="J1272" t="n">
        <v>0.0597</v>
      </c>
      <c r="K1272" t="n">
        <v>0.1145</v>
      </c>
      <c r="L1272" t="inlineStr">
        <is>
          <t>This Java code defines a `MeasurementTable` class that demonstrates how to work with the OMERO tables API. It creates a table, attaches it to an image, and queries the table. The code uses several OMERO classes such as `Image`, `ImageI`, `ImageAnnotationLink`, and `FileAnnotation`. The main method takes an optional argument</t>
        </is>
      </c>
      <c r="M1272" t="n">
        <v>0.0044</v>
      </c>
      <c r="N1272" t="n">
        <v>0.06900000000000001</v>
      </c>
      <c r="O1272" t="n">
        <v>0.123</v>
      </c>
    </row>
    <row r="1273">
      <c r="A1273" t="inlineStr">
        <is>
          <t>openmicroscopy</t>
        </is>
      </c>
      <c r="B1273" t="inlineStr">
        <is>
          <t>examples/OmeroTables/FindMeasurements.java</t>
        </is>
      </c>
      <c r="C1273">
        <f>HYPERLINK("https://github.com/ome/openmicroscopy/blob/master/examples/OmeroTables/FindMeasurements.java")</f>
        <v/>
      </c>
      <c r="D1273" t="inlineStr">
        <is>
          <t>This Java class `FindMeasurements` provides a function that finds all measurements associated with a given image ID or creates a new measurement table if none exists. It uses the OMERO API to interact with the OMERO server and retrieve information about images and measurements.
The `main()` method takes an optional argument representing the ID of an image to search for measurements on</t>
        </is>
      </c>
      <c r="E1273" t="n">
        <v>0.0035</v>
      </c>
      <c r="F1273" t="n">
        <v>0.0857</v>
      </c>
      <c r="G1273" t="n">
        <v>0.1119</v>
      </c>
      <c r="H1273" t="inlineStr">
        <is>
          <t>This Java code defines a `FindMeasurements` class that provides a function to retrieve measurements associated with an image ID or create a new measurement table if none exists. It uses the OMERO Web API to interact with the OMERO server and requires the `omeroweb-server` library to be installed on the system.
The `main()` method takes an</t>
        </is>
      </c>
      <c r="I1273" t="n">
        <v>0.0039</v>
      </c>
      <c r="J1273" t="n">
        <v>0.09229999999999999</v>
      </c>
      <c r="K1273" t="n">
        <v>0.1172</v>
      </c>
      <c r="L1273" t="inlineStr">
        <is>
          <t>The `FindMeasurements` class provides a function that retrieves all measurements associated with a given image ID. It uses the OMERO Web API to perform this operation. The function takes an optional image ID as input, and if none is provided, it creates a test image using the `MeasurementTable`. The function returns a list of measurement objects.</t>
        </is>
      </c>
      <c r="M1273" t="n">
        <v>0.0033</v>
      </c>
      <c r="N1273" t="n">
        <v>0.09379999999999999</v>
      </c>
      <c r="O1273" t="n">
        <v>0.1172</v>
      </c>
    </row>
    <row r="1274">
      <c r="A1274" t="inlineStr">
        <is>
          <t>openmicroscopy</t>
        </is>
      </c>
      <c r="B1274" t="inlineStr">
        <is>
          <t>examples/OmeroTables/iroi.py</t>
        </is>
      </c>
      <c r="C1274">
        <f>HYPERLINK("https://github.com/ome/openmicroscopy/blob/master/examples/OmeroTables/iroi.py")</f>
        <v/>
      </c>
      <c r="D1274" t="inlineStr">
        <is>
          <t>This is Python code that creates a new OMERO table in the database and populates it with some sample data. The code uses the OMERO client library to connect to the OMERO server and create a new session. It then defines a list of columns for the table and initializes the table using those column definitions. Finally, it sets up some sample data and</t>
        </is>
      </c>
      <c r="E1274" t="n">
        <v>0.0034</v>
      </c>
      <c r="F1274" t="n">
        <v>0.0556</v>
      </c>
      <c r="G1274" t="n">
        <v>0.1103</v>
      </c>
      <c r="H1274" t="inlineStr">
        <is>
          <t>The provided Python script is a server-side component that interacts with the Open Microscopy Environment (OMERO) database to create a new table in the shared resources folder and populate it with data from an image annotation. The script uses the `omero` library to connect to the OMERO server and perform various operations on the database.
The script first imports several</t>
        </is>
      </c>
      <c r="I1274" t="n">
        <v>0.003</v>
      </c>
      <c r="J1274" t="n">
        <v>0.029</v>
      </c>
      <c r="K1274" t="n">
        <v>0.07580000000000001</v>
      </c>
      <c r="L1274" t="inlineStr">
        <is>
          <t>The code creates a new table in OMERO using the `omero` library, and populates it with data from an image. It sets up a plate, well, sample, and image, and links them together. Finally, it adds a measurement annotation to the plate.</t>
        </is>
      </c>
      <c r="M1274" t="n">
        <v>0.0044</v>
      </c>
      <c r="N1274" t="n">
        <v>0.04</v>
      </c>
      <c r="O1274" t="n">
        <v>0.0877</v>
      </c>
    </row>
    <row r="1275">
      <c r="A1275" t="inlineStr">
        <is>
          <t>openmicroscopy</t>
        </is>
      </c>
      <c r="B1275" t="inlineStr">
        <is>
          <t>examples/ScriptingService/adminWorkflow.py</t>
        </is>
      </c>
      <c r="C1275">
        <f>HYPERLINK("https://github.com/ome/openmicroscopy/blob/master/examples/ScriptingService/adminWorkflow.py")</f>
        <v/>
      </c>
      <c r="D1275" t="inlineStr">
        <is>
          <t>The code implements a workflow management system for administrative tasks. It provides functions for creating, updating, and deleting workflows, as well as functions for executing and monitoring workflow instances. The code also includes a number of helper functions for working with workflow data structures and implementing custom workflow logic. Overall, the code appears to be well-structured and easy to understand, with comments and documentation throughout the</t>
        </is>
      </c>
      <c r="E1275" t="n">
        <v>0.0036</v>
      </c>
      <c r="F1275" t="n">
        <v>0.1067</v>
      </c>
      <c r="G1275" t="n">
        <v>0.1449</v>
      </c>
      <c r="H1275" t="inlineStr">
        <is>
          <t>The code defines a Python script named "adminWorkflow.py" which is part of a larger software system. It appears to contain the implementation of core algorithms for the system's backend components. The file is encoded using UTF-8 and includes a comment header indicating its purpose and authorship. The complexity of the algorithm is described as O(N), where N is the size of the</t>
        </is>
      </c>
      <c r="I1275" t="n">
        <v>0.0039</v>
      </c>
      <c r="J1275" t="n">
        <v>0.1081</v>
      </c>
      <c r="K1275" t="n">
        <v>0.1866</v>
      </c>
      <c r="L1275" t="inlineStr">
        <is>
          <t>The provided Python script is part of a larger system, specifically the "examples/ScriptingService/adminWorkflow.py" module within a software project. It appears to implement some kind of administrative workflow management system, possibly related to managing user accounts or permissions.
The script's primary function seems to be to perform various administrative tasks based on input parameters, such as creating new</t>
        </is>
      </c>
      <c r="M1275" t="n">
        <v>0.0038</v>
      </c>
      <c r="N1275" t="n">
        <v>0.08699999999999999</v>
      </c>
      <c r="O1275" t="n">
        <v>0.155</v>
      </c>
    </row>
    <row r="1276">
      <c r="A1276" t="inlineStr">
        <is>
          <t>openmicroscopy</t>
        </is>
      </c>
      <c r="B1276" t="inlineStr">
        <is>
          <t>examples/ScriptingService/Notifications.java</t>
        </is>
      </c>
      <c r="C1276">
        <f>HYPERLINK("https://github.com/ome/openmicroscopy/blob/master/examples/ScriptingService/Notifications.java")</f>
        <v/>
      </c>
      <c r="D1276" t="inlineStr">
        <is>
          <t>This code is part of a Java application that implements a simple notification system using the OMERO API. It defines a `Notifications` class with a single method called `main`, which takes an array of strings as input and performs the following steps:
1. Creates a new OMERO client instance using the `omero.client` constructor.
2.</t>
        </is>
      </c>
      <c r="E1276" t="n">
        <v>0.0045</v>
      </c>
      <c r="F1276" t="n">
        <v>0.09520000000000001</v>
      </c>
      <c r="G1276" t="n">
        <v>0.1587</v>
      </c>
      <c r="H1276" t="inlineStr">
        <is>
          <t>The provided code is a Java program that uses the OMERO API to connect to an OMERO server and run a Python script on it. The script is uploaded to the server using the `uploadOfficialScript` method of the `ServiceFactoryPrx` interface, and then executed using the `runScript` method of the `IScriptPrx` interface. The</t>
        </is>
      </c>
      <c r="I1276" t="n">
        <v>0.0035</v>
      </c>
      <c r="J1276" t="n">
        <v>0.0333</v>
      </c>
      <c r="K1276" t="n">
        <v>0.0806</v>
      </c>
      <c r="L1276" t="inlineStr">
        <is>
          <t>The provided code defines a Java class called `Notifications` that interacts with the OMERO software platform through its API. The class has a single method named `main`, which takes an array of strings as input and uses them to create a new official script using the OMERO API. The script is then uploaded and executed using the same API. The `main` method</t>
        </is>
      </c>
      <c r="M1276" t="n">
        <v>0.0035</v>
      </c>
      <c r="N1276" t="n">
        <v>0.0571</v>
      </c>
      <c r="O1276" t="n">
        <v>0.1119</v>
      </c>
    </row>
    <row r="1277">
      <c r="A1277" t="inlineStr">
        <is>
          <t>openmicroscopy</t>
        </is>
      </c>
      <c r="B1277" t="inlineStr">
        <is>
          <t>examples/ScriptingService/HelloWorld.py</t>
        </is>
      </c>
      <c r="C1277">
        <f>HYPERLINK("https://github.com/ome/openmicroscopy/blob/master/examples/ScriptingService/HelloWorld.py")</f>
        <v/>
      </c>
      <c r="D1277" t="inlineStr">
        <is>
          <t>The code implements a simple Python script that prints "Hello World!" to the console. It does not perform any complex computations or operations beyond printing a string to the screen.</t>
        </is>
      </c>
      <c r="E1277" t="n">
        <v>0.0062</v>
      </c>
      <c r="F1277" t="n">
        <v>0.0526</v>
      </c>
      <c r="G1277" t="n">
        <v>0.049</v>
      </c>
      <c r="H1277" t="inlineStr">
        <is>
          <t>The code is written in Python and defines a script called "HelloWorld.py". It imports the necessary libraries and defines a function called "main()" which prints a message to the console. The main() function takes no arguments and returns nothing. The complexity of the code is O(N), where N is the number of elements in the input data. The comments describe the implementation of the core</t>
        </is>
      </c>
      <c r="I1277" t="n">
        <v>0.0033</v>
      </c>
      <c r="J1277" t="n">
        <v>0.0533</v>
      </c>
      <c r="K1277" t="n">
        <v>0.146</v>
      </c>
      <c r="L1277" t="inlineStr">
        <is>
          <t>The code defines a Python script named "HelloWorld.py". It imports the necessary libraries and defines a function called "main()" which prints "Hello World!" to the console.</t>
        </is>
      </c>
      <c r="M1277" t="n">
        <v>0.0073</v>
      </c>
      <c r="N1277" t="n">
        <v>0.0571</v>
      </c>
      <c r="O1277" t="n">
        <v>0.102</v>
      </c>
    </row>
    <row r="1278">
      <c r="A1278" t="inlineStr">
        <is>
          <t>openmicroscopy</t>
        </is>
      </c>
      <c r="B1278" t="inlineStr">
        <is>
          <t>examples/ScriptingService/NativeWrapperExample.py</t>
        </is>
      </c>
      <c r="C1278">
        <f>HYPERLINK("https://github.com/ome/openmicroscopy/blob/master/examples/ScriptingService/NativeWrapperExample.py")</f>
        <v/>
      </c>
      <c r="D1278" t="inlineStr">
        <is>
          <t>The provided Python code defines a `NativeWrapper` class that wraps around a native executable and provides a simple interface for calling it from within OMERO. It uses the `omeron.scripts` module to create a new script that can be executed by the OMERO server. When the script is called, it sets up a new session and retrieves the value of the</t>
        </is>
      </c>
      <c r="E1278" t="n">
        <v>0.0036</v>
      </c>
      <c r="F1278" t="n">
        <v>0.058</v>
      </c>
      <c r="G1278" t="n">
        <v>0.1136</v>
      </c>
      <c r="H1278" t="inlineStr">
        <is>
          <t>The code defines a Python script called `NativeWrapper.py` that wraps around a native executable using the `subprocess` module. It takes two arguments: `Target`, which specifies the target executable, and `Some_Param`, which is a long integer parameter passed to the executable. The script first imports various modules from Open Microscopy Environment (OMERO) and then</t>
        </is>
      </c>
      <c r="I1278" t="n">
        <v>0.0035</v>
      </c>
      <c r="J1278" t="n">
        <v>0.0635</v>
      </c>
      <c r="K1278" t="n">
        <v>0.12</v>
      </c>
      <c r="L1278" t="inlineStr">
        <is>
          <t>The code defines a Python script called `NativeWrapper.py` that wraps around a native executable with the help of the `subprocess` module. It takes two arguments: `Target`, which specifies the target executable, and `Some_Param`, which is an integer parameter for the executable. The script uses the `omeron` library to create a new session and get the value</t>
        </is>
      </c>
      <c r="M1278" t="n">
        <v>0.0033</v>
      </c>
      <c r="N1278" t="n">
        <v>0.0606</v>
      </c>
      <c r="O1278" t="n">
        <v>0.0781</v>
      </c>
    </row>
    <row r="1279">
      <c r="A1279" t="inlineStr">
        <is>
          <t>openmicroscopy</t>
        </is>
      </c>
      <c r="B1279" t="inlineStr">
        <is>
          <t>examples/ScriptingService/Edit_Descriptions.py</t>
        </is>
      </c>
      <c r="C1279">
        <f>HYPERLINK("https://github.com/ome/openmicroscopy/blob/master/examples/ScriptingService/Edit_Descriptions.py")</f>
        <v/>
      </c>
      <c r="D1279" t="inlineStr">
        <is>
          <t>The provided Python script appears to be part of a larger software project, specifically the "Backend" component of a web application. It defines a class called `EditDescription` which has several methods related to editing descriptions.
The `EditDescription` class has three main methods:
1. `__init__`: Initializes the object with a reference to the database connection and the</t>
        </is>
      </c>
      <c r="E1279" t="n">
        <v>0.0039</v>
      </c>
      <c r="F1279" t="n">
        <v>0.0625</v>
      </c>
      <c r="G1279" t="n">
        <v>0.1172</v>
      </c>
      <c r="H1279" t="inlineStr">
        <is>
          <t>The code defines a Python script called "Edit_Descriptions.py" which is part of a larger software system. It appears to be responsible for editing descriptions of various items within the system. The script uses a complex algorithm with a time complexity of O(N), where N represents the number of items being edited. The comments within the script provide some context on the purpose and implementation</t>
        </is>
      </c>
      <c r="I1279" t="n">
        <v>0.0034</v>
      </c>
      <c r="J1279" t="n">
        <v>0.0533</v>
      </c>
      <c r="K1279" t="n">
        <v>0.1471</v>
      </c>
      <c r="L1279" t="inlineStr">
        <is>
          <t>The script Edit_Descriptions.py modifies descriptions within a given directory tree. It takes two arguments: a directory path and a description string. The script recursively traverses the directory tree and updates all files' descriptions with the specified string.</t>
        </is>
      </c>
      <c r="M1279" t="n">
        <v>0.005</v>
      </c>
      <c r="N1279" t="n">
        <v>0.0426</v>
      </c>
      <c r="O1279" t="n">
        <v>0.0459</v>
      </c>
    </row>
    <row r="1280">
      <c r="A1280" t="inlineStr">
        <is>
          <t>openmicroscopy</t>
        </is>
      </c>
      <c r="B1280" t="inlineStr">
        <is>
          <t>examples/ScriptingService/runHelloWorld.py</t>
        </is>
      </c>
      <c r="C1280">
        <f>HYPERLINK("https://github.com/ome/openmicroscopy/blob/master/examples/ScriptingService/runHelloWorld.py")</f>
        <v/>
      </c>
      <c r="D1280" t="inlineStr">
        <is>
          <t>The provided Python script appears to be a simple example of how to use the Scripting Service API to run a Hello World function. It defines a `hello_world` function that takes no arguments and returns a string "Hello, world!" and then calls the `run_script` function from the Scripting Service API to execute the `hello_world` function. The output of the `</t>
        </is>
      </c>
      <c r="E1280" t="n">
        <v>0.003</v>
      </c>
      <c r="F1280" t="n">
        <v>0.0571</v>
      </c>
      <c r="G1280" t="n">
        <v>0.07580000000000001</v>
      </c>
      <c r="H1280" t="inlineStr">
        <is>
          <t>The code defines a Python script called "runHelloWorld.py". It is part of a larger project that includes other files and directories. The script imports the necessary libraries and defines a function called "main()", which runs when the file is executed. The main function calls another function called "hello_world()" which prints a message to the console. The complexity of the code is O(</t>
        </is>
      </c>
      <c r="I1280" t="n">
        <v>0.0029</v>
      </c>
      <c r="J1280" t="n">
        <v>0.0278</v>
      </c>
      <c r="K1280" t="n">
        <v>0.0746</v>
      </c>
      <c r="L1280" t="inlineStr">
        <is>
          <t>The provided Python script defines a function called `runHelloWorld()` which prints "Hello World!" to the console. It also includes some comments describing the purpose of the script and the expected output.</t>
        </is>
      </c>
      <c r="M1280" t="n">
        <v>0.006</v>
      </c>
      <c r="N1280" t="n">
        <v>0.1026</v>
      </c>
      <c r="O1280" t="n">
        <v>0.09710000000000001</v>
      </c>
    </row>
    <row r="1281">
      <c r="A1281" t="inlineStr">
        <is>
          <t>openmicroscopy</t>
        </is>
      </c>
      <c r="B1281" t="inlineStr">
        <is>
          <t>examples/ScriptingService/Notifications.py</t>
        </is>
      </c>
      <c r="C1281">
        <f>HYPERLINK("https://github.com/ome/openmicroscopy/blob/master/examples/ScriptingService/Notifications.py")</f>
        <v/>
      </c>
      <c r="D1281" t="inlineStr">
        <is>
          <t>This Python script uses the OMERO API to upload and run a script on a remote server using the `omero` library. The script first creates a new session with the server and then retrieves the `scriptService` object from the session factory. It then uploads a script file named `/examples/%s.py` with UUID `%s`, where `%s` is</t>
        </is>
      </c>
      <c r="E1281" t="n">
        <v>0.004</v>
      </c>
      <c r="F1281" t="n">
        <v>0.0615</v>
      </c>
      <c r="G1281" t="n">
        <v>0.1181</v>
      </c>
      <c r="H1281" t="inlineStr">
        <is>
          <t>This code defines a Python script that uploads an official script to the OMERO server using the `omero` library and runs it on the server. The script uses the `omero.scripts` module to create a session with the server, get the script service, upload the script, run the script, and then close the session. The script also includes a timeout mechanism to</t>
        </is>
      </c>
      <c r="I1281" t="n">
        <v>0.0039</v>
      </c>
      <c r="J1281" t="n">
        <v>0.0857</v>
      </c>
      <c r="K1281" t="n">
        <v>0.1504</v>
      </c>
      <c r="L1281" t="inlineStr">
        <is>
          <t>The provided Python code defines a script that uploads an official script to the OMERO server and runs it using the `scriptService` object. The script takes no input arguments and returns nothing. It uses the `omero` library for interacting with the OMERO server and the `uuid` module for generating unique identifiers. The script also imports the `omeros</t>
        </is>
      </c>
      <c r="M1281" t="n">
        <v>0.0038</v>
      </c>
      <c r="N1281" t="n">
        <v>0.0308</v>
      </c>
      <c r="O1281" t="n">
        <v>0.1163</v>
      </c>
    </row>
    <row r="1282">
      <c r="A1282" t="inlineStr">
        <is>
          <t>openmicroscopy</t>
        </is>
      </c>
      <c r="B1282" t="inlineStr">
        <is>
          <t>components/tests/ui/plugins/robot.py</t>
        </is>
      </c>
      <c r="C1282">
        <f>HYPERLINK("https://github.com/ome/openmicroscopy/blob/master/components/tests/ui/plugins/robot.py")</f>
        <v/>
      </c>
      <c r="D1282" t="inlineStr">
        <is>
          <t>The code provides a command line interface (CLI) tool for managing robotic frameworks. It imports various modules from the `omero` library, including `BaseControl`, `CLI`, and `sys`. The `RobotControl` class inherits from `BaseControl` and overrides its `__init__()` method to set up the command line arguments. The `main()` function is</t>
        </is>
      </c>
      <c r="E1282" t="n">
        <v>0.0038</v>
      </c>
      <c r="F1282" t="n">
        <v>0.07140000000000001</v>
      </c>
      <c r="G1282" t="n">
        <v>0.125</v>
      </c>
      <c r="H1282" t="inlineStr">
        <is>
          <t>The code in this repository is a Python package called `robot` that provides various tools for configuring and deploying robotic systems. It includes a command line interface (CLI) for interacting with the system, as well as a set of classes and functions for implementing the core algorithms. The code is licensed under the GNU General Public License (GPL), which allows users to use</t>
        </is>
      </c>
      <c r="I1282" t="n">
        <v>0.0034</v>
      </c>
      <c r="J1282" t="n">
        <v>0.08450000000000001</v>
      </c>
      <c r="K1282" t="n">
        <v>0.1852</v>
      </c>
      <c r="L1282" t="inlineStr">
        <is>
          <t>The provided code defines a class called `RobotControl` which inherits from `BaseControl`. It appears to be a command line interface (CLI) tool for managing robotic frameworks. The class has a `__init__` method that takes no arguments and sets up some basic variables and imports necessary modules. The `main()` function is where the magic happens. It creates a new instance</t>
        </is>
      </c>
      <c r="M1282" t="n">
        <v>0.0031</v>
      </c>
      <c r="N1282" t="n">
        <v>0.0597</v>
      </c>
      <c r="O1282" t="n">
        <v>0.07630000000000001</v>
      </c>
    </row>
    <row r="1283">
      <c r="A1283" t="inlineStr">
        <is>
          <t>openmicroscopy</t>
        </is>
      </c>
      <c r="B1283" t="inlineStr">
        <is>
          <t>components/tests/ui/resources/well_sample_posXY.py</t>
        </is>
      </c>
      <c r="C1283">
        <f>HYPERLINK("https://github.com/ome/openmicroscopy/blob/master/components/tests/ui/resources/well_sample_posXY.py")</f>
        <v/>
      </c>
      <c r="D1283" t="inlineStr">
        <is>
          <t>This script is used to update the position (x,y coordinates) of well samples in a plate using OMERO. It takes in arguments from the command line, including the hostname, port number, session key, and plate ID. The script then connects to the OMERO server using the BlitzGateway class, retrieves the specified plate object, and</t>
        </is>
      </c>
      <c r="E1283" t="n">
        <v>0.004</v>
      </c>
      <c r="F1283" t="n">
        <v>0.0635</v>
      </c>
      <c r="G1283" t="n">
        <v>0.119</v>
      </c>
      <c r="H1283" t="inlineStr">
        <is>
          <t>This script is used to update the position (x,y) of well samples in a plate using the OMERO API. It takes four arguments: `host`, `port`, `sessionKey`, and `plateId`. The script connects to an OMERO server with the specified hostname and port number, logs into the server using the given session key, and then</t>
        </is>
      </c>
      <c r="I1283" t="n">
        <v>0.0041</v>
      </c>
      <c r="J1283" t="n">
        <v>0.0645</v>
      </c>
      <c r="K1283" t="n">
        <v>0.12</v>
      </c>
      <c r="L1283" t="inlineStr">
        <is>
          <t>The script is used to set the position (x and y coordinates) of well samples in a plate using the OMERO API. It takes four arguments: host, port, session key, and plate ID. The script connects to the specified OMERO server using the given credentials and retrieves the specified plate object from the database. Then, it iterates over all well</t>
        </is>
      </c>
      <c r="M1283" t="n">
        <v>0.003</v>
      </c>
      <c r="N1283" t="n">
        <v>0.0294</v>
      </c>
      <c r="O1283" t="n">
        <v>0.07580000000000001</v>
      </c>
    </row>
    <row r="1284">
      <c r="A1284" t="inlineStr">
        <is>
          <t>openmicroscopy</t>
        </is>
      </c>
      <c r="B1284" t="inlineStr">
        <is>
          <t>components/tools/bump_version.py</t>
        </is>
      </c>
      <c r="C1284">
        <f>HYPERLINK("https://github.com/ome/openmicroscopy/blob/master/components/tools/bump_version.py")</f>
        <v/>
      </c>
      <c r="D1284" t="inlineStr">
        <is>
          <t>The code is a Python script that replaces version numbers in various files with a new version number. It uses regular expressions to find and replace patterns in text files. The script takes two arguments: the first argument specifies the old version number, and the second argument specifies the new version number.
The script starts by defining several functions: `check_version_format`, which checks</t>
        </is>
      </c>
      <c r="E1284" t="n">
        <v>0.0029</v>
      </c>
      <c r="F1284" t="n">
        <v>0.0278</v>
      </c>
      <c r="G1284" t="n">
        <v>0.0746</v>
      </c>
      <c r="H1284" t="inlineStr">
        <is>
          <t>This script automates the process of updating the version number in various files throughout a project. It takes a single argument, which is the version number to update to. The script then searches through all files in the current directory and its subdirectories, using regular expressions to find instances of "major.minor" or "latest/omero" followed by a version number. When it finds</t>
        </is>
      </c>
      <c r="I1284" t="n">
        <v>0.0036</v>
      </c>
      <c r="J1284" t="n">
        <v>0.0563</v>
      </c>
      <c r="K1284" t="n">
        <v>0.1128</v>
      </c>
      <c r="L1284" t="inlineStr">
        <is>
          <t>The script replaces version numbers in multiple files using regular expressions. It takes two arguments: `version` and `pattern`. The `version` argument specifies the version number to be replaced, while the `pattern` argument specifies the regular expression that matches the version number in the target files. The script searches for all files in the current directory and subdirectories that match one of the</t>
        </is>
      </c>
      <c r="M1284" t="n">
        <v>0.0029</v>
      </c>
      <c r="N1284" t="n">
        <v>0.0286</v>
      </c>
      <c r="O1284" t="n">
        <v>0.0746</v>
      </c>
    </row>
    <row r="1285">
      <c r="A1285" t="inlineStr">
        <is>
          <t>openmicroscopy</t>
        </is>
      </c>
      <c r="B1285" t="inlineStr">
        <is>
          <t>components/tools/OmeroCpp/ext/gtest-1.7.0/test/gtest_shuffle_test.py</t>
        </is>
      </c>
      <c r="C1285">
        <f>HYPERLINK("https://github.com/ome/openmicroscopy/blob/master/components/tools/OmeroCpp/ext/gtest-1.7.0/test/gtest_shuffle_test.py")</f>
        <v/>
      </c>
      <c r="D1285" t="inlineStr">
        <is>
          <t>This is a Python script that implements various algorithms for processing data. The script includes comments explaining the purpose of each algorithm and their complexity. It also includes information about the commits made to the project and the size of the codebase. Overall, the script appears to be a collection of code snippets that can be used as building blocks for more complex applications.</t>
        </is>
      </c>
      <c r="E1285" t="n">
        <v>0.0037</v>
      </c>
      <c r="F1285" t="n">
        <v>0.0833</v>
      </c>
      <c r="G1285" t="n">
        <v>0.1471</v>
      </c>
      <c r="H1285" t="inlineStr">
        <is>
          <t>This is a Python script that implements a set of backend software components. The script has been optimized for performance using Big-O notation, which indicates that the complexity of the algorithm is O(N), where N represents the size of the input data. The script also includes comments explaining the implementation of core algorithms. The code has been committed once, and it consists of approximately 1000</t>
        </is>
      </c>
      <c r="I1285" t="n">
        <v>0.0042</v>
      </c>
      <c r="J1285" t="n">
        <v>0.1333</v>
      </c>
      <c r="K1285" t="n">
        <v>0.219</v>
      </c>
      <c r="L1285" t="inlineStr">
        <is>
          <t>The provided Python script is a part of a larger system that implements various algorithms for processing data. It appears to be responsible for implementing the core algorithms required by the system, based on the comments and existing code structure. The complexity of the code is O(N), and there are no immediate plans to modify or optimize it further.</t>
        </is>
      </c>
      <c r="M1285" t="n">
        <v>0.0041</v>
      </c>
      <c r="N1285" t="n">
        <v>0.0882</v>
      </c>
      <c r="O1285" t="n">
        <v>0.1527</v>
      </c>
    </row>
    <row r="1286">
      <c r="A1286" t="inlineStr">
        <is>
          <t>openmicroscopy</t>
        </is>
      </c>
      <c r="B1286" t="inlineStr">
        <is>
          <t>components/tools/OmeroCpp/ext/gtest-1.7.0/test/gtest_catch_exceptions_test.py</t>
        </is>
      </c>
      <c r="C1286">
        <f>HYPERLINK("https://github.com/ome/openmicroscopy/blob/master/components/tools/OmeroCpp/ext/gtest-1.7.0/test/gtest_catch_exceptions_test.py")</f>
        <v/>
      </c>
      <c r="D1286" t="inlineStr">
        <is>
          <t>This is a Python script that implements various algorithms for processing data. The script has been optimized for performance using techniques such as memoization and caching. It also includes comments explaining the purpose of each function and how they work. The script uses O(N) complexity, where N is the number of elements being processed. Overall, this script appears to be well-written and efficient, making</t>
        </is>
      </c>
      <c r="E1286" t="n">
        <v>0.0037</v>
      </c>
      <c r="F1286" t="n">
        <v>0.1081</v>
      </c>
      <c r="G1286" t="n">
        <v>0.1471</v>
      </c>
      <c r="H1286" t="inlineStr">
        <is>
          <t>This is a Python script that implements a set of backend software components. The script has a complexitiy of O(N), where N is the number of input parameters. It includes comments explaining the implementation of core algorithms. There have been no commits since the initial codebase commit. The code size is approximately 1000 lines long.</t>
        </is>
      </c>
      <c r="I1286" t="n">
        <v>0.0047</v>
      </c>
      <c r="J1286" t="n">
        <v>0.125</v>
      </c>
      <c r="K1286" t="n">
        <v>0.1575</v>
      </c>
      <c r="L1286" t="inlineStr">
        <is>
          <t>The provided Python script is a server implementation for a web application using Flask framework. It defines a route for handling GET requests at the / endpoint, which returns a JSON response containing a message. The script also includes comments and documentation to explain the purpose and usage of the code.</t>
        </is>
      </c>
      <c r="M1286" t="n">
        <v>0.0036</v>
      </c>
      <c r="N1286" t="n">
        <v>0.06900000000000001</v>
      </c>
      <c r="O1286" t="n">
        <v>0.122</v>
      </c>
    </row>
    <row r="1287">
      <c r="A1287" t="inlineStr">
        <is>
          <t>openmicroscopy</t>
        </is>
      </c>
      <c r="B1287" t="inlineStr">
        <is>
          <t>components/tools/OmeroCpp/ext/gtest-1.7.0/test/gtest_xml_output_unittest.py</t>
        </is>
      </c>
      <c r="C1287">
        <f>HYPERLINK("https://github.com/ome/openmicroscopy/blob/master/components/tools/OmeroCpp/ext/gtest-1.7.0/test/gtest_xml_output_unittest.py")</f>
        <v/>
      </c>
      <c r="D1287" t="inlineStr">
        <is>
          <t>This is a Python script that implements various algorithms for solving problems related to computer science, specifically those involving data structures and algorithms. The code is well-documented and includes comments explaining the purpose and complexity of each function. It also includes a README file describing the overall project and its goals. The code size is approximately 1000 lines long.</t>
        </is>
      </c>
      <c r="E1287" t="n">
        <v>0.0041</v>
      </c>
      <c r="F1287" t="n">
        <v>0.1176</v>
      </c>
      <c r="G1287" t="n">
        <v>0.1145</v>
      </c>
      <c r="H1287" t="inlineStr">
        <is>
          <t>This is a Python script that implements various backend software components. The script has been optimized for performance using techniques such as memoization and caching. It also includes comments explaining the implementation of the core algorithms. The code size is approximately 1000 lines long.</t>
        </is>
      </c>
      <c r="I1287" t="n">
        <v>0.0063</v>
      </c>
      <c r="J1287" t="n">
        <v>0.1538</v>
      </c>
      <c r="K1287" t="n">
        <v>0.2586</v>
      </c>
      <c r="L1287" t="inlineStr">
        <is>
          <t>The provided code is a Python script that implements various algorithms for data processing and analysis. It includes functions for sorting, searching, and manipulating data structures such as arrays and dictionaries. The code also provides utility functions for working with files and directories. The overall purpose of the code is to provide a flexible and efficient framework for performing common data processing tasks.</t>
        </is>
      </c>
      <c r="M1287" t="n">
        <v>0.0034</v>
      </c>
      <c r="N1287" t="n">
        <v>0.08450000000000001</v>
      </c>
      <c r="O1287" t="n">
        <v>0.1111</v>
      </c>
    </row>
    <row r="1288">
      <c r="A1288" t="inlineStr">
        <is>
          <t>openmicroscopy</t>
        </is>
      </c>
      <c r="B1288" t="inlineStr">
        <is>
          <t>components/tools/OmeroCpp/ext/gtest-1.7.0/test/gtest_output_test.py</t>
        </is>
      </c>
      <c r="C1288">
        <f>HYPERLINK("https://github.com/ome/openmicroscopy/blob/master/components/tools/OmeroCpp/ext/gtest-1.7.0/test/gtest_output_test.py")</f>
        <v/>
      </c>
      <c r="D1288" t="inlineStr">
        <is>
          <t>This is a Python script that implements various algorithms for solving problems related to computer science and programming. The script includes comments explaining the purpose and complexity of each algorithm, as well as information about the commits and code size.</t>
        </is>
      </c>
      <c r="E1288" t="n">
        <v>0.0061</v>
      </c>
      <c r="F1288" t="n">
        <v>0.125</v>
      </c>
      <c r="G1288" t="n">
        <v>0.1339</v>
      </c>
      <c r="H1288" t="inlineStr">
        <is>
          <t>This is a Python script that implements various backend software components. The script has been optimized for performance using Big-O notation, which indicates that the complexity is O(N). The comments provide insight into the implementation of the core algorithms. The script was initially committed as part of the project's codebase. The total size of the code is approximately 1000 lines.</t>
        </is>
      </c>
      <c r="I1288" t="n">
        <v>0.0043</v>
      </c>
      <c r="J1288" t="n">
        <v>0.1127</v>
      </c>
      <c r="K1288" t="n">
        <v>0.1894</v>
      </c>
      <c r="L1288" t="inlineStr">
        <is>
          <t>The provided Python script is a part of a larger system, and it appears to be responsible for implementing core algorithms. It has a complexity of O(N), existing comments provide some insight into the implementation details, and it was initially committed as part of the initial codebase. The script's primary function is to perform various operations and control the flow of the program based on certain inputs and outputs</t>
        </is>
      </c>
      <c r="M1288" t="n">
        <v>0.0031</v>
      </c>
      <c r="N1288" t="n">
        <v>0.1013</v>
      </c>
      <c r="O1288" t="n">
        <v>0.1418</v>
      </c>
    </row>
    <row r="1289">
      <c r="A1289" t="inlineStr">
        <is>
          <t>openmicroscopy</t>
        </is>
      </c>
      <c r="B1289" t="inlineStr">
        <is>
          <t>components/tools/OmeroCpp/ext/gtest-1.7.0/test/gtest_xml_outfiles_test.py</t>
        </is>
      </c>
      <c r="C1289">
        <f>HYPERLINK("https://github.com/ome/openmicroscopy/blob/master/components/tools/OmeroCpp/ext/gtest-1.7.0/test/gtest_xml_outfiles_test.py")</f>
        <v/>
      </c>
      <c r="D1289" t="inlineStr">
        <is>
          <t>The provided code is a Python script that implements various algorithms for processing data. It includes a number of functions for performing operations such as sorting, searching, and manipulating data structures. The code also includes comments explaining the purpose and implementation of each function, as well as information about the complexity of the algorithms and any notable features or limitations. Overall, the code appears to be a well-struct</t>
        </is>
      </c>
      <c r="E1289" t="n">
        <v>0.0032</v>
      </c>
      <c r="F1289" t="n">
        <v>0.0779</v>
      </c>
      <c r="G1289" t="n">
        <v>0.1071</v>
      </c>
      <c r="H1289" t="inlineStr">
        <is>
          <t>This is a Python script that implements various backend software components. The script has been optimized for performance using Big-O notation, which indicates a complexity of O(N). The comments provide information about the implementation of core algorithms and the purpose of each function. The script also includes a README file that explains the overall structure and organization of the project. Overall, the script appears to be</t>
        </is>
      </c>
      <c r="I1289" t="n">
        <v>0.0041</v>
      </c>
      <c r="J1289" t="n">
        <v>0.1579</v>
      </c>
      <c r="K1289" t="n">
        <v>0.2174</v>
      </c>
      <c r="L1289" t="inlineStr">
        <is>
          <t>The provided Python script is a part of a larger system that implements various algorithms for processing data. It appears to be a significant component of the system's core functionality, as evidenced by its inclusion in the project's initial commit and the presence of detailed comments describing its implementation. The script's primary purpose is to perform complex computations using mathematical algorithms, which are likely to be</t>
        </is>
      </c>
      <c r="M1289" t="n">
        <v>0.0036</v>
      </c>
      <c r="N1289" t="n">
        <v>0.1039</v>
      </c>
      <c r="O1289" t="n">
        <v>0.1449</v>
      </c>
    </row>
    <row r="1290">
      <c r="A1290" t="inlineStr">
        <is>
          <t>openmicroscopy</t>
        </is>
      </c>
      <c r="B1290" t="inlineStr">
        <is>
          <t>components/tools/OmeroCpp/ext/gtest-1.7.0/test/gtest_uninitialized_test.py</t>
        </is>
      </c>
      <c r="C1290">
        <f>HYPERLINK("https://github.com/ome/openmicroscopy/blob/master/components/tools/OmeroCpp/ext/gtest-1.7.0/test/gtest_uninitialized_test.py")</f>
        <v/>
      </c>
      <c r="D1290" t="inlineStr">
        <is>
          <t>This is a Python script that implements various algorithms for solving problems related to computer science and programming. The script includes comments explaining the purpose and implementation of each algorithm, as well as information about the complexity and size of the code.</t>
        </is>
      </c>
      <c r="E1290" t="n">
        <v>0.0058</v>
      </c>
      <c r="F1290" t="n">
        <v>0.12</v>
      </c>
      <c r="G1290" t="n">
        <v>0.1316</v>
      </c>
      <c r="H1290" t="inlineStr">
        <is>
          <t>This is a Python script with a license header indicating it was created by Google Inc. The script has a README file describing the purpose of the repository as containing backend software components. It also specifies the complexity of the code as O(N), which means the time required to execute the code increases linearly with the size of the input. The comments indicate that the code implements core algorithms</t>
        </is>
      </c>
      <c r="I1290" t="n">
        <v>0.0066</v>
      </c>
      <c r="J1290" t="n">
        <v>0.1026</v>
      </c>
      <c r="K1290" t="n">
        <v>0.2238</v>
      </c>
      <c r="L1290" t="inlineStr">
        <is>
          <t>The provided Python script implements various algorithms for image processing tasks such as resizing, cropping, and rotating images. It uses the OpenCV library for image manipulation and provides functions for each operation. The script also includes comments explaining the implementation details and assumptions made during development.</t>
        </is>
      </c>
      <c r="M1290" t="n">
        <v>0.0048</v>
      </c>
      <c r="N1290" t="n">
        <v>0.1111</v>
      </c>
      <c r="O1290" t="n">
        <v>0.1271</v>
      </c>
    </row>
    <row r="1291">
      <c r="A1291" t="inlineStr">
        <is>
          <t>openmicroscopy</t>
        </is>
      </c>
      <c r="B1291" t="inlineStr">
        <is>
          <t>components/tools/OmeroCpp/ext/gtest-1.7.0/test/gtest_xml_test_utils.py</t>
        </is>
      </c>
      <c r="C1291">
        <f>HYPERLINK("https://github.com/ome/openmicroscopy/blob/master/components/tools/OmeroCpp/ext/gtest-1.7.0/test/gtest_xml_test_utils.py")</f>
        <v/>
      </c>
      <c r="D1291" t="inlineStr">
        <is>
          <t>This is a Python script that implements various algorithms for processing data. The script includes comments explaining the purpose of each algorithm and the complexity of their implementation. It also includes a README file that describes the overall structure and organization of the repository. Additionally, it has a license header indicating that the code is licensed under the Apache License version 2.0.</t>
        </is>
      </c>
      <c r="E1291" t="n">
        <v>0.0039</v>
      </c>
      <c r="F1291" t="n">
        <v>0.08450000000000001</v>
      </c>
      <c r="G1291" t="n">
        <v>0.1119</v>
      </c>
      <c r="H1291" t="inlineStr">
        <is>
          <t>This is a Python script that implements a set of backend software components. The script is licensed under the Apache License 2.0 and includes comments explaining the purpose and implementation of each component. It also includes a README file with additional information about the project and its goals. The complexity of the script is O(N), where N is the number of input parameters. The script has</t>
        </is>
      </c>
      <c r="I1291" t="n">
        <v>0.0039</v>
      </c>
      <c r="J1291" t="n">
        <v>0.1053</v>
      </c>
      <c r="K1291" t="n">
        <v>0.1449</v>
      </c>
      <c r="L1291" t="inlineStr">
        <is>
          <t>The provided code is a Python script that implements various algorithms for searching and sorting data structures. It includes functions for linear search, binary search, insertion sort, merge sort, and quicksort. The code also includes comments explaining the implementation details and providing examples for each algorithm.</t>
        </is>
      </c>
      <c r="M1291" t="n">
        <v>0.0048</v>
      </c>
      <c r="N1291" t="n">
        <v>0.1111</v>
      </c>
      <c r="O1291" t="n">
        <v>0.1271</v>
      </c>
    </row>
    <row r="1292">
      <c r="A1292" t="inlineStr">
        <is>
          <t>openmicroscopy</t>
        </is>
      </c>
      <c r="B1292" t="inlineStr">
        <is>
          <t>components/tools/OmeroCpp/ext/gtest-1.7.0/test/gtest_filter_unittest.py</t>
        </is>
      </c>
      <c r="C1292">
        <f>HYPERLINK("https://github.com/ome/openmicroscopy/blob/master/components/tools/OmeroCpp/ext/gtest-1.7.0/test/gtest_filter_unittest.py")</f>
        <v/>
      </c>
      <c r="D1292" t="inlineStr">
        <is>
          <t>This is a Python script that implements various algorithms for solving problems related to computer science. The script includes comments explaining the purpose and complexity of each algorithm, as well as information about commits and code size.</t>
        </is>
      </c>
      <c r="E1292" t="n">
        <v>0.0066</v>
      </c>
      <c r="F1292" t="n">
        <v>0.1333</v>
      </c>
      <c r="G1292" t="n">
        <v>0.1376</v>
      </c>
      <c r="H1292" t="inlineStr">
        <is>
          <t>This is a Python script that implements various backend software components. The script has been optimized for performance using Big-O notation, indicating a complexity of O(N). The implementation includes comments explaining the purpose and functionality of each component. The script has been committed to version control system at least once, resulting in a total of 1000 lines of code.</t>
        </is>
      </c>
      <c r="I1292" t="n">
        <v>0.0046</v>
      </c>
      <c r="J1292" t="n">
        <v>0.1159</v>
      </c>
      <c r="K1292" t="n">
        <v>0.1908</v>
      </c>
      <c r="L1292" t="inlineStr">
        <is>
          <t>The provided Python script is a part of a larger system that implements various algorithms for data processing. It appears to be a core component responsible for implementing the actual algorithms, as indicated by the existing comments and commit messages. The code size is relatively small, indicating that it is a standalone module rather than a large library. Overall, the script's primary function seems to be to provide the</t>
        </is>
      </c>
      <c r="M1292" t="n">
        <v>0.0037</v>
      </c>
      <c r="N1292" t="n">
        <v>0.0769</v>
      </c>
      <c r="O1292" t="n">
        <v>0.1773</v>
      </c>
    </row>
    <row r="1293">
      <c r="A1293" t="inlineStr">
        <is>
          <t>openmicroscopy</t>
        </is>
      </c>
      <c r="B1293" t="inlineStr">
        <is>
          <t>components/tools/OmeroCpp/ext/gtest-1.7.0/test/gtest_color_test.py</t>
        </is>
      </c>
      <c r="C1293">
        <f>HYPERLINK("https://github.com/ome/openmicroscopy/blob/master/components/tools/OmeroCpp/ext/gtest-1.7.0/test/gtest_color_test.py")</f>
        <v/>
      </c>
      <c r="D1293" t="inlineStr">
        <is>
          <t>The provided code is a Python script that implements a set of backend software components for a web application. It includes a number of functions and classes that perform various tasks related to data processing, such as parsing input data, manipulating it, and generating output. The complexity of the code is O(N), where N is the size of the input data. The code has been well-documented</t>
        </is>
      </c>
      <c r="E1293" t="n">
        <v>0.0036</v>
      </c>
      <c r="F1293" t="n">
        <v>0.0789</v>
      </c>
      <c r="G1293" t="n">
        <v>0.1449</v>
      </c>
      <c r="H1293" t="inlineStr">
        <is>
          <t>This is a Python script that implements a set of backend software components. The script includes comments explaining the purpose of each component and the complexity of the implementation. It also includes a README file that provides more detailed information about the project and its goals. The code size of the script is approximately 1000 lines.</t>
        </is>
      </c>
      <c r="I1293" t="n">
        <v>0.0046</v>
      </c>
      <c r="J1293" t="n">
        <v>0.125</v>
      </c>
      <c r="K1293" t="n">
        <v>0.1563</v>
      </c>
      <c r="L1293" t="inlineStr">
        <is>
          <t>The provided Python script is a part of a larger system for implementing core algorithms. It appears to be responsible for handling complex computations with a time complexity of O(N). The script has been committed multiple times with different messages related to initializing the codebase and providing context about the repository's contents. The functionality of the script can be summarized as follows:
* The script</t>
        </is>
      </c>
      <c r="M1293" t="n">
        <v>0.0037</v>
      </c>
      <c r="N1293" t="n">
        <v>0.08110000000000001</v>
      </c>
      <c r="O1293" t="n">
        <v>0.2304</v>
      </c>
    </row>
    <row r="1294">
      <c r="A1294" t="inlineStr">
        <is>
          <t>openmicroscopy</t>
        </is>
      </c>
      <c r="B1294" t="inlineStr">
        <is>
          <t>components/tools/OmeroCpp/ext/gtest-1.7.0/test/gtest_env_var_test.py</t>
        </is>
      </c>
      <c r="C1294">
        <f>HYPERLINK("https://github.com/ome/openmicroscopy/blob/master/components/tools/OmeroCpp/ext/gtest-1.7.0/test/gtest_env_var_test.py")</f>
        <v/>
      </c>
      <c r="D1294" t="inlineStr">
        <is>
          <t>This is a Python script that implements various algorithms for solving problems related to computer science and data structures. The script includes comments explaining the purpose of each algorithm and their complexity. It also has a README file that describes the repository's contents and provides information about the complexity of each algorithm.</t>
        </is>
      </c>
      <c r="E1294" t="n">
        <v>0.0046</v>
      </c>
      <c r="F1294" t="n">
        <v>0.0984</v>
      </c>
      <c r="G1294" t="n">
        <v>0.121</v>
      </c>
      <c r="H1294" t="inlineStr">
        <is>
          <t>This is a Python script that implements a system for managing backend software components. It includes a number of features such as version control, testing, and deployment automation. The script also includes comments explaining the purpose and implementation of each feature. The complexity of the script is O(N), where N is the size of the input data.</t>
        </is>
      </c>
      <c r="I1294" t="n">
        <v>0.0045</v>
      </c>
      <c r="J1294" t="n">
        <v>0.09089999999999999</v>
      </c>
      <c r="K1294" t="n">
        <v>0.155</v>
      </c>
      <c r="L1294" t="inlineStr">
        <is>
          <t>The provided code is a Python script that implements various algorithms for data compression and decompression. It uses the zlib library for compressing and decompressing data, and provides several functions for working with compressed files. The code also includes comments explaining the implementation details and usage examples.</t>
        </is>
      </c>
      <c r="M1294" t="n">
        <v>0.0046</v>
      </c>
      <c r="N1294" t="n">
        <v>0.1091</v>
      </c>
      <c r="O1294" t="n">
        <v>0.1261</v>
      </c>
    </row>
    <row r="1295">
      <c r="A1295" t="inlineStr">
        <is>
          <t>openmicroscopy</t>
        </is>
      </c>
      <c r="B1295" t="inlineStr">
        <is>
          <t>components/tools/OmeroCpp/ext/gtest-1.7.0/test/gtest_help_test.py</t>
        </is>
      </c>
      <c r="C1295">
        <f>HYPERLINK("https://github.com/ome/openmicroscopy/blob/master/components/tools/OmeroCpp/ext/gtest-1.7.0/test/gtest_help_test.py")</f>
        <v/>
      </c>
      <c r="D1295" t="inlineStr">
        <is>
          <t>This is a Python script that implements various algorithms for solving problems related to data structures and algorithms. The script is well-documented with comments explaining each part of the code. It also includes a README file that provides an overview of the project's goals and objectives. The complexity of the algorithm is O(N), where N is the size of the input dataset. The</t>
        </is>
      </c>
      <c r="E1295" t="n">
        <v>0.0038</v>
      </c>
      <c r="F1295" t="n">
        <v>0.08110000000000001</v>
      </c>
      <c r="G1295" t="n">
        <v>0.1481</v>
      </c>
      <c r="H1295" t="inlineStr">
        <is>
          <t>This is a Python file containing the implementation of a backend system's core algorithms. The file has comments explaining the purpose and structure of each algorithm, as well as the complexity of their execution time. It also includes information about the number of commits made to the project and the size of the codebase. Overall, this file appears to be a critical component of a larger software system.</t>
        </is>
      </c>
      <c r="I1295" t="n">
        <v>0.0038</v>
      </c>
      <c r="J1295" t="n">
        <v>0.1039</v>
      </c>
      <c r="K1295" t="n">
        <v>0.1786</v>
      </c>
      <c r="L1295" t="inlineStr">
        <is>
          <t>The provided Python code is a part of a larger system that implements various algorithms for image processing tasks. It appears to be a significant portion of the overall project, as it includes comments about implementation details, complexity, size, and existing comments. The code's primary function is to perform certain operations on images using various techniques such as convolution, thresholding, and edge detection.</t>
        </is>
      </c>
      <c r="M1295" t="n">
        <v>0.0034</v>
      </c>
      <c r="N1295" t="n">
        <v>0.0833</v>
      </c>
      <c r="O1295" t="n">
        <v>0.1111</v>
      </c>
    </row>
    <row r="1296">
      <c r="A1296" t="inlineStr">
        <is>
          <t>openmicroscopy</t>
        </is>
      </c>
      <c r="B1296" t="inlineStr">
        <is>
          <t>components/tools/OmeroCpp/ext/gtest-1.7.0/test/gtest_break_on_failure_unittest.py</t>
        </is>
      </c>
      <c r="C1296">
        <f>HYPERLINK("https://github.com/ome/openmicroscopy/blob/master/components/tools/OmeroCpp/ext/gtest-1.7.0/test/gtest_break_on_failure_unittest.py")</f>
        <v/>
      </c>
      <c r="D1296" t="inlineStr">
        <is>
          <t>The code is a Python script that implements various algorithms for solving computational problems. It includes functions for sorting, searching, graph traversal, and more. The complexity of the code is O(n), where n is the size of the input data set. The code has been well-documented, including comments explaining the purpose and implementation of each function. There have been no significant changes made to</t>
        </is>
      </c>
      <c r="E1296" t="n">
        <v>0.0034</v>
      </c>
      <c r="F1296" t="n">
        <v>0.08110000000000001</v>
      </c>
      <c r="G1296" t="n">
        <v>0.1103</v>
      </c>
      <c r="H1296" t="inlineStr">
        <is>
          <t>This is a Python script that implements a set of backend software components. The script has been released under the Apache License 2.0, which allows for redistribution and use in both source and binary forms, as long as the original copyright notice and license terms are included.
The script's main function, `main()`, defines a series of functions that implement various core algorithms</t>
        </is>
      </c>
      <c r="I1296" t="n">
        <v>0.0044</v>
      </c>
      <c r="J1296" t="n">
        <v>0.1111</v>
      </c>
      <c r="K1296" t="n">
        <v>0.2239</v>
      </c>
      <c r="L1296" t="inlineStr">
        <is>
          <t>The provided Python script implements a set of algorithms for image processing tasks such as resizing, cropping, and rotating images. It uses the OpenCV library for image manipulation and includes comments describing the implementation details. The script is well-documented and easy to understand, making it suitable for developers who want to work with image processing techniques.</t>
        </is>
      </c>
      <c r="M1296" t="n">
        <v>0.0039</v>
      </c>
      <c r="N1296" t="n">
        <v>0.0615</v>
      </c>
      <c r="O1296" t="n">
        <v>0.1172</v>
      </c>
    </row>
    <row r="1297">
      <c r="A1297" t="inlineStr">
        <is>
          <t>openmicroscopy</t>
        </is>
      </c>
      <c r="B1297" t="inlineStr">
        <is>
          <t>components/tools/OmeroCpp/ext/gtest-1.7.0/test/gtest_list_tests_unittest.py</t>
        </is>
      </c>
      <c r="C1297">
        <f>HYPERLINK("https://github.com/ome/openmicroscopy/blob/master/components/tools/OmeroCpp/ext/gtest-1.7.0/test/gtest_list_tests_unittest.py")</f>
        <v/>
      </c>
      <c r="D1297" t="inlineStr">
        <is>
          <t>This is a Python script that implements various algorithms for solving problems related to computer science and programming. The script includes comments describing the purpose and complexity of each algorithm, as well as information about commits and code size. The overall functionality of the script can be summarized as follows:
* It provides a collection of algorithms for solving different types of problems, such as sorting, searching, and graph</t>
        </is>
      </c>
      <c r="E1297" t="n">
        <v>0.0037</v>
      </c>
      <c r="F1297" t="n">
        <v>0.1053</v>
      </c>
      <c r="G1297" t="n">
        <v>0.1418</v>
      </c>
      <c r="H1297" t="inlineStr">
        <is>
          <t>This is a Python script that implements various backend software components. The script has been optimized for performance using techniques such as memoization and caching. It also includes comments explaining the implementation of core algorithms. The script has been tested and committed to version control. The complexity of the script is O(N), where N is the number of inputs.</t>
        </is>
      </c>
      <c r="I1297" t="n">
        <v>0.0046</v>
      </c>
      <c r="J1297" t="n">
        <v>0.1471</v>
      </c>
      <c r="K1297" t="n">
        <v>0.229</v>
      </c>
      <c r="L1297" t="inlineStr">
        <is>
          <t>The provided Python script is part of a larger system that implements various algorithms for processing data. It appears to be a core component responsible for implementing the core algorithms. The script has a complexity of O(N) and uses existing comments to provide implementation details. The code size is approximately 1000 lines. Its primary function is to process input data using various algorithms and produce output based on</t>
        </is>
      </c>
      <c r="M1297" t="n">
        <v>0.0035</v>
      </c>
      <c r="N1297" t="n">
        <v>0.1039</v>
      </c>
      <c r="O1297" t="n">
        <v>0.1429</v>
      </c>
    </row>
    <row r="1298">
      <c r="A1298" t="inlineStr">
        <is>
          <t>openmicroscopy</t>
        </is>
      </c>
      <c r="B1298" t="inlineStr">
        <is>
          <t>components/tools/OmeroCpp/ext/gtest-1.7.0/test/gtest_throw_on_failure_test.py</t>
        </is>
      </c>
      <c r="C1298">
        <f>HYPERLINK("https://github.com/ome/openmicroscopy/blob/master/components/tools/OmeroCpp/ext/gtest-1.7.0/test/gtest_throw_on_failure_test.py")</f>
        <v/>
      </c>
      <c r="D1298" t="inlineStr">
        <is>
          <t>This is a Python script that implements a set of functions for performing various tasks related to the analysis and manipulation of data. The script includes comments explaining the purpose and implementation of each function, as well as some basic tests to ensure that they work correctly. The complexity of the code is O(N), where N is the number of elements in the input dataset. Overall, the script appears</t>
        </is>
      </c>
      <c r="E1298" t="n">
        <v>0.0035</v>
      </c>
      <c r="F1298" t="n">
        <v>0.1026</v>
      </c>
      <c r="G1298" t="n">
        <v>0.1418</v>
      </c>
      <c r="H1298" t="inlineStr">
        <is>
          <t>This is a Python script that implements a set of backend software components. The script has been annotated with comments describing the purpose of each section of code. It also includes a README file that provides more detailed information about the project and its goals.
The script uses the `copyright` module to include a copyright notice at the top of the file. It then imports several</t>
        </is>
      </c>
      <c r="I1298" t="n">
        <v>0.0041</v>
      </c>
      <c r="J1298" t="n">
        <v>0.08110000000000001</v>
      </c>
      <c r="K1298" t="n">
        <v>0.2174</v>
      </c>
      <c r="L1298" t="inlineStr">
        <is>
          <t>The provided Python script is a server-side application that implements various core algorithms for processing data. It uses a combination of machine learning techniques and statistical analysis to perform tasks such as classification, regression, and clustering. The code has been optimized for performance using techniques like caching and parallel processing, making it suitable for large datasets. The script also includes comments and documentation to help developers understand the code'</t>
        </is>
      </c>
      <c r="M1298" t="n">
        <v>0.0035</v>
      </c>
      <c r="N1298" t="n">
        <v>0.0769</v>
      </c>
      <c r="O1298" t="n">
        <v>0.1418</v>
      </c>
    </row>
    <row r="1299">
      <c r="A1299" t="inlineStr">
        <is>
          <t>openmicroscopy</t>
        </is>
      </c>
      <c r="B1299" t="inlineStr">
        <is>
          <t>components/tools/OmeroCpp/ext/gtest-1.7.0/test/gtest_test_utils.py</t>
        </is>
      </c>
      <c r="C1299">
        <f>HYPERLINK("https://github.com/ome/openmicroscopy/blob/master/components/tools/OmeroCpp/ext/gtest-1.7.0/test/gtest_test_utils.py")</f>
        <v/>
      </c>
      <c r="D1299" t="inlineStr">
        <is>
          <t>The provided code is a Python script that implements various functions related to data processing and analysis. It appears to be part of a larger project, as it includes comments about complexity, commits, and code size. The script does not contain any actual implementation details, but rather serves as a starting point for further development.</t>
        </is>
      </c>
      <c r="E1299" t="n">
        <v>0.004</v>
      </c>
      <c r="F1299" t="n">
        <v>0.09520000000000001</v>
      </c>
      <c r="G1299" t="n">
        <v>0.1181</v>
      </c>
      <c r="H1299" t="inlineStr">
        <is>
          <t>This is a Python script with comments describing it as backend software components. The complexity is O(N), and there have been one commit. The code size is 1000 lines long.</t>
        </is>
      </c>
      <c r="I1299" t="n">
        <v>0.008200000000000001</v>
      </c>
      <c r="J1299" t="n">
        <v>0.1538</v>
      </c>
      <c r="K1299" t="n">
        <v>0.1471</v>
      </c>
      <c r="L1299" t="inlineStr">
        <is>
          <t>The provided code is a Python script that implements a simple algorithm for solving a problem. It takes two lists as input and returns a new list containing all elements that appear in both lists. The algorithm uses a set data structure to keep track of the unique elements in each list, and then iterates over one of the lists to find matches in the other list. The complexity of the algorithm is O</t>
        </is>
      </c>
      <c r="M1299" t="n">
        <v>0.0029</v>
      </c>
      <c r="N1299" t="n">
        <v>0.0488</v>
      </c>
      <c r="O1299" t="n">
        <v>0.1027</v>
      </c>
    </row>
    <row r="1300">
      <c r="A1300" t="inlineStr">
        <is>
          <t>openmicroscopy</t>
        </is>
      </c>
      <c r="B1300" t="inlineStr">
        <is>
          <t>components/tools/OmeroCpp/ext/gtest-1.7.0/scripts/pump.py</t>
        </is>
      </c>
      <c r="C1300">
        <f>HYPERLINK("https://github.com/ome/openmicroscopy/blob/master/components/tools/OmeroCpp/ext/gtest-1.7.0/scripts/pump.py")</f>
        <v/>
      </c>
      <c r="D1300" t="inlineStr">
        <is>
          <t>This is a Python script that implements various backend software components. The script has been optimized for performance using techniques such as caching and memoization. It also includes comments explaining the implementation of the core algorithms. The script has been tested and validated using automated tests. The complexity of the script is O(N), where N is the number of elements being processed. Overall, the script</t>
        </is>
      </c>
      <c r="E1300" t="n">
        <v>0.0042</v>
      </c>
      <c r="F1300" t="n">
        <v>0.1351</v>
      </c>
      <c r="G1300" t="n">
        <v>0.219</v>
      </c>
      <c r="H1300" t="inlineStr">
        <is>
          <t>This is a Python script that implements a number of functions for performing various tasks related to web development. The script includes comments explaining what each function does and how it works, as well as information about the complexity of the algorithm and any dependencies required to run the script. The script also includes a README file that provides an overview of the project and explains how to install and use the software</t>
        </is>
      </c>
      <c r="I1300" t="n">
        <v>0.0035</v>
      </c>
      <c r="J1300" t="n">
        <v>0.0988</v>
      </c>
      <c r="K1300" t="n">
        <v>0.1724</v>
      </c>
      <c r="L1300" t="inlineStr">
        <is>
          <t>The provided code is a Python script that implements various algorithms for data analysis and processing. It is based on the Google's TensorFlow library and provides functions for training machine learning models, performing data preprocessing, and generating visualizations. The code has been optimized for performance using techniques such as parallelization and caching. The project also includes a README file that provides an overview of</t>
        </is>
      </c>
      <c r="M1300" t="n">
        <v>0.0034</v>
      </c>
      <c r="N1300" t="n">
        <v>0.0822</v>
      </c>
      <c r="O1300" t="n">
        <v>0.1103</v>
      </c>
    </row>
    <row r="1301">
      <c r="A1301" t="inlineStr">
        <is>
          <t>openmicroscopy</t>
        </is>
      </c>
      <c r="B1301" t="inlineStr">
        <is>
          <t>components/tools/OmeroCpp/ext/gtest-1.7.0/scripts/gen_gtest_pred_impl.py</t>
        </is>
      </c>
      <c r="C1301">
        <f>HYPERLINK("https://github.com/ome/openmicroscopy/blob/master/components/tools/OmeroCpp/ext/gtest-1.7.0/scripts/gen_gtest_pred_impl.py")</f>
        <v/>
      </c>
      <c r="D1301" t="inlineStr">
        <is>
          <t>The provided code is a Python script that implements various algorithms for solving problems related to data structures and algorithms. It includes implementations of sorting algorithms such as quicksort and mergesort, as well as graph traversal algorithms like DFS and BFS. The code also includes a number of utility functions for working with arrays and strings. Overall, the code appears to be well-structured and</t>
        </is>
      </c>
      <c r="E1301" t="n">
        <v>0.0034</v>
      </c>
      <c r="F1301" t="n">
        <v>0.0822</v>
      </c>
      <c r="G1301" t="n">
        <v>0.1103</v>
      </c>
      <c r="H1301" t="inlineStr">
        <is>
          <t>This is a Python script containing the implementation of a set of backend software components. The script has a complexity of O(N), where N is the number of components being implemented. It includes comments describing the implementation of core algorithms. There have been one commit made to the repository, which represents the initial codebase. The total size of the code is approximately 1000 lines.</t>
        </is>
      </c>
      <c r="I1301" t="n">
        <v>0.0037</v>
      </c>
      <c r="J1301" t="n">
        <v>0.1096</v>
      </c>
      <c r="K1301" t="n">
        <v>0.1471</v>
      </c>
      <c r="L1301" t="inlineStr">
        <is>
          <t>The provided Python script is a part of a larger system that implements various algorithms for data processing. It appears to be a core component responsible for implementing the core algorithms, which are likely used by other parts of the system. The script has a complexity of O(N), as it processes input data in a linear fashion. It also includes existing comments related to implementation details and commit messages indicating initial code</t>
        </is>
      </c>
      <c r="M1301" t="n">
        <v>0.0033</v>
      </c>
      <c r="N1301" t="n">
        <v>0.0741</v>
      </c>
      <c r="O1301" t="n">
        <v>0.1389</v>
      </c>
    </row>
    <row r="1302">
      <c r="A1302" t="inlineStr">
        <is>
          <t>openmicroscopy</t>
        </is>
      </c>
      <c r="B1302" t="inlineStr">
        <is>
          <t>components/tools/OmeroCpp/ext/gtest-1.7.0/scripts/fuse_gtest_files.py</t>
        </is>
      </c>
      <c r="C1302">
        <f>HYPERLINK("https://github.com/ome/openmicroscopy/blob/master/components/tools/OmeroCpp/ext/gtest-1.7.0/scripts/fuse_gtest_files.py")</f>
        <v/>
      </c>
      <c r="D1302" t="inlineStr">
        <is>
          <t>This is a Python script that implements various algorithms for processing data. The script includes comments explaining the purpose and complexity of each algorithm, as well as information about the commits, code size, and any dependencies required to run the script. Overall, the script appears to be a collection of reusable functions for performing common tasks in data analysis and processing.</t>
        </is>
      </c>
      <c r="E1302" t="n">
        <v>0.0039</v>
      </c>
      <c r="F1302" t="n">
        <v>0.1159</v>
      </c>
      <c r="G1302" t="n">
        <v>0.1504</v>
      </c>
      <c r="H1302" t="inlineStr">
        <is>
          <t>This is a Python script that implements various backend software components. The code is licensed under the Apache License 2.0, which allows for redistribution and use in both source and binary forms, as long as the original copyright notice and license terms are included.
The script includes comments explaining the implementation of core algorithms, and it has been committed once to the repository. It</t>
        </is>
      </c>
      <c r="I1302" t="n">
        <v>0.0043</v>
      </c>
      <c r="J1302" t="n">
        <v>0.137</v>
      </c>
      <c r="K1302" t="n">
        <v>0.2206</v>
      </c>
      <c r="L1302" t="inlineStr">
        <is>
          <t>The provided Python script is a part of a larger system that implements various algorithms for data analysis and processing. It appears to be a core component responsible for implementing the core algorithms, with a complexity of O(N). The script has been committed multiple times over time, each with a brief description of its changes. The overall goal of the script seems to be to provide a robust and efficient implementation of</t>
        </is>
      </c>
      <c r="M1302" t="n">
        <v>0.0033</v>
      </c>
      <c r="N1302" t="n">
        <v>0.0741</v>
      </c>
      <c r="O1302" t="n">
        <v>0.1389</v>
      </c>
    </row>
    <row r="1303">
      <c r="A1303" t="inlineStr">
        <is>
          <t>openmicroscopy</t>
        </is>
      </c>
      <c r="B1303" t="inlineStr">
        <is>
          <t>components/tools/OmeroJava/test/integration/CmdCallbackTest.java</t>
        </is>
      </c>
      <c r="C1303">
        <f>HYPERLINK("https://github.com/ome/openmicroscopy/blob/master/components/tools/OmeroJava/test/integration/CmdCallbackTest.java")</f>
        <v/>
      </c>
      <c r="D1303" t="inlineStr">
        <is>
          <t>The provided code appears to be a Java implementation of a server-side application that handles requests from clients and performs various operations on them. It uses a concurrent design pattern to handle multiple client connections simultaneously, with each connection being processed by a separate thread. The main entry point of the application is the `main` method, which creates a new instance of the `Integration` class and starts its</t>
        </is>
      </c>
      <c r="E1303" t="n">
        <v>0.0027</v>
      </c>
      <c r="F1303" t="n">
        <v>0.0519</v>
      </c>
      <c r="G1303" t="n">
        <v>0.1071</v>
      </c>
      <c r="H1303" t="inlineStr">
        <is>
          <t>The provided code is a Java package named "integration" containing various classes and methods related to implementing backend software components. The code includes a comment block at the top describing the license and authorship of the code, as well as a README file that provides information about the project's purpose and complexity.
The main class of the package is called "IntegrationTest" and it</t>
        </is>
      </c>
      <c r="I1303" t="n">
        <v>0.0034</v>
      </c>
      <c r="J1303" t="n">
        <v>0.0556</v>
      </c>
      <c r="K1303" t="n">
        <v>0.1111</v>
      </c>
      <c r="L1303" t="inlineStr">
        <is>
          <t>The provided code implements a concurrent algorithm for processing a large dataset using Java's `ExecutorService` API. It uses a fixed thread pool with a maximum size of 8 threads, and submits tasks to the executor service using the `submit()` method. Each task processes a portion of the data and updates a shared counter variable. The `awaitTermination()` method is used to wait</t>
        </is>
      </c>
      <c r="M1303" t="n">
        <v>0.0036</v>
      </c>
      <c r="N1303" t="n">
        <v>0.0571</v>
      </c>
      <c r="O1303" t="n">
        <v>0.1128</v>
      </c>
    </row>
    <row r="1304">
      <c r="A1304" t="inlineStr">
        <is>
          <t>openmicroscopy</t>
        </is>
      </c>
      <c r="B1304" t="inlineStr">
        <is>
          <t>components/tools/OmeroJava/test/integration/DeleteServiceFilesTest.java</t>
        </is>
      </c>
      <c r="C1304">
        <f>HYPERLINK("https://github.com/ome/openmicroscopy/blob/master/components/tools/OmeroJava/test/integration/DeleteServiceFilesTest.java")</f>
        <v/>
      </c>
      <c r="D1304" t="inlineStr">
        <is>
          <t>This code appears to be part of a Java project for handling image data stored in OMERO format. It uses various libraries such as `ome`, `java.io`, `java.nio`, `java.util`, and `omeromd` to read and write metadata and pixel data from/to OMERO files. The code also includes some custom classes like `B</t>
        </is>
      </c>
      <c r="E1304" t="n">
        <v>0.0044</v>
      </c>
      <c r="F1304" t="n">
        <v>0.0645</v>
      </c>
      <c r="G1304" t="n">
        <v>0.123</v>
      </c>
      <c r="H1304" t="inlineStr">
        <is>
          <t>This code implements various functions related to processing and manipulating data stored in the OMERO format. The main classes and methods defined in this package include:
* `integration.Main`: The entry point for the program, which sets up the connection to the OMERO server and performs the necessary steps to process the input file.
* `integration.Utilities`: A</t>
        </is>
      </c>
      <c r="I1304" t="n">
        <v>0.0043</v>
      </c>
      <c r="J1304" t="n">
        <v>0.125</v>
      </c>
      <c r="K1304" t="n">
        <v>0.1563</v>
      </c>
      <c r="L1304" t="inlineStr">
        <is>
          <t>The provided code is a Java class that performs various tasks related to image processing using BioFormats library. It appears to be part of an integration project for OMERO server, which is a web-based platform for managing and sharing biological data. The class imports several packages, including `java.io`, `java.nio.file`, `java.util`, and others</t>
        </is>
      </c>
      <c r="M1304" t="n">
        <v>0.0035</v>
      </c>
      <c r="N1304" t="n">
        <v>0.0308</v>
      </c>
      <c r="O1304" t="n">
        <v>0.0806</v>
      </c>
    </row>
    <row r="1305">
      <c r="A1305" t="inlineStr">
        <is>
          <t>openmicroscopy</t>
        </is>
      </c>
      <c r="B1305" t="inlineStr">
        <is>
          <t>components/tools/OmeroJava/test/integration/CreatePojosFixture2.java</t>
        </is>
      </c>
      <c r="C1305">
        <f>HYPERLINK("https://github.com/ome/openmicroscopy/blob/master/components/tools/OmeroJava/test/integration/CreatePojosFixture2.java")</f>
        <v/>
      </c>
      <c r="D1305" t="inlineStr">
        <is>
          <t>The provided Java code appears to be implementing various functions related to data management and manipulation within an imaging system using the OMERO software platform. It defines several classes and interfaces that represent different types of objects (e.g., `Dataset`, `Image`, `CommentAnnotation`) and their relationships (e.g., `DatasetAnnotationLink`, `ImageAnnotationLink`).</t>
        </is>
      </c>
      <c r="E1305" t="n">
        <v>0.0046</v>
      </c>
      <c r="F1305" t="n">
        <v>0.1053</v>
      </c>
      <c r="G1305" t="n">
        <v>0.1681</v>
      </c>
      <c r="H1305" t="inlineStr">
        <is>
          <t>This Java package contains various classes that implement the core logic for managing datasets, images, annotations, and other related data structures in the context of an imaging system. The package includes several classes that define interfaces for interacting with the underlying database, as well as classes that provide concrete implementations of these interfaces. Additionally, there are utility classes that perform common tasks such as generating UUIDs or</t>
        </is>
      </c>
      <c r="I1305" t="n">
        <v>0.0036</v>
      </c>
      <c r="J1305" t="n">
        <v>0.1067</v>
      </c>
      <c r="K1305" t="n">
        <v>0.1439</v>
      </c>
      <c r="L1305" t="inlineStr">
        <is>
          <t>The provided code defines a Java package named "integration" that provides various methods for interacting with the OMERO server. These methods allow users to perform CRUD (create, read, update, delete) operations on various types of objects such as datasets, images, annotations, and experimenters. The code also includes error handling and logging features to ensure smooth operation of the application.</t>
        </is>
      </c>
      <c r="M1305" t="n">
        <v>0.0031</v>
      </c>
      <c r="N1305" t="n">
        <v>0.0299</v>
      </c>
      <c r="O1305" t="n">
        <v>0.0382</v>
      </c>
    </row>
    <row r="1306">
      <c r="A1306" t="inlineStr">
        <is>
          <t>openmicroscopy</t>
        </is>
      </c>
      <c r="B1306" t="inlineStr">
        <is>
          <t>components/tools/OmeroJava/test/integration/RenderingSettingsServiceTest.java</t>
        </is>
      </c>
      <c r="C1306">
        <f>HYPERLINK("https://github.com/ome/openmicroscopy/blob/master/components/tools/OmeroJava/test/integration/RenderingSettingsServiceTest.java")</f>
        <v/>
      </c>
      <c r="D1306" t="inlineStr">
        <is>
          <t>This Java code appears to be part of a larger project or application that involves the use of various OMERO APIs (e.g., `IRenderingSettingsPrx`, `IScriptPrx`, etc.) to perform some kind of image processing or analysis task. The code defines several classes and methods related to image processing, including the `Image` class, which represents an image</t>
        </is>
      </c>
      <c r="E1306" t="n">
        <v>0.004</v>
      </c>
      <c r="F1306" t="n">
        <v>0.0635</v>
      </c>
      <c r="G1306" t="n">
        <v>0.119</v>
      </c>
      <c r="H1306" t="inlineStr">
        <is>
          <t>This Java package named "integration" appears to be part of a larger software system that provides various functionalities for image processing and analysis. The package includes classes and interfaces related to data model objects such as Datasets, Images, Channels, Plates, Acquisitions, Projects, etc., as well as methods for rendering images and scripts for manipulating them.
The</t>
        </is>
      </c>
      <c r="I1306" t="n">
        <v>0.0043</v>
      </c>
      <c r="J1306" t="n">
        <v>0.125</v>
      </c>
      <c r="K1306" t="n">
        <v>0.1563</v>
      </c>
      <c r="L1306" t="inlineStr">
        <is>
          <t>The provided code defines a Java class that integrates various OMERO components to perform image processing tasks. It primarily involves creating and manipulating objects from the OMERO model classes, such as Datasets, Images, Plates, and Projects. The class also utilizes the Rendering Engine API to create visualizations of images. Overall, the functionality of the</t>
        </is>
      </c>
      <c r="M1306" t="n">
        <v>0.004</v>
      </c>
      <c r="N1306" t="n">
        <v>0.0323</v>
      </c>
      <c r="O1306" t="n">
        <v>0.0794</v>
      </c>
    </row>
    <row r="1307">
      <c r="A1307" t="inlineStr">
        <is>
          <t>openmicroscopy</t>
        </is>
      </c>
      <c r="B1307" t="inlineStr">
        <is>
          <t>components/tools/OmeroJava/test/integration/RoiServiceTest.java</t>
        </is>
      </c>
      <c r="C1307">
        <f>HYPERLINK("https://github.com/ome/openmicroscopy/blob/master/components/tools/OmeroJava/test/integration/RoiServiceTest.java")</f>
        <v/>
      </c>
      <c r="D1307" t="inlineStr">
        <is>
          <t>This Java code appears to be part of an OMERO server implementation, specifically the "integration" package. It defines several classes and interfaces related to image processing and analysis, including RoiResult, ShapeStats, AffineTransform, Ellipse, FileAnnotation, and IOb. The code also imports various other packages such as omero.api, omero.model</t>
        </is>
      </c>
      <c r="E1307" t="n">
        <v>0.0046</v>
      </c>
      <c r="F1307" t="n">
        <v>0.1053</v>
      </c>
      <c r="G1307" t="n">
        <v>0.1261</v>
      </c>
      <c r="H1307" t="inlineStr">
        <is>
          <t>This Java package `integration` contains various classes and methods for implementing backend software components. The main class `Integration` has several methods that perform different tasks such as reading and writing data from/to files, processing images, and generating reports. Some of these methods have complexities of O(N), indicating that they have a linear time complexity with respect to the size of their input. Over</t>
        </is>
      </c>
      <c r="I1307" t="n">
        <v>0.0038</v>
      </c>
      <c r="J1307" t="n">
        <v>0.0822</v>
      </c>
      <c r="K1307" t="n">
        <v>0.1481</v>
      </c>
      <c r="L1307" t="inlineStr">
        <is>
          <t>The provided code implements various methods for working with ROIs (Regions of Interest) in an image processing system. It appears to be part of a larger project that involves integrating OMERO, a software platform for managing and analyzing biological data.
The code defines several classes related to ROIs, including `ROI`, which represents a single ROI, and</t>
        </is>
      </c>
      <c r="M1307" t="n">
        <v>0.0043</v>
      </c>
      <c r="N1307" t="n">
        <v>0.0625</v>
      </c>
      <c r="O1307" t="n">
        <v>0.1563</v>
      </c>
    </row>
    <row r="1308">
      <c r="A1308" t="inlineStr">
        <is>
          <t>openmicroscopy</t>
        </is>
      </c>
      <c r="B1308" t="inlineStr">
        <is>
          <t>components/tools/OmeroJava/test/integration/BlockSizeTest.java</t>
        </is>
      </c>
      <c r="C1308">
        <f>HYPERLINK("https://github.com/ome/openmicroscopy/blob/master/components/tools/OmeroJava/test/integration/BlockSizeTest.java")</f>
        <v/>
      </c>
      <c r="D1308" t="inlineStr">
        <is>
          <t>The provided code defines a JUnit test case named `BlockSizeTest` that tests the default block size used by the library. The test method `testBlockSizeDefault()` checks whether the default block size is equal to 4KB. If the block size is not equal to 4KB, the test fails.</t>
        </is>
      </c>
      <c r="E1308" t="n">
        <v>0</v>
      </c>
      <c r="F1308" t="n">
        <v>0</v>
      </c>
      <c r="G1308" t="n">
        <v>0.0424</v>
      </c>
      <c r="H1308" t="inlineStr">
        <is>
          <t>The provided code is part of a Java project that implements a block size calculator. It consists of a single JUnit test case named "testBlockSizeDefault" that tests the default behavior of the block size calculation algorithm. The test case uses the AssertJ library to make assertions about the expected results of the algorithm.
The code imports several packages, including JUnit, TestNG</t>
        </is>
      </c>
      <c r="I1308" t="n">
        <v>0.003</v>
      </c>
      <c r="J1308" t="n">
        <v>0.029</v>
      </c>
      <c r="K1308" t="n">
        <v>0.0752</v>
      </c>
      <c r="L1308" t="inlineStr">
        <is>
          <t>The provided code defines a JUnit test case named "BlockSizeTest" that tests the default block size used in various parts of the system. The test uses the TestNG framework and imports the necessary dependencies from the JUnit library.
The test method "testBlockSizeDefault" takes no parameters and has no return type. It creates a new instance of the "BlockSizeTest"</t>
        </is>
      </c>
      <c r="M1308" t="n">
        <v>0.0031</v>
      </c>
      <c r="N1308" t="n">
        <v>0.0303</v>
      </c>
      <c r="O1308" t="n">
        <v>0.0769</v>
      </c>
    </row>
    <row r="1309">
      <c r="A1309" t="inlineStr">
        <is>
          <t>openmicroscopy</t>
        </is>
      </c>
      <c r="B1309" t="inlineStr">
        <is>
          <t>components/tools/OmeroJava/test/integration/ResetPasswordTest.java</t>
        </is>
      </c>
      <c r="C1309">
        <f>HYPERLINK("https://github.com/ome/openmicroscopy/blob/master/components/tools/OmeroJava/test/integration/ResetPasswordTest.java")</f>
        <v/>
      </c>
      <c r="D1309" t="inlineStr">
        <is>
          <t>The provided code appears to be part of a Java project for implementing an OMERO server. It defines several classes and methods related to resetting passwords using the `omer` library.
The main class, `integration`, seems to be responsible for handling password resets through the `ResetPasswordRequest` and `ResetPasswordResponse` objects. These objects represent requests and responses from the</t>
        </is>
      </c>
      <c r="E1309" t="n">
        <v>0.0033</v>
      </c>
      <c r="F1309" t="n">
        <v>0.0625</v>
      </c>
      <c r="G1309" t="n">
        <v>0.1172</v>
      </c>
      <c r="H1309" t="inlineStr">
        <is>
          <t>The provided code appears to be a Java package named "integration" containing classes related to integrating different software components. The package includes a class called "ResetPasswordRequest" which implements a reset password request, and another class called "ResetPasswordResponse" which provides a response to such requests. The package also includes unit tests written using TestNG framework.
The README file describes the</t>
        </is>
      </c>
      <c r="I1309" t="n">
        <v>0.0041</v>
      </c>
      <c r="J1309" t="n">
        <v>0.0896</v>
      </c>
      <c r="K1309" t="n">
        <v>0.1527</v>
      </c>
      <c r="L1309" t="inlineStr">
        <is>
          <t>The provided code implements a unit test for the `integration` package's `ResetPasswordRequest` class. It uses TestNG annotations to define the test method and its dependencies. The test method takes a `ResetPasswordRequest` object as input and verifies that its properties match the expected values. The test also checks that the `resetPassword()` method returns a valid `ResetPasswordResponse`</t>
        </is>
      </c>
      <c r="M1309" t="n">
        <v>0.004</v>
      </c>
      <c r="N1309" t="n">
        <v>0.0625</v>
      </c>
      <c r="O1309" t="n">
        <v>0.1181</v>
      </c>
    </row>
    <row r="1310">
      <c r="A1310" t="inlineStr">
        <is>
          <t>openmicroscopy</t>
        </is>
      </c>
      <c r="B1310" t="inlineStr">
        <is>
          <t>components/tools/OmeroJava/test/integration/AbstractTest.java</t>
        </is>
      </c>
      <c r="C1310">
        <f>HYPERLINK("https://github.com/ome/openmicroscopy/blob/master/components/tools/OmeroJava/test/integration/AbstractTest.java")</f>
        <v/>
      </c>
      <c r="D1310" t="inlineStr">
        <is>
          <t>This Java file defines a base class for unit tests called `AbstractTest`. It provides several utility methods that can be used by other classes in the project. Some of these methods include:
* `getResourceAsStream()`: Returns an input stream for a given resource path.
* `writeToFile()`: Writes the contents of an input stream to a file on disk.</t>
        </is>
      </c>
      <c r="E1310" t="n">
        <v>0.0032</v>
      </c>
      <c r="F1310" t="n">
        <v>0.0317</v>
      </c>
      <c r="G1310" t="n">
        <v>0.0775</v>
      </c>
      <c r="H1310" t="inlineStr">
        <is>
          <t>This Java package named `integration` contains a single abstract test class called `AbstractTest`. It has several annotations such as `@BeforeClass`, `@AfterClass`, and `@TestNGAnnotations`. The class also imports various packages like `javax.xml.transform`, `org.slf4j`, and `org.testng.annotations`.
The class has four methods</t>
        </is>
      </c>
      <c r="I1310" t="n">
        <v>0.0056</v>
      </c>
      <c r="J1310" t="n">
        <v>0.0769</v>
      </c>
      <c r="K1310" t="n">
        <v>0.0901</v>
      </c>
      <c r="L1310" t="inlineStr">
        <is>
          <t>The provided code defines a Java class called `AbstractTest` that provides a base implementation for writing unit tests using TestNG framework. It includes methods for setting up and tearing down the test environment, as well as methods for validating XML files against XSD schemas.
The class imports several packages, including `javax.xml.transform`, which is used for transforming XML data</t>
        </is>
      </c>
      <c r="M1310" t="n">
        <v>0.0031</v>
      </c>
      <c r="N1310" t="n">
        <v>0.0588</v>
      </c>
      <c r="O1310" t="n">
        <v>0.1154</v>
      </c>
    </row>
    <row r="1311">
      <c r="A1311" t="inlineStr">
        <is>
          <t>openmicroscopy</t>
        </is>
      </c>
      <c r="B1311" t="inlineStr">
        <is>
          <t>components/tools/OmeroJava/test/integration/ManagedRepositoryTest.java</t>
        </is>
      </c>
      <c r="C1311">
        <f>HYPERLINK("https://github.com/ome/openmicroscopy/blob/master/components/tools/OmeroJava/test/integration/ManagedRepositoryTest.java")</f>
        <v/>
      </c>
      <c r="D1311" t="inlineStr">
        <is>
          <t>The provided code is a Java package named "integration" containing various classes and methods related to integrating different software components. It appears to be a back-end implementation of some kind, possibly for a web application or service. The code includes several files, including `Integration.java`, which defines a class called `Integration` with several methods for performing integration tasks. Other files include `</t>
        </is>
      </c>
      <c r="E1311" t="n">
        <v>0.0036</v>
      </c>
      <c r="F1311" t="n">
        <v>0.0571</v>
      </c>
      <c r="G1311" t="n">
        <v>0.1128</v>
      </c>
      <c r="H1311" t="inlineStr">
        <is>
          <t>The provided code is a Java package named "integration" that contains various classes and methods related to integrating different software components. The code includes comments describing the purpose and functionality of each class and method, as well as a license header indicating that the code is licensed under the GNU General Public License.
The main class of the package is called "IntegrationManager," which manages the</t>
        </is>
      </c>
      <c r="I1311" t="n">
        <v>0.0037</v>
      </c>
      <c r="J1311" t="n">
        <v>0.0822</v>
      </c>
      <c r="K1311" t="n">
        <v>0.1095</v>
      </c>
      <c r="L1311" t="inlineStr">
        <is>
          <t>The provided code implements a Java package called "integration" which provides a class called "Integration" that performs various tasks related to integrating data from multiple sources into a single dataset. The class takes in a list of files as input and returns a list of integrated datasets as output. The code also includes comments describing the purpose of each method and the overall structure of the class.</t>
        </is>
      </c>
      <c r="M1311" t="n">
        <v>0.0032</v>
      </c>
      <c r="N1311" t="n">
        <v>0.0533</v>
      </c>
      <c r="O1311" t="n">
        <v>0.07190000000000001</v>
      </c>
    </row>
    <row r="1312">
      <c r="A1312" t="inlineStr">
        <is>
          <t>openmicroscopy</t>
        </is>
      </c>
      <c r="B1312" t="inlineStr">
        <is>
          <t>components/tools/OmeroJava/test/integration/LegalGraphTargetsTest.java</t>
        </is>
      </c>
      <c r="C1312">
        <f>HYPERLINK("https://github.com/ome/openmicroscopy/blob/master/components/tools/OmeroJava/test/integration/LegalGraphTargetsTest.java")</f>
        <v/>
      </c>
      <c r="D1312" t="inlineStr">
        <is>
          <t>The provided code appears to be part of a Java project related to image processing and analysis. It defines several classes and interfaces related to the OMERO platform, which is used to manage and analyze biological samples and their associated data.
The `integration` package contains several classes that implement various functionalities related to image analysis, including image processing, segmentation, and feature extraction</t>
        </is>
      </c>
      <c r="E1312" t="n">
        <v>0.0029</v>
      </c>
      <c r="F1312" t="n">
        <v>0.0857</v>
      </c>
      <c r="G1312" t="n">
        <v>0.1119</v>
      </c>
      <c r="H1312" t="inlineStr">
        <is>
          <t>The provided code defines a Java package named "integration" containing classes related to image processing and analysis. The main class, `Integration`, implements the core logic for performing image integration using the OMERO API. It takes an Image object as input and returns the integrated image as output. Additionally, there are several utility methods defined in the package, such as `getExperimenters`</t>
        </is>
      </c>
      <c r="I1312" t="n">
        <v>0.004</v>
      </c>
      <c r="J1312" t="n">
        <v>0.0882</v>
      </c>
      <c r="K1312" t="n">
        <v>0.1515</v>
      </c>
      <c r="L1312" t="inlineStr">
        <is>
          <t>The provided code defines a Java class named "Integration" that integrates various functionalities from different libraries. It appears to perform operations related to image processing, metadata management, and user authentication.
The class imports several packages, including `ome.model.core`, `ome.model.meta`, `omerot.cmd`, and `java.lang`. These packages may contain classes</t>
        </is>
      </c>
      <c r="M1312" t="n">
        <v>0.004</v>
      </c>
      <c r="N1312" t="n">
        <v>0.0667</v>
      </c>
      <c r="O1312" t="n">
        <v>0.0847</v>
      </c>
    </row>
    <row r="1313">
      <c r="A1313" t="inlineStr">
        <is>
          <t>openmicroscopy</t>
        </is>
      </c>
      <c r="B1313" t="inlineStr">
        <is>
          <t>components/tools/OmeroJava/test/integration/PermissionsTest.java</t>
        </is>
      </c>
      <c r="C1313">
        <f>HYPERLINK("https://github.com/ome/openmicroscopy/blob/master/components/tools/OmeroJava/test/integration/PermissionsTest.java")</f>
        <v/>
      </c>
      <c r="D1313" t="inlineStr">
        <is>
          <t>This Java class `integration.UpdateTests` defines several test methods that perform various tests on the OMERO server's update functionality. The class imports various OMERO-related classes from the `omero` package and extends the `org.testng.annotations.Test` annotation.
The first method, `update_boolean_annotation`, updates a boolean</t>
        </is>
      </c>
      <c r="E1313" t="n">
        <v>0.0055</v>
      </c>
      <c r="F1313" t="n">
        <v>0.1071</v>
      </c>
      <c r="G1313" t="n">
        <v>0.0893</v>
      </c>
      <c r="H1313" t="inlineStr">
        <is>
          <t>This Java package named "integration" contains unit tests for the OMERO server's update functionality. The tests use the Apache Commons Collections library to compare lists of objects and check if they match. They also make use of various OMERO model classes such as BooleanAnnotation, CommentAnnotationI, DetailsI, Experimenter, ExperimenterGroup, IObject, Names</t>
        </is>
      </c>
      <c r="I1313" t="n">
        <v>0.0044</v>
      </c>
      <c r="J1313" t="n">
        <v>0.1017</v>
      </c>
      <c r="K1313" t="n">
        <v>0.123</v>
      </c>
      <c r="L1313" t="inlineStr">
        <is>
          <t>The provided code is part of a test suite for the "updat" method in the "integration" package. It appears to be testing the ability to update certain properties of objects in the OMERO database.
The test cases use various annotations and permissions to verify that the "updat" method behaves correctly when updating different types of objects. For example, they check that</t>
        </is>
      </c>
      <c r="M1313" t="n">
        <v>0.003</v>
      </c>
      <c r="N1313" t="n">
        <v>0.029</v>
      </c>
      <c r="O1313" t="n">
        <v>0.0752</v>
      </c>
    </row>
    <row r="1314">
      <c r="A1314" t="inlineStr">
        <is>
          <t>openmicroscopy</t>
        </is>
      </c>
      <c r="B1314" t="inlineStr">
        <is>
          <t>components/tools/OmeroJava/test/integration/ObjectPropertiesTest.java</t>
        </is>
      </c>
      <c r="C1314">
        <f>HYPERLINK("https://github.com/ome/openmicroscopy/blob/master/components/tools/OmeroJava/test/integration/ObjectPropertiesTest.java")</f>
        <v/>
      </c>
      <c r="D1314" t="inlineStr">
        <is>
          <t>The provided code appears to be a Java implementation of various image processing functions, including resizing images, applying filters, and generating thumbnails. It uses the OMERO API to interact with the server and retrieve information about channels, renderings settings, and other relevant data. The code also includes comments explaining its purpose and how it works, making it easy to understand and maintain. Over</t>
        </is>
      </c>
      <c r="E1314" t="n">
        <v>0.0029</v>
      </c>
      <c r="F1314" t="n">
        <v>0.08450000000000001</v>
      </c>
      <c r="G1314" t="n">
        <v>0.1111</v>
      </c>
      <c r="H1314" t="inlineStr">
        <is>
          <t>The provided code is a Java package named "integration" containing classes related to image processing and rendering. It appears to be part of a larger project, given its inclusion of a README file and a LICENSE file.
The main class in the package is called "ImageProcessing", which has several methods related to image processing, including resizing, cropping, rot</t>
        </is>
      </c>
      <c r="I1314" t="n">
        <v>0.0031</v>
      </c>
      <c r="J1314" t="n">
        <v>0.0303</v>
      </c>
      <c r="K1314" t="n">
        <v>0.0769</v>
      </c>
      <c r="L1314" t="inlineStr">
        <is>
          <t>The provided code implements a Java class named "Integration" that provides methods for integrating data from multiple sources into a single dataset. The class takes two parameters upon instantiation: an array of Channel objects representing the input channels, and an IRenderingSettingsPrx object representing rendering settings. The class has several methods, including a constructor, getters and setters for properties such as the</t>
        </is>
      </c>
      <c r="M1314" t="n">
        <v>0.0036</v>
      </c>
      <c r="N1314" t="n">
        <v>0.058</v>
      </c>
      <c r="O1314" t="n">
        <v>0.0752</v>
      </c>
    </row>
    <row r="1315">
      <c r="A1315" t="inlineStr">
        <is>
          <t>openmicroscopy</t>
        </is>
      </c>
      <c r="B1315" t="inlineStr">
        <is>
          <t>components/tools/OmeroJava/test/integration/LightAdminRolesTest.java</t>
        </is>
      </c>
      <c r="C1315">
        <f>HYPERLINK("https://github.com/ome/openmicroscopy/blob/master/components/tools/OmeroJava/test/integration/LightAdminRolesTest.java")</f>
        <v/>
      </c>
      <c r="D1315" t="inlineStr">
        <is>
          <t>The provided code appears to be a Java package named "integration" containing various classes and methods related to integrating different components. The main class, `Integration`, has a method called `run` which takes no arguments and returns nothing. It also has several other methods such as `init`, `start`, `stop`, and `destroy`.
The `Integration` class uses several</t>
        </is>
      </c>
      <c r="E1315" t="n">
        <v>0.0033</v>
      </c>
      <c r="F1315" t="n">
        <v>0.0317</v>
      </c>
      <c r="G1315" t="n">
        <v>0.07870000000000001</v>
      </c>
      <c r="H1315" t="inlineStr">
        <is>
          <t>The provided code is a Java package named "integration" that contains various classes and methods related to integrating different systems and services. The main class, `Integration`, has several methods that perform specific tasks such as reading files, parsing data, and sending notifications. The code also includes comments and documentation explaining the purpose and usage of each method.
The complexity of the code is O(</t>
        </is>
      </c>
      <c r="I1315" t="n">
        <v>0.0028</v>
      </c>
      <c r="J1315" t="n">
        <v>0.0278</v>
      </c>
      <c r="K1315" t="n">
        <v>0.0368</v>
      </c>
      <c r="L1315" t="inlineStr">
        <is>
          <t>The provided code implements a Java package called "integration" which provides various utility functions for integrating data from different sources. The package includes several classes, each responsible for a specific task such as reading files, parsing strings, and performing calculations.
The main purpose of the package appears to be to provide a flexible and efficient way to integrate data from multiple sources into a single system. The package</t>
        </is>
      </c>
      <c r="M1315" t="n">
        <v>0.0032</v>
      </c>
      <c r="N1315" t="n">
        <v>0.0789</v>
      </c>
      <c r="O1315" t="n">
        <v>0.1071</v>
      </c>
    </row>
    <row r="1316">
      <c r="A1316" t="inlineStr">
        <is>
          <t>openmicroscopy</t>
        </is>
      </c>
      <c r="B1316" t="inlineStr">
        <is>
          <t>components/tools/OmeroJava/test/integration/AdminServiceTest.java</t>
        </is>
      </c>
      <c r="C1316">
        <f>HYPERLINK("https://github.com/ome/openmicroscopy/blob/master/components/tools/OmeroJava/test/integration/AdminServiceTest.java")</f>
        <v/>
      </c>
      <c r="D1316" t="inlineStr">
        <is>
          <t>The provided Java code implements various methods for working with OMERO server data models, specifically those related to experimenters, groups, and privileges. It appears to be part of a larger project or application that uses the OMERO API to interact with the OMERO database.
The code defines several classes and interfaces, including `Experimenter`, `Experimenter</t>
        </is>
      </c>
      <c r="E1316" t="n">
        <v>0.004</v>
      </c>
      <c r="F1316" t="n">
        <v>0.0645</v>
      </c>
      <c r="G1316" t="n">
        <v>0.119</v>
      </c>
      <c r="H1316" t="inlineStr">
        <is>
          <t>This Java package named "integration" appears to be part of a larger software system that includes various modules for managing data and user access within an imaging platform. The package defines several classes and interfaces related to administration, querying, and logging.
The main class, `Integration`, seems to be responsible for handling requests from clients and routing them to appropriate handlers based on their type</t>
        </is>
      </c>
      <c r="I1316" t="n">
        <v>0.0037</v>
      </c>
      <c r="J1316" t="n">
        <v>0.1111</v>
      </c>
      <c r="K1316" t="n">
        <v>0.1838</v>
      </c>
      <c r="L1316" t="inlineStr">
        <is>
          <t>The provided code defines a Java package called "integration" that provides various methods for interacting with the Open Microscopy Environment (OME) server. It imports several classes from the "omerolib" package, which appears to be part of the OME framework. The package also includes some custom classes and interfaces related to user management and group membership.
The primary purpose of the</t>
        </is>
      </c>
      <c r="M1316" t="n">
        <v>0.003</v>
      </c>
      <c r="N1316" t="n">
        <v>0.0294</v>
      </c>
      <c r="O1316" t="n">
        <v>0.07580000000000001</v>
      </c>
    </row>
    <row r="1317">
      <c r="A1317" t="inlineStr">
        <is>
          <t>openmicroscopy</t>
        </is>
      </c>
      <c r="B1317" t="inlineStr">
        <is>
          <t>components/tools/OmeroJava/test/integration/DeleteServicePermissionsTest.java</t>
        </is>
      </c>
      <c r="C1317">
        <f>HYPERLINK("https://github.com/ome/openmicroscopy/blob/master/components/tools/OmeroJava/test/integration/DeleteServicePermissionsTest.java")</f>
        <v/>
      </c>
      <c r="D1317" t="inlineStr">
        <is>
          <t>The provided code implements various functionalities related to image annotation and management within an OMERO server. It includes classes for managing annotations on images, datasets, and other objects, as well as methods for retrieving and manipulating these annotations.
The main class `Annotations` defines several static methods that can be used to perform common operations with annotations, such as creating new</t>
        </is>
      </c>
      <c r="E1317" t="n">
        <v>0.0036</v>
      </c>
      <c r="F1317" t="n">
        <v>0.0882</v>
      </c>
      <c r="G1317" t="n">
        <v>0.1136</v>
      </c>
      <c r="H1317" t="inlineStr">
        <is>
          <t>This Java package `integration` contains various classes and methods that implement the backend logic for an imaging analysis system. The package includes several subpackages, each with its own set of classes and interfaces. Some of the main packages include:
* `omero.cmd`: Contains classes related to command execution and processing.
* `omero.gateway`: Implements the gateway</t>
        </is>
      </c>
      <c r="I1317" t="n">
        <v>0.004</v>
      </c>
      <c r="J1317" t="n">
        <v>0.0968</v>
      </c>
      <c r="K1317" t="n">
        <v>0.119</v>
      </c>
      <c r="L1317" t="inlineStr">
        <is>
          <t>The provided code appears to be part of a Java package named "integration" that provides methods for interacting with the OMERO server. The code imports various classes from the OMERO API, including `IAdminPrx`, `IRenderingSettingsPrx`, and other related interfaces. It also defines several utility functions, such as `deleteImages()`, `getUserGroups</t>
        </is>
      </c>
      <c r="M1317" t="n">
        <v>0.0038</v>
      </c>
      <c r="N1317" t="n">
        <v>0.0357</v>
      </c>
      <c r="O1317" t="n">
        <v>0.0833</v>
      </c>
    </row>
    <row r="1318">
      <c r="A1318" t="inlineStr">
        <is>
          <t>openmicroscopy</t>
        </is>
      </c>
      <c r="B1318" t="inlineStr">
        <is>
          <t>components/tools/OmeroJava/test/integration/ExtendedAnnotationTest.java</t>
        </is>
      </c>
      <c r="C1318">
        <f>HYPERLINK("https://github.com/ome/openmicroscopy/blob/master/components/tools/OmeroJava/test/integration/ExtendedAnnotationTest.java")</f>
        <v/>
      </c>
      <c r="D1318" t="inlineStr">
        <is>
          <t>The provided code appears to be a Java implementation of various algorithms related to data processing and analysis. It includes classes for working with lists, maps, and other data structures, as well as methods for performing operations such as sorting, filtering, and mapping. The code also includes comments describing the purpose of each method and class, as well as some basic documentation about the overall project. Overall, it</t>
        </is>
      </c>
      <c r="E1318" t="n">
        <v>0.0027</v>
      </c>
      <c r="F1318" t="n">
        <v>0.0526</v>
      </c>
      <c r="G1318" t="n">
        <v>0.1071</v>
      </c>
      <c r="H1318" t="inlineStr">
        <is>
          <t>The provided code defines a Java package named "integration" containing classes and methods related to integrating various systems. The package includes several classes such as "IntegrationManager", "Integrator", and "IntegrationResult". These classes implement different algorithms for integrating data from multiple sources into a single system. The package also includes utility classes for working with UUIDs and lists.
The</t>
        </is>
      </c>
      <c r="I1318" t="n">
        <v>0.0032</v>
      </c>
      <c r="J1318" t="n">
        <v>0.0615</v>
      </c>
      <c r="K1318" t="n">
        <v>0.1163</v>
      </c>
      <c r="L1318" t="inlineStr">
        <is>
          <t>The provided code implements a system for generating unique identifiers using Java's UUID class. It takes no input parameters and returns a list of UUID strings. The code uses the `java.util` package, specifically the `ArrayList`, `Arrays`, `Iterator`, `List`, and `Map` classes, as well as the `UUID` class from the `java.</t>
        </is>
      </c>
      <c r="M1318" t="n">
        <v>0.0044</v>
      </c>
      <c r="N1318" t="n">
        <v>0.0667</v>
      </c>
      <c r="O1318" t="n">
        <v>0.123</v>
      </c>
    </row>
    <row r="1319">
      <c r="A1319" t="inlineStr">
        <is>
          <t>openmicroscopy</t>
        </is>
      </c>
      <c r="B1319" t="inlineStr">
        <is>
          <t>components/tools/OmeroJava/test/integration/ImportLibraryTest.java</t>
        </is>
      </c>
      <c r="C1319">
        <f>HYPERLINK("https://github.com/ome/openmicroscopy/blob/master/components/tools/OmeroJava/test/integration/ImportLibraryTest.java")</f>
        <v/>
      </c>
      <c r="D1319" t="inlineStr">
        <is>
          <t>The provided code appears to be a Java package named "integration" that implements various algorithms related to integration. It includes several classes and interfaces, each of which likely represents a specific algorithm or component of the overall system.
The code also includes comments describing the purpose and implementation of each class and interface, as well as licensing information. Additionally, there is a README file at</t>
        </is>
      </c>
      <c r="E1319" t="n">
        <v>0.0033</v>
      </c>
      <c r="F1319" t="n">
        <v>0.0548</v>
      </c>
      <c r="G1319" t="n">
        <v>0.073</v>
      </c>
      <c r="H1319" t="inlineStr">
        <is>
          <t>The provided code defines a package called "integration" which contains a class called "Backend". The Backend class implements various methods related to core algorithms. The complexity of the code is O(N), where N is the number of elements being processed. The code has been commented extensively throughout, providing detailed information on each method's implementation and purpose. There have been several commits made to</t>
        </is>
      </c>
      <c r="I1319" t="n">
        <v>0.0038</v>
      </c>
      <c r="J1319" t="n">
        <v>0.0822</v>
      </c>
      <c r="K1319" t="n">
        <v>0.1111</v>
      </c>
      <c r="L1319" t="inlineStr">
        <is>
          <t>The code in the provided file implements a system for integrating different software components. It appears to be written in Java and uses the "integration" package. The code includes comments that provide some context about the project's goals and the purpose of the code.
The code appears to perform several tasks related to integrating software components, including parsing input data, processing it, and generating output</t>
        </is>
      </c>
      <c r="M1319" t="n">
        <v>0.0037</v>
      </c>
      <c r="N1319" t="n">
        <v>0.0541</v>
      </c>
      <c r="O1319" t="n">
        <v>0.146</v>
      </c>
    </row>
    <row r="1320">
      <c r="A1320" t="inlineStr">
        <is>
          <t>openmicroscopy</t>
        </is>
      </c>
      <c r="B1320" t="inlineStr">
        <is>
          <t>components/tools/OmeroJava/test/integration/TableTest.java</t>
        </is>
      </c>
      <c r="C1320">
        <f>HYPERLINK("https://github.com/ome/openmicroscopy/blob/master/components/tools/OmeroJava/test/integration/TableTest.java")</f>
        <v/>
      </c>
      <c r="D1320" t="inlineStr">
        <is>
          <t>This code implements unit tests for the `Table` class in the OMERO server. It uses the JUnit testing framework and the `AbstractServerTest` class from the same package as a base test case. The tests cover various aspects of table manipulation, including creating, modifying, and deleting tables, as well as querying and updating rows and columns.
The tests use</t>
        </is>
      </c>
      <c r="E1320" t="n">
        <v>0.0041</v>
      </c>
      <c r="F1320" t="n">
        <v>0.09089999999999999</v>
      </c>
      <c r="G1320" t="n">
        <v>0.1538</v>
      </c>
      <c r="H1320" t="inlineStr">
        <is>
          <t>This repository contains Java code that implements various functionalities related to tables, including data storage and retrieval. The code uses the Open Microscopy Environment (OMERO) framework as its primary dependency.
The main classes in this repository include `AbstractServerTest`, which provides common test methods for testing table operations, and `TableTest`, which defines test cases for specific table-related</t>
        </is>
      </c>
      <c r="I1320" t="n">
        <v>0.0043</v>
      </c>
      <c r="J1320" t="n">
        <v>0.1231</v>
      </c>
      <c r="K1320" t="n">
        <v>0.1563</v>
      </c>
      <c r="L1320" t="inlineStr">
        <is>
          <t>The provided code defines a set of unit tests for the `integration` package, specifically for the `Table` class. It imports various dependencies such as `java.util`, `omero.cmd`, and `org.testng`. The code also includes comments that provide additional context about the code's purpose and usage.
The test cases cover various scenarios related to table creation,</t>
        </is>
      </c>
      <c r="M1320" t="n">
        <v>0.0035</v>
      </c>
      <c r="N1320" t="n">
        <v>0.0308</v>
      </c>
      <c r="O1320" t="n">
        <v>0.04</v>
      </c>
    </row>
    <row r="1321">
      <c r="A1321" t="inlineStr">
        <is>
          <t>openmicroscopy</t>
        </is>
      </c>
      <c r="B1321" t="inlineStr">
        <is>
          <t>components/tools/OmeroJava/test/integration/MapAnnotationTest.java</t>
        </is>
      </c>
      <c r="C1321">
        <f>HYPERLINK("https://github.com/ome/openmicroscopy/blob/master/components/tools/OmeroJava/test/integration/MapAnnotationTest.java")</f>
        <v/>
      </c>
      <c r="D1321" t="inlineStr">
        <is>
          <t>The provided code implements a server-side component that exposes various methods for querying and updating data stored on an OMERO server. It uses the `omerowrapper` library to interact with the OMERO server and provides a simple API for clients to access the data.
The main class, `Integration`, defines several methods for performing queries and updates on the</t>
        </is>
      </c>
      <c r="E1321" t="n">
        <v>0.0038</v>
      </c>
      <c r="F1321" t="n">
        <v>0.0606</v>
      </c>
      <c r="G1321" t="n">
        <v>0.1163</v>
      </c>
      <c r="H1321" t="inlineStr">
        <is>
          <t>The provided code appears to be part of a Java project containing backend software components. It defines several classes and interfaces related to querying and updating data in an object database using the OMERO API.
The `integration` package contains the main class `Integration`, which implements the `IQueryPrx` interface and provides methods for querying and updating objects in the object database</t>
        </is>
      </c>
      <c r="I1321" t="n">
        <v>0.004</v>
      </c>
      <c r="J1321" t="n">
        <v>0.0882</v>
      </c>
      <c r="K1321" t="n">
        <v>0.1515</v>
      </c>
      <c r="L1321" t="inlineStr">
        <is>
          <t>The provided code implements a Java package named "integration" which provides a set of classes and methods for interacting with the OMERO server. The package includes two classes: `Integration` and `IntegrationClient`. The `Integration` class is responsible for managing connections to the OMERO server and providing access to various resources such as queries, updates, and metadata</t>
        </is>
      </c>
      <c r="M1321" t="n">
        <v>0.004</v>
      </c>
      <c r="N1321" t="n">
        <v>0.0635</v>
      </c>
      <c r="O1321" t="n">
        <v>0.07870000000000001</v>
      </c>
    </row>
    <row r="1322">
      <c r="A1322" t="inlineStr">
        <is>
          <t>openmicroscopy</t>
        </is>
      </c>
      <c r="B1322" t="inlineStr">
        <is>
          <t>components/tools/OmeroJava/test/integration/RenderingSettingsServicePermissionsTest.java</t>
        </is>
      </c>
      <c r="C1322">
        <f>HYPERLINK("https://github.com/ome/openmicroscopy/blob/master/components/tools/OmeroJava/test/integration/RenderingSettingsServicePermissionsTest.java")</f>
        <v/>
      </c>
      <c r="D1322" t="inlineStr">
        <is>
          <t>This Java class tests the ability of users with different permissions to copy and paste rendering settings for images. It uses the OMERO API to perform various operations on images and their associated metadata. The test cases include checking that only authorized users can modify image metadata, creating new renderings, and copying and pasting existing renderings. The class also includes unit tests using the TestNG framework</t>
        </is>
      </c>
      <c r="E1322" t="n">
        <v>0.0033</v>
      </c>
      <c r="F1322" t="n">
        <v>0.0541</v>
      </c>
      <c r="G1322" t="n">
        <v>0.1087</v>
      </c>
      <c r="H1322" t="inlineStr">
        <is>
          <t>This Java package named "integration" contains unit tests for the OMERO server application. The tests cover various aspects of the system, including copying and pasting of rendering settings based on user permissions.
The test class `CopyPasteRenderingSettings` extends the `org.testng.Assert` class and has one method annotated with `@Test`. The method takes no</t>
        </is>
      </c>
      <c r="I1322" t="n">
        <v>0.0043</v>
      </c>
      <c r="J1322" t="n">
        <v>0.06560000000000001</v>
      </c>
      <c r="K1322" t="n">
        <v>0.0813</v>
      </c>
      <c r="L1322" t="inlineStr">
        <is>
          <t>The provided Java code defines a test class for copying rendering settings based on user permissions. It imports various classes from the OMERO API and TestNG framework. The test method "copyRenderingSettings" takes two arguments: an image ID and a list of channel IDs. The method first retrieves the image using the OMERO gateway, then creates a new rendering definition for each</t>
        </is>
      </c>
      <c r="M1322" t="n">
        <v>0.003</v>
      </c>
      <c r="N1322" t="n">
        <v>0.029</v>
      </c>
      <c r="O1322" t="n">
        <v>0.0752</v>
      </c>
    </row>
    <row r="1323">
      <c r="A1323" t="inlineStr">
        <is>
          <t>openmicroscopy</t>
        </is>
      </c>
      <c r="B1323" t="inlineStr">
        <is>
          <t>components/tools/OmeroJava/test/integration/PixelsServiceTest.java</t>
        </is>
      </c>
      <c r="C1323">
        <f>HYPERLINK("https://github.com/ome/openmicroscopy/blob/master/components/tools/OmeroJava/test/integration/PixelsServiceTest.java")</f>
        <v/>
      </c>
      <c r="D1323" t="inlineStr">
        <is>
          <t>This Java package `integration` contains various classes and interfaces related to image processing and analysis. The main class is `Integration`, which provides methods for integrating images from different sources into a single dataset. It also includes a number of utility classes and interfaces for working with OMERO objects, such as `OMerOClient`, `OMerORPCService`, and `OMer</t>
        </is>
      </c>
      <c r="E1323" t="n">
        <v>0.004</v>
      </c>
      <c r="F1323" t="n">
        <v>0.0645</v>
      </c>
      <c r="G1323" t="n">
        <v>0.119</v>
      </c>
      <c r="H1323" t="inlineStr">
        <is>
          <t>This Java package named "integration" contains various classes and interfaces that implement the core logic for a software system. The package includes several subpackages, each with its own set of classes and interfaces. Some of these packages include "omero", "java", and "math". The package also includes several files such as README, LICENSE, and pom.xml.</t>
        </is>
      </c>
      <c r="I1323" t="n">
        <v>0.0048</v>
      </c>
      <c r="J1323" t="n">
        <v>0.127</v>
      </c>
      <c r="K1323" t="n">
        <v>0.1984</v>
      </c>
      <c r="L1323" t="inlineStr">
        <is>
          <t>The provided code defines a Java package named "integration" that imports various classes from other packages. It appears to be related to image processing and analysis, as it uses several types from the "omero.model" and "omero.api" packages.
The code defines a class called "Pixels" that extends the "IObject" interface and has several fields related to</t>
        </is>
      </c>
      <c r="M1323" t="n">
        <v>0.0033</v>
      </c>
      <c r="N1323" t="n">
        <v>0.0308</v>
      </c>
      <c r="O1323" t="n">
        <v>0.07870000000000001</v>
      </c>
    </row>
    <row r="1324">
      <c r="A1324" t="inlineStr">
        <is>
          <t>openmicroscopy</t>
        </is>
      </c>
      <c r="B1324" t="inlineStr">
        <is>
          <t>components/tools/OmeroJava/test/integration/DiskUsageTest.java</t>
        </is>
      </c>
      <c r="C1324">
        <f>HYPERLINK("https://github.com/ome/openmicroscopy/blob/master/components/tools/OmeroJava/test/integration/DiskUsageTest.java")</f>
        <v/>
      </c>
      <c r="D1324" t="inlineStr">
        <is>
          <t>The provided code is a Java package named "integration" that contains classes and methods related to integrating different software components. It appears to be a complex system that implements various algorithms and utilizes files and directories to store data. The code includes comments explaining its purpose and functionality, as well as license information and commit history. Overall, the code looks like it could be used for developing and maintain</t>
        </is>
      </c>
      <c r="E1324" t="n">
        <v>0.0035</v>
      </c>
      <c r="F1324" t="n">
        <v>0.1039</v>
      </c>
      <c r="G1324" t="n">
        <v>0.1418</v>
      </c>
      <c r="H1324" t="inlineStr">
        <is>
          <t>The provided code defines a Java package named "integration" containing various classes and methods related to integrating different systems. The code includes comments describing the purpose of each class and method, as well as the complexity of the implementation. The README file provides a high-level overview of the project's goals and scope. The code size is approximately 1000 lines.</t>
        </is>
      </c>
      <c r="I1324" t="n">
        <v>0.0031</v>
      </c>
      <c r="J1324" t="n">
        <v>0.058</v>
      </c>
      <c r="K1324" t="n">
        <v>0.0382</v>
      </c>
      <c r="L1324" t="inlineStr">
        <is>
          <t>The provided code is part of a Java package called "integration" and appears to be responsible for integrating data from multiple sources into a single dataset. It uses various libraries such as JUnit, Mockito, and Hamcrest to perform unit testing and mocking. The code also includes comments that provide some context about the project's goals and the use of certain libraries.
The</t>
        </is>
      </c>
      <c r="M1324" t="n">
        <v>0.0029</v>
      </c>
      <c r="N1324" t="n">
        <v>0.0282</v>
      </c>
      <c r="O1324" t="n">
        <v>0.0746</v>
      </c>
    </row>
    <row r="1325">
      <c r="A1325" t="inlineStr">
        <is>
          <t>openmicroscopy</t>
        </is>
      </c>
      <c r="B1325" t="inlineStr">
        <is>
          <t>components/tools/OmeroJava/test/integration/ConfigurationServiceTest.java</t>
        </is>
      </c>
      <c r="C1325">
        <f>HYPERLINK("https://github.com/ome/openmicroscopy/blob/master/components/tools/OmeroJava/test/integration/ConfigurationServiceTest.java")</f>
        <v/>
      </c>
      <c r="D1325" t="inlineStr">
        <is>
          <t>This code implements various tests for the `IConfig` service, which provides methods for configuring OMERO server settings. The test cases cover different aspects of configuration, such as setting and retrieving values, checking compatibility between formats, and verifying that certain parameters have been set correctly.
The code imports several packages, including `java.util`, `loci.formats</t>
        </is>
      </c>
      <c r="E1325" t="n">
        <v>0.0046</v>
      </c>
      <c r="F1325" t="n">
        <v>0.0968</v>
      </c>
      <c r="G1325" t="n">
        <v>0.121</v>
      </c>
      <c r="H1325" t="inlineStr">
        <is>
          <t>This is a Java test suite for testing the `IConfig` service. The code imports various libraries such as `loci`, `omerotest`, `org.testng`, etc. It also defines several classes that extend `AbstractTest`.
The main class, `IntegrationTests`, has a method called `setUp()` which sets up some parameters and variables used by the</t>
        </is>
      </c>
      <c r="I1325" t="n">
        <v>0.0045</v>
      </c>
      <c r="J1325" t="n">
        <v>0.06900000000000001</v>
      </c>
      <c r="K1325" t="n">
        <v>0.124</v>
      </c>
      <c r="L1325" t="inlineStr">
        <is>
          <t>The provided Java code defines a set of test cases for the `IConfig` service, which is part of the Open Microscopy Environment (OME) suite. The code uses TestNG as the testing framework and provides a collection of unit tests that verify the functionality of the `IConfig` service.
The `IConfig` service allows clients to retrieve and modify configuration settings for</t>
        </is>
      </c>
      <c r="M1325" t="n">
        <v>0.0037</v>
      </c>
      <c r="N1325" t="n">
        <v>0.0597</v>
      </c>
      <c r="O1325" t="n">
        <v>0.07630000000000001</v>
      </c>
    </row>
    <row r="1326">
      <c r="A1326" t="inlineStr">
        <is>
          <t>openmicroscopy</t>
        </is>
      </c>
      <c r="B1326" t="inlineStr">
        <is>
          <t>components/tools/OmeroJava/test/integration/MetadataServiceTest.java</t>
        </is>
      </c>
      <c r="C1326">
        <f>HYPERLINK("https://github.com/ome/openmicroscopy/blob/master/components/tools/OmeroJava/test/integration/MetadataServiceTest.java")</f>
        <v/>
      </c>
      <c r="D1326" t="inlineStr">
        <is>
          <t>This Java package `integration` appears to contain various classes and methods related to integrating with OMERO server software. The package imports several packages from the `ome`, `omero`, and `java.util` namespaces, as well as some custom packages such as `integration`.
The package contains several classes that appear to be used for interacting with the OMER</t>
        </is>
      </c>
      <c r="E1326" t="n">
        <v>0.004</v>
      </c>
      <c r="F1326" t="n">
        <v>0.09520000000000001</v>
      </c>
      <c r="G1326" t="n">
        <v>0.119</v>
      </c>
      <c r="H1326" t="inlineStr">
        <is>
          <t>This code appears to be a Java library for interacting with the Open Microscopy Environment (OME) server API. It provides methods for creating, updating, and querying various types of objects in the OME system, such as datasets, annotations, and users. The library also includes support for authentication and authorization, as well as error handling and logging. Overall, it seems like</t>
        </is>
      </c>
      <c r="I1326" t="n">
        <v>0.0036</v>
      </c>
      <c r="J1326" t="n">
        <v>0.0588</v>
      </c>
      <c r="K1326" t="n">
        <v>0.07580000000000001</v>
      </c>
      <c r="L1326" t="inlineStr">
        <is>
          <t>The provided Java code defines a class named "integration" that provides methods for interacting with the Open Microscopy Environment (OME) server. The class uses the OMERO API to perform various tasks such as creating new datasets, uploading images, and annotating them. It also includes support for handling errors and exceptions that may occur during these interactions. Overall, the code</t>
        </is>
      </c>
      <c r="M1326" t="n">
        <v>0.0031</v>
      </c>
      <c r="N1326" t="n">
        <v>0.0299</v>
      </c>
      <c r="O1326" t="n">
        <v>0.07630000000000001</v>
      </c>
    </row>
    <row r="1327">
      <c r="A1327" t="inlineStr">
        <is>
          <t>openmicroscopy</t>
        </is>
      </c>
      <c r="B1327" t="inlineStr">
        <is>
          <t>components/tools/OmeroJava/test/integration/PermissionsTestAll.java</t>
        </is>
      </c>
      <c r="C1327">
        <f>HYPERLINK("https://github.com/ome/openmicroscopy/blob/master/components/tools/OmeroJava/test/integration/PermissionsTestAll.java")</f>
        <v/>
      </c>
      <c r="D1327" t="inlineStr">
        <is>
          <t>The provided code appears to be a Java package named "integration" containing various classes and interfaces related to integrating different systems. The code includes comments explaining its purpose, complexity, comments on the implementation, commits, and size. It does not contain any actual code, only documentation and metadata about the project's structure and development process.</t>
        </is>
      </c>
      <c r="E1327" t="n">
        <v>0.0034</v>
      </c>
      <c r="F1327" t="n">
        <v>0.0635</v>
      </c>
      <c r="G1327" t="n">
        <v>0.0397</v>
      </c>
      <c r="H1327" t="inlineStr">
        <is>
          <t>The provided code is a Java package named "integration" that contains backend software components. It includes a README file that describes the purpose of the project and its license information. The code also includes comments describing the implementation of core algorithms. The complexity of the code is O(N), where N is the number of input elements. There have been one commit made to the repository so far,</t>
        </is>
      </c>
      <c r="I1327" t="n">
        <v>0.0036</v>
      </c>
      <c r="J1327" t="n">
        <v>0.0789</v>
      </c>
      <c r="K1327" t="n">
        <v>0.1439</v>
      </c>
      <c r="L1327" t="inlineStr">
        <is>
          <t>The provided code implements a system for integrating various software components. It appears to be written in Java and uses the Spring framework for dependency injection and configuration. The code is well-documented with comments and has been optimized for performance using techniques such as caching and lazy loading. The overall structure of the code follows the principles of modularity and separation of concerns, making it easy to understand and</t>
        </is>
      </c>
      <c r="M1327" t="n">
        <v>0.0035</v>
      </c>
      <c r="N1327" t="n">
        <v>0.0513</v>
      </c>
      <c r="O1327" t="n">
        <v>0.1418</v>
      </c>
    </row>
    <row r="1328">
      <c r="A1328" t="inlineStr">
        <is>
          <t>openmicroscopy</t>
        </is>
      </c>
      <c r="B1328" t="inlineStr">
        <is>
          <t>components/tools/OmeroJava/test/integration/ProjectionServiceTest.java</t>
        </is>
      </c>
      <c r="C1328">
        <f>HYPERLINK("https://github.com/ome/openmicroscopy/blob/master/components/tools/OmeroJava/test/integration/ProjectionServiceTest.java")</f>
        <v/>
      </c>
      <c r="D1328" t="inlineStr">
        <is>
          <t>This Java test file tests the functionality of the `ProjectionService` class in the OMERO server. The test creates a new binary image with 5 z-sections and 6 time points (t), then it checks that the correct number of projections were created for each user in each group. It also tests that the `getProjections()` method returns the correct list of</t>
        </is>
      </c>
      <c r="E1328" t="n">
        <v>0.0041</v>
      </c>
      <c r="F1328" t="n">
        <v>0.0882</v>
      </c>
      <c r="G1328" t="n">
        <v>0.1145</v>
      </c>
      <c r="H1328" t="inlineStr">
        <is>
          <t>This Java package `integration` contains unit tests for the `ProjectionService` component of the OMERO server. The test cases cover various scenarios related to projecting images, including testing the behavior of the service when invalid parameters are passed or when the user does not have permission to perform certain operations. The tests use the `AbstractServerTest` base class to set up a mock server</t>
        </is>
      </c>
      <c r="I1328" t="n">
        <v>0.0029</v>
      </c>
      <c r="J1328" t="n">
        <v>0.0286</v>
      </c>
      <c r="K1328" t="n">
        <v>0.0746</v>
      </c>
      <c r="L1328" t="inlineStr">
        <is>
          <t>The provided code implements unit tests for the `ProjectionService` class, which is used to project images in various ways depending on the user's permissions and group membership. The test cases cover scenarios such as valid and invalid input parameters, and testing the correctness of the projection results. The code uses the `Omero` library to interact with the OMERO server and perform</t>
        </is>
      </c>
      <c r="M1328" t="n">
        <v>0.0036</v>
      </c>
      <c r="N1328" t="n">
        <v>0.0571</v>
      </c>
      <c r="O1328" t="n">
        <v>0.1128</v>
      </c>
    </row>
    <row r="1329">
      <c r="A1329" t="inlineStr">
        <is>
          <t>openmicroscopy</t>
        </is>
      </c>
      <c r="B1329" t="inlineStr">
        <is>
          <t>components/tools/OmeroJava/test/integration/DuplicationTest.java</t>
        </is>
      </c>
      <c r="C1329">
        <f>HYPERLINK("https://github.com/ome/openmicroscopy/blob/master/components/tools/OmeroJava/test/integration/DuplicationTest.java")</f>
        <v/>
      </c>
      <c r="D1329" t="inlineStr">
        <is>
          <t>The provided code appears to be a Java package named "integration" that contains various classes and methods related to implementing core algorithms. The package includes several files, including a README file that describes the purpose of the repository and its contents, a LICENSE file that specifies the license under which the software is released, and several other source code files.
The main class in</t>
        </is>
      </c>
      <c r="E1329" t="n">
        <v>0.0037</v>
      </c>
      <c r="F1329" t="n">
        <v>0.0833</v>
      </c>
      <c r="G1329" t="n">
        <v>0.2321</v>
      </c>
      <c r="H1329" t="inlineStr">
        <is>
          <t>The provided code is a Java package named "integration" containing various classes and methods related to implementing core algorithms. The README file describes the purpose of the repository as being to contain backend software components. The complexity of the code is described as O(N), indicating that its performance scales linearly with the size of the input data. The comments provide information about the implementation of the algorithms and</t>
        </is>
      </c>
      <c r="I1329" t="n">
        <v>0.0035</v>
      </c>
      <c r="J1329" t="n">
        <v>0.0779</v>
      </c>
      <c r="K1329" t="n">
        <v>0.1429</v>
      </c>
      <c r="L1329" t="inlineStr">
        <is>
          <t>The provided code implements a Java package named "integration" that provides various utility functions for integrating different components of a system. The package includes several classes, each responsible for a specific task such as data processing, data storage, and communication protocol handling. The code also includes comments explaining the purpose and usage of each class, as well as some basic documentation. Overall, the code appears to be</t>
        </is>
      </c>
      <c r="M1329" t="n">
        <v>0.0032</v>
      </c>
      <c r="N1329" t="n">
        <v>0.08</v>
      </c>
      <c r="O1329" t="n">
        <v>0.1079</v>
      </c>
    </row>
    <row r="1330">
      <c r="A1330" t="inlineStr">
        <is>
          <t>openmicroscopy</t>
        </is>
      </c>
      <c r="B1330" t="inlineStr">
        <is>
          <t>components/tools/OmeroJava/test/integration/AgentTest.java</t>
        </is>
      </c>
      <c r="C1330">
        <f>HYPERLINK("https://github.com/ome/openmicroscopy/blob/master/components/tools/OmeroJava/test/integration/AgentTest.java")</f>
        <v/>
      </c>
      <c r="D1330" t="inlineStr">
        <is>
          <t>This Java file defines a test suite for checking the behavior of the OMERO server's session management system with respect to user agents. The tests use the `AbstractServerTest` base class from the `integration` package and extend it by defining additional methods that set up and tear down the necessary resources for each test case.
The main method of this class consists of several</t>
        </is>
      </c>
      <c r="E1330" t="n">
        <v>0.0034</v>
      </c>
      <c r="F1330" t="n">
        <v>0.0556</v>
      </c>
      <c r="G1330" t="n">
        <v>0.1111</v>
      </c>
      <c r="H1330" t="inlineStr">
        <is>
          <t>This Java file contains tests for the `UserAgent` feature in OMERO. The test cases verify that the correct user agent string is set when creating new sessions using the `CreateSession` command. The tests use the `AbstractServerTest` base class, which provides utility methods for interacting with the server.
The file defines several test methods, each of which creates a</t>
        </is>
      </c>
      <c r="I1330" t="n">
        <v>0.0031</v>
      </c>
      <c r="J1330" t="n">
        <v>0.0303</v>
      </c>
      <c r="K1330" t="n">
        <v>0.0769</v>
      </c>
      <c r="L1330" t="inlineStr">
        <is>
          <t>The code defines a test suite for testing the user agent feature in the OMERO server's session creation process. It imports various classes from the OMERO framework and uses them to create a new session with a customized user agent string. The test checks that the user agent was set correctly by verifying the value returned by the `getUserAgent` method.</t>
        </is>
      </c>
      <c r="M1330" t="n">
        <v>0.003</v>
      </c>
      <c r="N1330" t="n">
        <v>0.029</v>
      </c>
      <c r="O1330" t="n">
        <v>0.07580000000000001</v>
      </c>
    </row>
    <row r="1331">
      <c r="A1331" t="inlineStr">
        <is>
          <t>openmicroscopy</t>
        </is>
      </c>
      <c r="B1331" t="inlineStr">
        <is>
          <t>components/tools/OmeroJava/test/integration/RenderingEngineTest.java</t>
        </is>
      </c>
      <c r="C1331">
        <f>HYPERLINK("https://github.com/ome/openmicroscopy/blob/master/components/tools/OmeroJava/test/integration/RenderingEngineTest.java")</f>
        <v/>
      </c>
      <c r="D1331" t="inlineStr">
        <is>
          <t>This Java code appears to be part of an image processing application that uses the OMERO API for interacting with the OMERO server. It defines several classes and methods related to rendering images using the OMERO Rendering Engine (ORE). The code imports various packages such as `java.awt`, `javax.imageio`, and `ome.conditions`.</t>
        </is>
      </c>
      <c r="E1331" t="n">
        <v>0.0044</v>
      </c>
      <c r="F1331" t="n">
        <v>0.06560000000000001</v>
      </c>
      <c r="G1331" t="n">
        <v>0.123</v>
      </c>
      <c r="H1331" t="inlineStr">
        <is>
          <t>This package contains Java classes that implement various functions for working with images. The main class, `ImageProcessing`, provides methods for loading and manipulating image data. It also includes a number of utility methods for converting between different color models and performing basic image processing operations such as resizing and cropping. Additionally, this package includes a number of other classes that provide support for rendering images using the</t>
        </is>
      </c>
      <c r="I1331" t="n">
        <v>0.0032</v>
      </c>
      <c r="J1331" t="n">
        <v>0.1067</v>
      </c>
      <c r="K1331" t="n">
        <v>0.1439</v>
      </c>
      <c r="L1331" t="inlineStr">
        <is>
          <t>The provided code implements a Java class that provides various utility methods for working with images. The class is part of a larger project called "integration" and is defined within the package "integration". It imports several other packages, including "java.awt", "javax.imageio", and "ome.specification".
The class defines several fields, including "DEFAULT_COLOR", which</t>
        </is>
      </c>
      <c r="M1331" t="n">
        <v>0.0043</v>
      </c>
      <c r="N1331" t="n">
        <v>0.0635</v>
      </c>
      <c r="O1331" t="n">
        <v>0.122</v>
      </c>
    </row>
    <row r="1332">
      <c r="A1332" t="inlineStr">
        <is>
          <t>openmicroscopy</t>
        </is>
      </c>
      <c r="B1332" t="inlineStr">
        <is>
          <t>components/tools/OmeroJava/test/integration/RepositoryServiceTest.java</t>
        </is>
      </c>
      <c r="C1332">
        <f>HYPERLINK("https://github.com/ome/openmicroscopy/blob/master/components/tools/OmeroJava/test/integration/RepositoryServiceTest.java")</f>
        <v/>
      </c>
      <c r="D1332" t="inlineStr">
        <is>
          <t>The `RepositoryServiceTest` class provides unit tests for the `Repository` service, which is responsible for managing data storage in the OMERO server. The test cases cover various aspects of the `Repository` service's functionality, including testing the `getFreeSpaceInKilobytes()` method that retrieves the free space available on the file system where the repository resides</t>
        </is>
      </c>
      <c r="E1332" t="n">
        <v>0</v>
      </c>
      <c r="F1332" t="n">
        <v>0.0333</v>
      </c>
      <c r="G1332" t="n">
        <v>0</v>
      </c>
      <c r="H1332" t="inlineStr">
        <is>
          <t>The provided code defines a test suite for the `Repository` service, which is part of the OMERO server's backend. The test cases cover various aspects of the `Repository` service, including its ability to retrieve free space information. The tests use the JUnit framework and Assert library to verify the expected behavior of the service. The code also includes comments describing the purpose and structure</t>
        </is>
      </c>
      <c r="I1332" t="n">
        <v>0.0028</v>
      </c>
      <c r="J1332" t="n">
        <v>0.0274</v>
      </c>
      <c r="K1332" t="n">
        <v>0.0735</v>
      </c>
      <c r="L1332" t="inlineStr">
        <is>
          <t>The provided code defines a test suite for the `Repository` service, which provides methods for managing data repositories. The test cases in the suite cover various aspects of the service's functionality, including testing the `getFreeSpaceInKilobytes` method. The test suite uses the JUnit framework and runs against a mock server implementation.</t>
        </is>
      </c>
      <c r="M1332" t="n">
        <v>0.0037</v>
      </c>
      <c r="N1332" t="n">
        <v>0.0678</v>
      </c>
      <c r="O1332" t="n">
        <v>0.082</v>
      </c>
    </row>
    <row r="1333">
      <c r="A1333" t="inlineStr">
        <is>
          <t>openmicroscopy</t>
        </is>
      </c>
      <c r="B1333" t="inlineStr">
        <is>
          <t>components/tools/OmeroJava/test/integration/DeleteServiceTest.java</t>
        </is>
      </c>
      <c r="C1333">
        <f>HYPERLINK("https://github.com/ome/openmicroscopy/blob/master/components/tools/OmeroJava/test/integration/DeleteServiceTest.java")</f>
        <v/>
      </c>
      <c r="D1333" t="inlineStr">
        <is>
          <t>This Java package contains various classes and methods that implement the core functionalities of the OMERO server's backend. The main class, `integration`, contains several static methods that perform different tasks such as creating new datasets, adding annotations to images, and deleting objects from the database. These methods use the OMERO Web Services API to interact with the OMERO server and</t>
        </is>
      </c>
      <c r="E1333" t="n">
        <v>0.004</v>
      </c>
      <c r="F1333" t="n">
        <v>0.1449</v>
      </c>
      <c r="G1333" t="n">
        <v>0.2818</v>
      </c>
      <c r="H1333" t="inlineStr">
        <is>
          <t>This Java package named "integration" contains various classes and methods that implement the logic for integrating data from different sources into a single system. The package includes several subpackages, each with its own set of classes and interfaces.
The main class of this package is `IntegrationManager`, which acts as a central hub for managing all the different components involved in the integration process. It</t>
        </is>
      </c>
      <c r="I1333" t="n">
        <v>0.0034</v>
      </c>
      <c r="J1333" t="n">
        <v>0.0833</v>
      </c>
      <c r="K1333" t="n">
        <v>0.1103</v>
      </c>
      <c r="L1333" t="inlineStr">
        <is>
          <t>The provided code appears to be a Java class that implements various methods for interacting with the OMERO image server. It uses the OMERO Web Services API to perform tasks such as creating new datasets, uploading images, and retrieving metadata.
The class imports several packages related to OMERO, including `ome.formats`, `ome.specification</t>
        </is>
      </c>
      <c r="M1333" t="n">
        <v>0.0043</v>
      </c>
      <c r="N1333" t="n">
        <v>0.06560000000000001</v>
      </c>
      <c r="O1333" t="n">
        <v>0.122</v>
      </c>
    </row>
    <row r="1334">
      <c r="A1334" t="inlineStr">
        <is>
          <t>openmicroscopy</t>
        </is>
      </c>
      <c r="B1334" t="inlineStr">
        <is>
          <t>components/tools/OmeroJava/test/integration/ModelMockFactory.java</t>
        </is>
      </c>
      <c r="C1334">
        <f>HYPERLINK("https://github.com/ome/openmicroscopy/blob/master/components/tools/OmeroJava/test/integration/ModelMockFactory.java")</f>
        <v/>
      </c>
      <c r="D1334" t="inlineStr">
        <is>
          <t>This Java class provides various utility methods for working with OMERO images and other data structures. It uses the OMERO API to interact with an OMERO server and perform operations such as creating new datasets, screens, projects, plates, and wells, as well as reading and writing image files. The class also includes methods for converting between different units of measurement (</t>
        </is>
      </c>
      <c r="E1334" t="n">
        <v>0.0036</v>
      </c>
      <c r="F1334" t="n">
        <v>0.0588</v>
      </c>
      <c r="G1334" t="n">
        <v>0.1128</v>
      </c>
      <c r="H1334" t="inlineStr">
        <is>
          <t>This Java package provides a set of classes and methods for working with biological data, including image processing, analysis, and visualization. The main class, `Integration`, defines a series of static methods that perform various tasks related to the manipulation and analysis of biological data. These methods include functions for reading and writing images, converting between different formats, and performing basic image processing operations such</t>
        </is>
      </c>
      <c r="I1334" t="n">
        <v>0.0034</v>
      </c>
      <c r="J1334" t="n">
        <v>0.0833</v>
      </c>
      <c r="K1334" t="n">
        <v>0.1103</v>
      </c>
      <c r="L1334" t="inlineStr">
        <is>
          <t>The provided Java code defines a helper class for working with images and related data in the OMERO format. It provides methods for creating new image datasets, adding plates, wells, and other metadata, as well as reading and writing image files.
The class uses several third-party libraries, including Guava's `ImmutableList` and `Iterators`, and</t>
        </is>
      </c>
      <c r="M1334" t="n">
        <v>0.0035</v>
      </c>
      <c r="N1334" t="n">
        <v>0.0317</v>
      </c>
      <c r="O1334" t="n">
        <v>0.08</v>
      </c>
    </row>
    <row r="1335">
      <c r="A1335" t="inlineStr">
        <is>
          <t>openmicroscopy</t>
        </is>
      </c>
      <c r="B1335" t="inlineStr">
        <is>
          <t>components/tools/OmeroJava/test/integration/RawPixelsStoreTest.java</t>
        </is>
      </c>
      <c r="C1335">
        <f>HYPERLINK("https://github.com/ome/openmicroscopy/blob/master/components/tools/OmeroJava/test/integration/RawPixelsStoreTest.java")</f>
        <v/>
      </c>
      <c r="D1335" t="inlineStr">
        <is>
          <t>The provided code appears to be a Java package named "integration" containing various classes and methods related to integrating different systems. The code includes comments describing its purpose and functionality, including the use of the GNU General Public License and the implementation of core algorithms. It also includes information about commits and code size.</t>
        </is>
      </c>
      <c r="E1335" t="n">
        <v>0.004</v>
      </c>
      <c r="F1335" t="n">
        <v>0.0968</v>
      </c>
      <c r="G1335" t="n">
        <v>0.1587</v>
      </c>
      <c r="H1335" t="inlineStr">
        <is>
          <t>The provided code defines a package named "integration" which contains a class called "Integration". The Integration class implements various mathematical integrals using different methods such as Simpson's rule, Trapezoidal rule, and Gaussian quadrature. The code also includes comments explaining the implementation and providing references to relevant literature. The complexity of the code is O(N), where N is the</t>
        </is>
      </c>
      <c r="I1335" t="n">
        <v>0.0037</v>
      </c>
      <c r="J1335" t="n">
        <v>0.0588</v>
      </c>
      <c r="K1335" t="n">
        <v>0.1154</v>
      </c>
      <c r="L1335" t="inlineStr">
        <is>
          <t>The provided code implements a system for integrating multiple data sources into a single database. It uses a combination of algorithms and techniques to handle complexities such as data transformations, filtering, and aggregation. The code is written in Java and includes comments and documentation throughout to explain its purpose and usage.</t>
        </is>
      </c>
      <c r="M1335" t="n">
        <v>0.0043</v>
      </c>
      <c r="N1335" t="n">
        <v>0.0678</v>
      </c>
      <c r="O1335" t="n">
        <v>0.122</v>
      </c>
    </row>
    <row r="1336">
      <c r="A1336" t="inlineStr">
        <is>
          <t>openmicroscopy</t>
        </is>
      </c>
      <c r="B1336" t="inlineStr">
        <is>
          <t>components/tools/OmeroJava/test/integration/ExporterTest.java</t>
        </is>
      </c>
      <c r="C1336">
        <f>HYPERLINK("https://github.com/ome/openmicroscopy/blob/master/components/tools/OmeroJava/test/integration/ExporterTest.java")</f>
        <v/>
      </c>
      <c r="D1336" t="inlineStr">
        <is>
          <t>The provided code appears to be a Java implementation of various data structures and algorithms for use in a web application or service. It includes classes for working with files, strings, lists, maps, sets, and other common data types, as well as functions for parsing XML documents and transforming them using XSL stylesheets. The code also defines several custom exceptions and error handling mechanisms. Over</t>
        </is>
      </c>
      <c r="E1336" t="n">
        <v>0.0028</v>
      </c>
      <c r="F1336" t="n">
        <v>0.0822</v>
      </c>
      <c r="G1336" t="n">
        <v>0.1095</v>
      </c>
      <c r="H1336" t="inlineStr">
        <is>
          <t>This Java package named "integration" contains various classes and methods for implementing core algorithms used by the backend software components. The package imports several standard Java packages such as `java.io`, `javax.xml.parsers`, `javax.xml.transform`, etc. It also defines its own custom classes and interfaces.
The main class of this package is called `Integration` which</t>
        </is>
      </c>
      <c r="I1336" t="n">
        <v>0.005</v>
      </c>
      <c r="J1336" t="n">
        <v>0.1231</v>
      </c>
      <c r="K1336" t="n">
        <v>0.3439</v>
      </c>
      <c r="L1336" t="inlineStr">
        <is>
          <t>The provided code implements various functionalities related to XML processing. It uses Java's built-in XML parsing libraries (javax.xml.*) to parse XML files and convert them into other formats such as JSON or HTML. The code also includes features for handling errors and exceptions during the transformation process. Overall, the code appears to be well-structured and modular, making it easy</t>
        </is>
      </c>
      <c r="M1336" t="n">
        <v>0.0037</v>
      </c>
      <c r="N1336" t="n">
        <v>0.08450000000000001</v>
      </c>
      <c r="O1336" t="n">
        <v>0.1145</v>
      </c>
    </row>
    <row r="1337">
      <c r="A1337" t="inlineStr">
        <is>
          <t>openmicroscopy</t>
        </is>
      </c>
      <c r="B1337" t="inlineStr">
        <is>
          <t>components/tools/OmeroJava/test/integration/AbstractServerImportTest.java</t>
        </is>
      </c>
      <c r="C1337">
        <f>HYPERLINK("https://github.com/ome/openmicroscopy/blob/master/components/tools/OmeroJava/test/integration/AbstractServerImportTest.java")</f>
        <v/>
      </c>
      <c r="D1337" t="inlineStr">
        <is>
          <t>The provided code appears to be a Java package named "integration" containing classes related to image processing and analysis using the OMERO format. It includes several files and directories, including:
* `src`: Contains source code for the project.
* `test`: Contains test cases for the project.
* `pom.xml`: Project Object Model file used for building</t>
        </is>
      </c>
      <c r="E1337" t="n">
        <v>0.0033</v>
      </c>
      <c r="F1337" t="n">
        <v>0.0328</v>
      </c>
      <c r="G1337" t="n">
        <v>0.07870000000000001</v>
      </c>
      <c r="H1337" t="inlineStr">
        <is>
          <t>The provided code is a Java package named "integration" that contains several classes and methods related to image processing and analysis. The main class, `Integration`, implements the core algorithms for image integration. It takes an input file path and returns a list of integrated images. The algorithm used for integration is based on the Loci library, which provides support for reading and writing various image formats. The</t>
        </is>
      </c>
      <c r="I1337" t="n">
        <v>0.0036</v>
      </c>
      <c r="J1337" t="n">
        <v>0.08</v>
      </c>
      <c r="K1337" t="n">
        <v>0.1439</v>
      </c>
      <c r="L1337" t="inlineStr">
        <is>
          <t>The provided code defines a Java class named "Integration" that performs image integration using the Loci library. It takes two parameters: a list of input files and a directory where the integrated images will be saved. The method first reads the metadata from each input file using the OMERO Metadata Store Client API, then creates a new output file for each input file and writes the integrated</t>
        </is>
      </c>
      <c r="M1337" t="n">
        <v>0.0027</v>
      </c>
      <c r="N1337" t="n">
        <v>0.0267</v>
      </c>
      <c r="O1337" t="n">
        <v>0.07190000000000001</v>
      </c>
    </row>
    <row r="1338">
      <c r="A1338" t="inlineStr">
        <is>
          <t>openmicroscopy</t>
        </is>
      </c>
      <c r="B1338" t="inlineStr">
        <is>
          <t>components/tools/OmeroJava/test/integration/FindParentsChildrenTest.java</t>
        </is>
      </c>
      <c r="C1338">
        <f>HYPERLINK("https://github.com/ome/openmicroscopy/blob/master/components/tools/OmeroJava/test/integration/FindParentsChildrenTest.java")</f>
        <v/>
      </c>
      <c r="D1338" t="inlineStr">
        <is>
          <t>The provided code appears to be part of a Java project related to image processing. It defines several classes and methods that implement various algorithms used in image processing tasks such as filtering, thresholding, and feature extraction. The code also includes comments describing the purpose and implementation of each class and method. Additionally, there is a README file at the root directory of the project that provides information about</t>
        </is>
      </c>
      <c r="E1338" t="n">
        <v>0.0026</v>
      </c>
      <c r="F1338" t="n">
        <v>0.0519</v>
      </c>
      <c r="G1338" t="n">
        <v>0.1064</v>
      </c>
      <c r="H1338" t="inlineStr">
        <is>
          <t>The provided code defines a Java package called "integration" that includes several classes and interfaces related to integrating different software components. The package uses Apache Commons Collections library for collection manipulation and TestNG framework for unit testing.
The main class, "IntegrationTest", contains a method named "runTests()" which runs various tests on the integrated software components using the TestNG framework.</t>
        </is>
      </c>
      <c r="I1338" t="n">
        <v>0.0037</v>
      </c>
      <c r="J1338" t="n">
        <v>0.0597</v>
      </c>
      <c r="K1338" t="n">
        <v>0.1145</v>
      </c>
      <c r="L1338" t="inlineStr">
        <is>
          <t>The code implements a method called `getUniqueElements` that takes a list of strings as input and returns a new list containing only the unique elements from the original list. The method uses Apache Commons' CollectionUtils library to perform the uniqueness check. The method also includes comments explaining the purpose of the code and citing relevant licensing information.</t>
        </is>
      </c>
      <c r="M1338" t="n">
        <v>0.0038</v>
      </c>
      <c r="N1338" t="n">
        <v>0.0615</v>
      </c>
      <c r="O1338" t="n">
        <v>0.1163</v>
      </c>
    </row>
    <row r="1339">
      <c r="A1339" t="inlineStr">
        <is>
          <t>openmicroscopy</t>
        </is>
      </c>
      <c r="B1339" t="inlineStr">
        <is>
          <t>components/tools/OmeroJava/test/integration/UpdateServiceTest.java</t>
        </is>
      </c>
      <c r="C1339">
        <f>HYPERLINK("https://github.com/ome/openmicroscopy/blob/master/components/tools/OmeroJava/test/integration/UpdateServiceTest.java")</f>
        <v/>
      </c>
      <c r="D1339" t="inlineStr">
        <is>
          <t>This code appears to be part of an OMERO (Open Microscopy Environment for Research) server implementation. It defines a class called `Integration` that provides methods for integrating data from different sources into an OMERO dataset. The class has several methods, including `addAnnotations`, which adds annotations to a dataset, and `deleteAnnotations`, which</t>
        </is>
      </c>
      <c r="E1339" t="n">
        <v>0.0043</v>
      </c>
      <c r="F1339" t="n">
        <v>0.1017</v>
      </c>
      <c r="G1339" t="n">
        <v>0.122</v>
      </c>
      <c r="H1339" t="inlineStr">
        <is>
          <t>This Java package "integration" contains various classes and methods that implement core algorithms for working with data in the OMERO platform. The package includes classes for handling requests and responses, as well as classes for managing annotations and links between datasets and annotations. It also includes a class for implementing delete operations on objects in the database. The complexity of this code is O(N), where N</t>
        </is>
      </c>
      <c r="I1339" t="n">
        <v>0.0036</v>
      </c>
      <c r="J1339" t="n">
        <v>0.1067</v>
      </c>
      <c r="K1339" t="n">
        <v>0.1812</v>
      </c>
      <c r="L1339" t="inlineStr">
        <is>
          <t>The provided code implements a Java package for integrating with the Open Microscopy Environment (OME) server. It provides methods for querying and updating annotations, as well as deleting them. The code also includes utilities for working with annotation links and datasets.</t>
        </is>
      </c>
      <c r="M1339" t="n">
        <v>0.0054</v>
      </c>
      <c r="N1339" t="n">
        <v>0.08160000000000001</v>
      </c>
      <c r="O1339" t="n">
        <v>0.1327</v>
      </c>
    </row>
    <row r="1340">
      <c r="A1340" t="inlineStr">
        <is>
          <t>openmicroscopy</t>
        </is>
      </c>
      <c r="B1340" t="inlineStr">
        <is>
          <t>components/tools/OmeroJava/test/integration/PyramidMinMaxTest.java</t>
        </is>
      </c>
      <c r="C1340">
        <f>HYPERLINK("https://github.com/ome/openmicroscopy/blob/master/components/tools/OmeroJava/test/integration/PyramidMinMaxTest.java")</f>
        <v/>
      </c>
      <c r="D1340" t="inlineStr">
        <is>
          <t>The code implements various algorithms related to computer science and data analysis. It includes functions such as sorting, searching, and graph traversal, which are commonly used in many applications. The code also includes comments explaining the purpose and implementation of each function.</t>
        </is>
      </c>
      <c r="E1340" t="n">
        <v>0.0052</v>
      </c>
      <c r="F1340" t="n">
        <v>0.12</v>
      </c>
      <c r="G1340" t="n">
        <v>0.1316</v>
      </c>
      <c r="H1340" t="inlineStr">
        <is>
          <t>The provided code is a Java package named "integration" containing backend software components. It includes a number of classes and interfaces related to the implementation of core algorithms. The complexity of the code is O(N), where N is the size of the input data. The code has been committed once, at its initial state, and the total code size is approximately 1000 lines.</t>
        </is>
      </c>
      <c r="I1340" t="n">
        <v>0.0038</v>
      </c>
      <c r="J1340" t="n">
        <v>0.1111</v>
      </c>
      <c r="K1340" t="n">
        <v>0.1481</v>
      </c>
      <c r="L1340" t="inlineStr">
        <is>
          <t>The provided code implements a software system that integrates various components to perform specific tasks. It appears to be a complex piece of software, with many dependencies and interactions between different parts. The code uses a modular approach, with each component having its own set of responsibilities and interfaces. The overall goal of the software seems to be to provide a robust and efficient platform for handling various tasks.</t>
        </is>
      </c>
      <c r="M1340" t="n">
        <v>0.0035</v>
      </c>
      <c r="N1340" t="n">
        <v>0.0519</v>
      </c>
      <c r="O1340" t="n">
        <v>0.1418</v>
      </c>
    </row>
    <row r="1341">
      <c r="A1341" t="inlineStr">
        <is>
          <t>openmicroscopy</t>
        </is>
      </c>
      <c r="B1341" t="inlineStr">
        <is>
          <t>components/tools/OmeroJava/test/integration/ScriptServiceTest.java</t>
        </is>
      </c>
      <c r="C1341">
        <f>HYPERLINK("https://github.com/ome/openmicroscopy/blob/master/components/tools/OmeroJava/test/integration/ScriptServiceTest.java")</f>
        <v/>
      </c>
      <c r="D1341" t="inlineStr">
        <is>
          <t>The provided code appears to be a Java package named "integration" containing various classes and interfaces related to integrating different systems or services. The code includes comments describing its purpose, complexity, comments on commits, code size, and a summary of its functionality.</t>
        </is>
      </c>
      <c r="E1341" t="n">
        <v>0.0044</v>
      </c>
      <c r="F1341" t="n">
        <v>0.04</v>
      </c>
      <c r="G1341" t="n">
        <v>0.0439</v>
      </c>
      <c r="H1341" t="inlineStr">
        <is>
          <t>The provided code is a Java package named "integration" that contains backend software components. It includes comments at the beginning of each file indicating its license and authorship, as well as a README file that provides information about the project's purpose and complexity. The code itself appears to be written in Java and implements various algorithms related to the integration of functions. The complexity of the code is</t>
        </is>
      </c>
      <c r="I1341" t="n">
        <v>0.0035</v>
      </c>
      <c r="J1341" t="n">
        <v>0.0779</v>
      </c>
      <c r="K1341" t="n">
        <v>0.1071</v>
      </c>
      <c r="L1341" t="inlineStr">
        <is>
          <t>The provided code implements a web service that provides data processing capabilities using Apache Spark. It uses Java programming language and integrates with other libraries such as Apache Spark and Hadoop. The code is well-documented with comments and has been optimized for performance.</t>
        </is>
      </c>
      <c r="M1341" t="n">
        <v>0.0051</v>
      </c>
      <c r="N1341" t="n">
        <v>0.0769</v>
      </c>
      <c r="O1341" t="n">
        <v>0.1304</v>
      </c>
    </row>
    <row r="1342">
      <c r="A1342" t="inlineStr">
        <is>
          <t>openmicroscopy</t>
        </is>
      </c>
      <c r="B1342" t="inlineStr">
        <is>
          <t>components/tools/OmeroJava/test/integration/ImportAsTest.java</t>
        </is>
      </c>
      <c r="C1342">
        <f>HYPERLINK("https://github.com/ome/openmicroscopy/blob/master/components/tools/OmeroJava/test/integration/ImportAsTest.java")</f>
        <v/>
      </c>
      <c r="D1342" t="inlineStr">
        <is>
          <t>The provided code appears to be a Java package named "integration" containing various classes and methods related to integrating different software components. The code includes comments describing the purpose of each class and method, as well as licensing information. The complexity of the code is O(N), where N is the number of elements being processed. There are no commits listed, but there is an initial code</t>
        </is>
      </c>
      <c r="E1342" t="n">
        <v>0.0033</v>
      </c>
      <c r="F1342" t="n">
        <v>0.0533</v>
      </c>
      <c r="G1342" t="n">
        <v>0.0725</v>
      </c>
      <c r="H1342" t="inlineStr">
        <is>
          <t>The code in this repository appears to be a collection of backend software components written in Java using the OMER library. The README file describes the purpose of the repository as containing "backend software components" and provides no further information about the specific functionality of the code. The complexity of the code is estimated at O(N), where N is the number of elements being processed. There are</t>
        </is>
      </c>
      <c r="I1342" t="n">
        <v>0.0036</v>
      </c>
      <c r="J1342" t="n">
        <v>0.0789</v>
      </c>
      <c r="K1342" t="n">
        <v>0.1439</v>
      </c>
      <c r="L1342" t="inlineStr">
        <is>
          <t>The provided code implements a system for integrating data from multiple sources into a unified database. It uses the OpenMiner library to extract data from various sources such as CSV files, JSON objects, and databases. The extracted data is then processed using a series of transformations defined in the code, which convert the raw data into a standardized format suitable for analysis. Finally, the integrated data is</t>
        </is>
      </c>
      <c r="M1342" t="n">
        <v>0.0032</v>
      </c>
      <c r="N1342" t="n">
        <v>0.0533</v>
      </c>
      <c r="O1342" t="n">
        <v>0.1079</v>
      </c>
    </row>
    <row r="1343">
      <c r="A1343" t="inlineStr">
        <is>
          <t>openmicroscopy</t>
        </is>
      </c>
      <c r="B1343" t="inlineStr">
        <is>
          <t>components/tools/OmeroJava/test/integration/PojosServiceTest.java</t>
        </is>
      </c>
      <c r="C1343">
        <f>HYPERLINK("https://github.com/ome/openmicroscopy/blob/master/components/tools/OmeroJava/test/integration/PojosServiceTest.java")</f>
        <v/>
      </c>
      <c r="D1343" t="inlineStr">
        <is>
          <t>This Java code appears to be implementing various methods for interacting with an OMERO server, which is a database management system specifically designed for storing and managing large amounts of biological data. The code defines several classes and interfaces related to OMERO's model objects, such as `Dataset`, `DatasetImageLink`, and `CommentAnnotation`. It also includes some</t>
        </is>
      </c>
      <c r="E1343" t="n">
        <v>0.004</v>
      </c>
      <c r="F1343" t="n">
        <v>0.09520000000000001</v>
      </c>
      <c r="G1343" t="n">
        <v>0.119</v>
      </c>
      <c r="H1343" t="inlineStr">
        <is>
          <t>This package provides a set of classes that implement various core algorithms used by the OMERO server. The main class, `Integration`, defines a set of methods for interacting with the OMERO database, including querying and updating datasets, experimenters, and other objects. Other classes in this package provide additional functionality related to these core algorithms, such as utility functions for working</t>
        </is>
      </c>
      <c r="I1343" t="n">
        <v>0.0043</v>
      </c>
      <c r="J1343" t="n">
        <v>0.1176</v>
      </c>
      <c r="K1343" t="n">
        <v>0.1894</v>
      </c>
      <c r="L1343" t="inlineStr">
        <is>
          <t>The provided Java code defines a class that integrates with the OMERO server API to perform various tasks related to datasets and annotations. It uses the `omero` package for communication with the server, as well as classes from other packages such as `java.util`, `java.lang`, and `omero.model`. The class has several methods that perform different functions, including</t>
        </is>
      </c>
      <c r="M1343" t="n">
        <v>0.0033</v>
      </c>
      <c r="N1343" t="n">
        <v>0.0299</v>
      </c>
      <c r="O1343" t="n">
        <v>0.0781</v>
      </c>
    </row>
    <row r="1344">
      <c r="A1344" t="inlineStr">
        <is>
          <t>openmicroscopy</t>
        </is>
      </c>
      <c r="B1344" t="inlineStr">
        <is>
          <t>components/tools/OmeroJava/test/integration/RawFileStoreTest.java</t>
        </is>
      </c>
      <c r="C1344">
        <f>HYPERLINK("https://github.com/ome/openmicroscopy/blob/master/components/tools/OmeroJava/test/integration/RawFileStoreTest.java")</f>
        <v/>
      </c>
      <c r="D1344" t="inlineStr">
        <is>
          <t>The `RawFileStoreTest` class contains unit tests for the `RawFileStore` service, which is responsible for storing and retrieving raw data files from the OMERO server.
The test methods in this class perform various operations on the `RawFileStore`, such as uploading and downloading files, checking file existence, and deleting files. These operations are performed using the</t>
        </is>
      </c>
      <c r="E1344" t="n">
        <v>0.0034</v>
      </c>
      <c r="F1344" t="n">
        <v>0.0645</v>
      </c>
      <c r="G1344" t="n">
        <v>0.119</v>
      </c>
      <c r="H1344" t="inlineStr">
        <is>
          <t>The provided Java code defines a test suite for testing the functionality of the `RawFileStore` service. It imports various classes from the `omero.api` package, including `IScriptPrx`, `RawFileStorePrx`, and `OriginalFile`. The test cases use the `Assert` class from the `org.testng.Assert` library to verify the expected behavior</t>
        </is>
      </c>
      <c r="I1344" t="n">
        <v>0.0049</v>
      </c>
      <c r="J1344" t="n">
        <v>0.07140000000000001</v>
      </c>
      <c r="K1344" t="n">
        <v>0.08550000000000001</v>
      </c>
      <c r="L1344" t="inlineStr">
        <is>
          <t>The provided Java code defines a test suite for testing the functionality of the `RawFileStore` service. It imports various classes from the `omero`, `java.util`, and `org.testng` packages. The `AbstractServerTest` class is also imported, which provides some utility methods for setting up the server environment.
The test case consists of several test methods that</t>
        </is>
      </c>
      <c r="M1344" t="n">
        <v>0.0041</v>
      </c>
      <c r="N1344" t="n">
        <v>0.0635</v>
      </c>
      <c r="O1344" t="n">
        <v>0.08</v>
      </c>
    </row>
    <row r="1345">
      <c r="A1345" t="inlineStr">
        <is>
          <t>openmicroscopy</t>
        </is>
      </c>
      <c r="B1345" t="inlineStr">
        <is>
          <t>components/tools/OmeroJava/test/integration/ClientUsageTest.java</t>
        </is>
      </c>
      <c r="C1345">
        <f>HYPERLINK("https://github.com/ome/openmicroscopy/blob/master/components/tools/OmeroJava/test/integration/ClientUsageTest.java")</f>
        <v/>
      </c>
      <c r="D1345" t="inlineStr">
        <is>
          <t>The code defines a unit test for the `ClientUsageTest` class, which tests various use cases involving the `omerotype.client` object. It imports several classes from the OMERO API, including `Experimenter`, `ExperimenterGroup`, and `Permissions`. The test also imports `TestNG` annotations and `Ice.UserException`.</t>
        </is>
      </c>
      <c r="E1345" t="n">
        <v>0.0046</v>
      </c>
      <c r="F1345" t="n">
        <v>0.04</v>
      </c>
      <c r="G1345" t="n">
        <v>0.0893</v>
      </c>
      <c r="H1345" t="inlineStr">
        <is>
          <t>This code defines a Java class named `ClientUsageTest` that tests various aspects of the `omerotype` client library. The class imports several packages, including `omerotype`, `java.util`, and `org.testng`. It also includes some custom annotations, such as `@Test` and `@BeforeClass`.
The class has one method called `testCli</t>
        </is>
      </c>
      <c r="I1345" t="n">
        <v>0.0049</v>
      </c>
      <c r="J1345" t="n">
        <v>0.0727</v>
      </c>
      <c r="K1345" t="n">
        <v>0.08550000000000001</v>
      </c>
      <c r="L1345" t="inlineStr">
        <is>
          <t>The provided code defines various use cases for the `omerotest` client object, which provides methods for interacting with the OMERO server. The code imports several classes from the `omero`, `java.util`, and `org.testng` packages. It also includes comments that provide additional context about the code's purpose and usage.</t>
        </is>
      </c>
      <c r="M1345" t="n">
        <v>0.0039</v>
      </c>
      <c r="N1345" t="n">
        <v>0.0345</v>
      </c>
      <c r="O1345" t="n">
        <v>0.08400000000000001</v>
      </c>
    </row>
    <row r="1346">
      <c r="A1346" t="inlineStr">
        <is>
          <t>openmicroscopy</t>
        </is>
      </c>
      <c r="B1346" t="inlineStr">
        <is>
          <t>components/tools/OmeroJava/test/integration/RolesTests.java</t>
        </is>
      </c>
      <c r="C1346">
        <f>HYPERLINK("https://github.com/ome/openmicroscopy/blob/master/components/tools/OmeroJava/test/integration/RolesTests.java")</f>
        <v/>
      </c>
      <c r="D1346" t="inlineStr">
        <is>
          <t>The provided code appears to be part of a Java project containing various classes and methods related to image processing and analysis. The main class, `integration`, imports several other packages, including `java.io` and `org.apache.commons.lang`. It also defines a method called `main()` which takes no arguments and returns nothing.
The file also includes a block comment at the</t>
        </is>
      </c>
      <c r="E1346" t="n">
        <v>0.0032</v>
      </c>
      <c r="F1346" t="n">
        <v>0.029</v>
      </c>
      <c r="G1346" t="n">
        <v>0.0775</v>
      </c>
      <c r="H1346" t="inlineStr">
        <is>
          <t>The provided code is a Java package named "integration" containing classes and methods related to integrating different software components. It appears to be a part of a larger project or system, based on the presence of comments mentioning the Apache Commons library and the GNU General Public License.
The main class in the package is called "Integration", which has several methods for performing various tasks such as</t>
        </is>
      </c>
      <c r="I1346" t="n">
        <v>0.0032</v>
      </c>
      <c r="J1346" t="n">
        <v>0.0533</v>
      </c>
      <c r="K1346" t="n">
        <v>0.1079</v>
      </c>
      <c r="L1346" t="inlineStr">
        <is>
          <t>The provided code implements a system for processing files using Apache Commons library. It takes a list of files as input and applies various transformations to them before writing the output to disk. The code uses the `File` class from Java's standard library to handle file I/O operations. Additionally, it utilizes the `StringUtils` class from Apache Commons Lang library to perform string manipulation tasks</t>
        </is>
      </c>
      <c r="M1346" t="n">
        <v>0.0034</v>
      </c>
      <c r="N1346" t="n">
        <v>0.0541</v>
      </c>
      <c r="O1346" t="n">
        <v>0.1103</v>
      </c>
    </row>
    <row r="1347">
      <c r="A1347" t="inlineStr">
        <is>
          <t>openmicroscopy</t>
        </is>
      </c>
      <c r="B1347" t="inlineStr">
        <is>
          <t>components/tools/OmeroJava/test/integration/BfPixelBufferTest.java</t>
        </is>
      </c>
      <c r="C1347">
        <f>HYPERLINK("https://github.com/ome/openmicroscopy/blob/master/components/tools/OmeroJava/test/integration/BfPixelBufferTest.java")</f>
        <v/>
      </c>
      <c r="D1347" t="inlineStr">
        <is>
          <t>This code appears to be part of a test suite for the Bio-Formats library, which is used for reading and writing image files in various formats such as TIFF, OME-TIFF, and Nikon Neuroscan. The code defines several tests that check the behavior of the `BfPixelBuffer` class, which is responsible for accessing pixel data from an image file</t>
        </is>
      </c>
      <c r="E1347" t="n">
        <v>0.0038</v>
      </c>
      <c r="F1347" t="n">
        <v>0.0597</v>
      </c>
      <c r="G1347" t="n">
        <v>0.1163</v>
      </c>
      <c r="H1347" t="inlineStr">
        <is>
          <t>This code appears to be part of a Java project for working with image data using the Bio-Formats library. The `BfPixelBuffer` class provides methods for reading and writing pixel data from/to files, as well as performing various operations on that data such as resizing or converting between different formats. The `AbstractServerTest` class seems to provide some common functionality for testing purposes</t>
        </is>
      </c>
      <c r="I1347" t="n">
        <v>0.0039</v>
      </c>
      <c r="J1347" t="n">
        <v>0.0563</v>
      </c>
      <c r="K1347" t="n">
        <v>0.1128</v>
      </c>
      <c r="L1347" t="inlineStr">
        <is>
          <t>The provided code is a Java test case for testing the functionality of the `BfPixelBuffer` class. It imports various libraries such as `loci`, `ome`, `omero`, and `org.testng`. The test case creates a `BfPixelBuffer` object from a given image file using the `ImageReader` class, and then performs several tests on the buffer</t>
        </is>
      </c>
      <c r="M1347" t="n">
        <v>0.0043</v>
      </c>
      <c r="N1347" t="n">
        <v>0.0667</v>
      </c>
      <c r="O1347" t="n">
        <v>0.0813</v>
      </c>
    </row>
    <row r="1348">
      <c r="A1348" t="inlineStr">
        <is>
          <t>openmicroscopy</t>
        </is>
      </c>
      <c r="B1348" t="inlineStr">
        <is>
          <t>components/tools/OmeroJava/test/integration/UpgradeCheckTest.java</t>
        </is>
      </c>
      <c r="C1348">
        <f>HYPERLINK("https://github.com/ome/openmicroscopy/blob/master/components/tools/OmeroJava/test/integration/UpgradeCheckTest.java")</f>
        <v/>
      </c>
      <c r="D1348" t="inlineStr">
        <is>
          <t>The provided code appears to be part of a Java project and defines a package called "integration" containing classes related to integrating different systems. The code includes comments explaining its purpose and complexity, as well as information about commits and code size. It does not contain any actual implementation details or functional code.</t>
        </is>
      </c>
      <c r="E1348" t="n">
        <v>0.0035</v>
      </c>
      <c r="F1348" t="n">
        <v>0.06560000000000001</v>
      </c>
      <c r="G1348" t="n">
        <v>0.12</v>
      </c>
      <c r="H1348" t="inlineStr">
        <is>
          <t>The provided code defines a package called "integration" which implements various backend software components. The code includes an OMER system import statement at the top, indicating that the project uses the Open Microscopy Environment (OME) framework. The package also has a README file that provides information about the project's purpose and complexity.
The code itself appears to define several classes</t>
        </is>
      </c>
      <c r="I1348" t="n">
        <v>0.004</v>
      </c>
      <c r="J1348" t="n">
        <v>0.058</v>
      </c>
      <c r="K1348" t="n">
        <v>0.1515</v>
      </c>
      <c r="L1348" t="inlineStr">
        <is>
          <t>The code implements a system for integrating different software components, specifically those related to the University of Dundee's research infrastructure. It uses the OpenMicroscopy Environment (OME) framework and provides a way to integrate various tools and services into a single platform. The code is written in Java and has a complexity of O(N), with existing comments providing implementation details and</t>
        </is>
      </c>
      <c r="M1348" t="n">
        <v>0.004</v>
      </c>
      <c r="N1348" t="n">
        <v>0.0857</v>
      </c>
      <c r="O1348" t="n">
        <v>0.1515</v>
      </c>
    </row>
    <row r="1349">
      <c r="A1349" t="inlineStr">
        <is>
          <t>openmicroscopy</t>
        </is>
      </c>
      <c r="B1349" t="inlineStr">
        <is>
          <t>components/tools/OmeroJava/test/integration/AbstractServerTest.java</t>
        </is>
      </c>
      <c r="C1349">
        <f>HYPERLINK("https://github.com/ome/openmicroscopy/blob/master/components/tools/OmeroJava/test/integration/AbstractServerTest.java")</f>
        <v/>
      </c>
      <c r="D1349" t="inlineStr">
        <is>
          <t>The provided code appears to be a Java implementation of an OMERO importer library for importing images into OMERO format. It includes several classes and interfaces related to image import, such as `OMEROMetadataStoreClient`, `IObservable`, `IObserver`, `ImportCandidates`, `ImportConfig`, `ImportContainer`, `ImportEvent`, `</t>
        </is>
      </c>
      <c r="E1349" t="n">
        <v>0.0046</v>
      </c>
      <c r="F1349" t="n">
        <v>0.0851</v>
      </c>
      <c r="G1349" t="n">
        <v>0.0893</v>
      </c>
      <c r="H1349" t="inlineStr">
        <is>
          <t>The provided code defines a Java package named "integration" that contains several classes and interfaces related to data integration. The main class, `Integration`, implements the `IObserver` interface from the `ome.formats.importer` package and provides methods for importing data into a metadata store using the `OMEROMetadataStoreClient`. The `ImportCandidates` class</t>
        </is>
      </c>
      <c r="I1349" t="n">
        <v>0.0046</v>
      </c>
      <c r="J1349" t="n">
        <v>0.0702</v>
      </c>
      <c r="K1349" t="n">
        <v>0.1261</v>
      </c>
      <c r="L1349" t="inlineStr">
        <is>
          <t>The provided code appears to be a Java package for importing data from various formats into an OMERO database. It uses the OME Formats library for parsing and converting files, and provides support for multiple concurrent imports using an ExecutorService. The package also includes classes for handling events and observers during the import process. Overall, the code seems to provide a robust framework for importing</t>
        </is>
      </c>
      <c r="M1349" t="n">
        <v>0.0028</v>
      </c>
      <c r="N1349" t="n">
        <v>0.0274</v>
      </c>
      <c r="O1349" t="n">
        <v>0.073</v>
      </c>
    </row>
    <row r="1350">
      <c r="A1350" t="inlineStr">
        <is>
          <t>openmicroscopy</t>
        </is>
      </c>
      <c r="B1350" t="inlineStr">
        <is>
          <t>components/tools/OmeroJava/test/integration/LightAdminPrivilegesTest.java</t>
        </is>
      </c>
      <c r="C1350">
        <f>HYPERLINK("https://github.com/ome/openmicroscopy/blob/master/components/tools/OmeroJava/test/integration/LightAdminPrivilegesTest.java")</f>
        <v/>
      </c>
      <c r="D1350" t="inlineStr">
        <is>
          <t>The provided code appears to be a Java implementation of various algorithms related to data processing and manipulation. It includes several classes and methods, each with its own specific purpose. Some of these include:
* `Integration`: This class appears to be the main entry point for the application, and it defines several static methods that perform different types of integrations between two arrays of integers.</t>
        </is>
      </c>
      <c r="E1350" t="n">
        <v>0.0033</v>
      </c>
      <c r="F1350" t="n">
        <v>0.0556</v>
      </c>
      <c r="G1350" t="n">
        <v>0.1095</v>
      </c>
      <c r="H1350" t="inlineStr">
        <is>
          <t>The provided code is a Java package named "integration" containing various classes and methods related to integrating different software components. The code includes comments and documentation explaining the purpose and usage of each class and method. The complexity of the code is O(N), where N is the number of elements in the input data set. The code size is approximately 1000 lines. The main functional</t>
        </is>
      </c>
      <c r="I1350" t="n">
        <v>0.0033</v>
      </c>
      <c r="J1350" t="n">
        <v>0.0541</v>
      </c>
      <c r="K1350" t="n">
        <v>0.1095</v>
      </c>
      <c r="L1350" t="inlineStr">
        <is>
          <t>The provided code implements a Java class named "integration" that performs various operations related to integrating data from different sources. The class uses several third-party libraries, including Apache Commons Lang and Guava, to handle string manipulation and collection processing.
The main method takes two arguments: a list of strings representing input files, and a boolean flag indicating whether to perform a dry run or</t>
        </is>
      </c>
      <c r="M1350" t="n">
        <v>0.0034</v>
      </c>
      <c r="N1350" t="n">
        <v>0.0548</v>
      </c>
      <c r="O1350" t="n">
        <v>0.1103</v>
      </c>
    </row>
    <row r="1351">
      <c r="A1351" t="inlineStr">
        <is>
          <t>openmicroscopy</t>
        </is>
      </c>
      <c r="B1351" t="inlineStr">
        <is>
          <t>components/tools/OmeroJava/test/integration/ImporterTest.java</t>
        </is>
      </c>
      <c r="C1351">
        <f>HYPERLINK("https://github.com/ome/openmicroscopy/blob/master/components/tools/OmeroJava/test/integration/ImporterTest.java")</f>
        <v/>
      </c>
      <c r="D1351" t="inlineStr">
        <is>
          <t>This code appears to be a Java implementation of various OMERO-related functions, including reading and writing XML files, creating and deleting objects, and performing operations on datasets and images. The code uses several third-party libraries, such as `ome.specification` and `omero.gateway`, which may provide additional functionality or dependencies.
The main class, `OM</t>
        </is>
      </c>
      <c r="E1351" t="n">
        <v>0.0047</v>
      </c>
      <c r="F1351" t="n">
        <v>0.127</v>
      </c>
      <c r="G1351" t="n">
        <v>0.1626</v>
      </c>
      <c r="H1351" t="inlineStr">
        <is>
          <t>This Java package named "integration" contains several classes that implement various functionalities related to image analysis and processing. The package includes classes for working with OMERO metadata, such as annotations, channels, datasets, and images, as well as methods for performing operations on these objects. Additionally, there are classes for working with ROIs (regions of interest), comments, and other types of</t>
        </is>
      </c>
      <c r="I1351" t="n">
        <v>0.0036</v>
      </c>
      <c r="J1351" t="n">
        <v>0.1176</v>
      </c>
      <c r="K1351" t="n">
        <v>0.1515</v>
      </c>
      <c r="L1351" t="inlineStr">
        <is>
          <t>The provided code appears to be a Java class that implements various methods related to image analysis using the Open Microscopy Environment (OME) API. The class imports several packages, including `java.io`, `java.sql`, `java.util`, and `ome.xml`. It also includes several other classes and interfaces from the `ome` package, such as `OME`,</t>
        </is>
      </c>
      <c r="M1351" t="n">
        <v>0.0044</v>
      </c>
      <c r="N1351" t="n">
        <v>0.0645</v>
      </c>
      <c r="O1351" t="n">
        <v>0.123</v>
      </c>
    </row>
    <row r="1352">
      <c r="A1352" t="inlineStr">
        <is>
          <t>openmicroscopy</t>
        </is>
      </c>
      <c r="B1352" t="inlineStr">
        <is>
          <t>components/tools/OmeroJava/test/integration/gateway/GatewayUsageTest.java</t>
        </is>
      </c>
      <c r="C1352">
        <f>HYPERLINK("https://github.com/ome/openmicroscopy/blob/master/components/tools/OmeroJava/test/integration/gateway/GatewayUsageTest.java")</f>
        <v/>
      </c>
      <c r="D1352" t="inlineStr">
        <is>
          <t>The provided code appears to be a Java package called "integration.gateway" containing various classes and methods related to implementing core algorithms. The code has been annotated with comments and licensing information, indicating that it was developed at the University of Dundee and released under the GNU General Public License v2.0. The code size is approximately 1000 lines long.</t>
        </is>
      </c>
      <c r="E1352" t="n">
        <v>0.0037</v>
      </c>
      <c r="F1352" t="n">
        <v>0.0882</v>
      </c>
      <c r="G1352" t="n">
        <v>0.1966</v>
      </c>
      <c r="H1352" t="inlineStr">
        <is>
          <t>The provided code is a Java package named "integration.gateway" containing backend software components. It includes comments describing the purpose of each file and its complexity, which is O(N). The code size is approximately 1000 lines long.</t>
        </is>
      </c>
      <c r="I1352" t="n">
        <v>0.0061</v>
      </c>
      <c r="J1352" t="n">
        <v>0.08699999999999999</v>
      </c>
      <c r="K1352" t="n">
        <v>0.0926</v>
      </c>
      <c r="L1352" t="inlineStr">
        <is>
          <t>The provided code implements a gateway interface for integrating multiple systems. It provides a centralized entry point for handling requests from various sources, such as web applications, mobile apps, or other backends. The implementation uses a modular design pattern, allowing developers to easily add new features or replace existing ones without affecting the overall system's functionality.</t>
        </is>
      </c>
      <c r="M1352" t="n">
        <v>0.0033</v>
      </c>
      <c r="N1352" t="n">
        <v>0.0615</v>
      </c>
      <c r="O1352" t="n">
        <v>0.0781</v>
      </c>
    </row>
    <row r="1353">
      <c r="A1353" t="inlineStr">
        <is>
          <t>openmicroscopy</t>
        </is>
      </c>
      <c r="B1353" t="inlineStr">
        <is>
          <t>components/tools/OmeroJava/test/integration/gateway/GatewayTest.java</t>
        </is>
      </c>
      <c r="C1353">
        <f>HYPERLINK("https://github.com/ome/openmicroscopy/blob/master/components/tools/OmeroJava/test/integration/gateway/GatewayTest.java")</f>
        <v/>
      </c>
      <c r="D1353" t="inlineStr">
        <is>
          <t>The provided code appears to be part of a software project for implementing various algorithms related to data processing and analysis. The code is written in Java and uses the Spring framework for dependency injection and configuration management. It also utilizes several third-party libraries such as Apache Commons and JUnit for testing purposes.
The code defines a number of classes and interfaces that represent different aspects of the system'</t>
        </is>
      </c>
      <c r="E1353" t="n">
        <v>0.0031</v>
      </c>
      <c r="F1353" t="n">
        <v>0.0769</v>
      </c>
      <c r="G1353" t="n">
        <v>0.1418</v>
      </c>
      <c r="H1353" t="inlineStr">
        <is>
          <t>The provided code appears to be a Java package named "integration.gateway" containing backend software components. It includes a README file describing the purpose of the project and its complexity, which is stated to be O(N). Additionally, there are comments throughout the code explaining the implementation of various algorithms. There has been one initial commit to the repository, and the total size of the code</t>
        </is>
      </c>
      <c r="I1353" t="n">
        <v>0.0034</v>
      </c>
      <c r="J1353" t="n">
        <v>0.08110000000000001</v>
      </c>
      <c r="K1353" t="n">
        <v>0.1103</v>
      </c>
      <c r="L1353" t="inlineStr">
        <is>
          <t>The provided code defines a class named `integration.gateway` that serves as a gateway between different systems. It appears to handle communication protocols and provide a layer of abstraction between various integrations. The class has several methods that perform specific tasks related to integrating with external systems, such as sending requests and receiving responses. Overall, the code appears to facilitate seamless communication</t>
        </is>
      </c>
      <c r="M1353" t="n">
        <v>0.003</v>
      </c>
      <c r="N1353" t="n">
        <v>0.0286</v>
      </c>
      <c r="O1353" t="n">
        <v>0.0376</v>
      </c>
    </row>
    <row r="1354">
      <c r="A1354" t="inlineStr">
        <is>
          <t>openmicroscopy</t>
        </is>
      </c>
      <c r="B1354" t="inlineStr">
        <is>
          <t>components/tools/OmeroJava/test/integration/gateway/RawDataFacilityTest.java</t>
        </is>
      </c>
      <c r="C1354">
        <f>HYPERLINK("https://github.com/ome/openmicroscopy/blob/master/components/tools/OmeroJava/test/integration/gateway/RawDataFacilityTest.java")</f>
        <v/>
      </c>
      <c r="D1354" t="inlineStr">
        <is>
          <t>The provided code appears to be a Java package named "integration.gateway" containing various classes and methods related to integrating different systems. The code includes comments explaining its purpose and complexity, as well as information about commits, size, and licensing. It does not contain any actual implementation details or specific code examples.</t>
        </is>
      </c>
      <c r="E1354" t="n">
        <v>0.0036</v>
      </c>
      <c r="F1354" t="n">
        <v>0.0333</v>
      </c>
      <c r="G1354" t="n">
        <v>0.0813</v>
      </c>
      <c r="H1354" t="inlineStr">
        <is>
          <t>The provided code is a Java package named "integration.gateway" containing backend software components. It includes a README file describing the purpose of the project and its complexity, which is O(N). The comments section provides information about the implementation of core algorithms. The commits section mentions an initial codebase commit. Finally, the code size is approximately 1000 lines.</t>
        </is>
      </c>
      <c r="I1354" t="n">
        <v>0.0042</v>
      </c>
      <c r="J1354" t="n">
        <v>0.0896</v>
      </c>
      <c r="K1354" t="n">
        <v>0.155</v>
      </c>
      <c r="L1354" t="inlineStr">
        <is>
          <t>The provided code defines a `Gateway` class that provides a set of methods for interacting with external systems. It appears to handle communication protocols such as HTTP and WebSocket, and may also perform authentication and authorization tasks. The class includes comments describing its intended use and the complexity of the implementation.</t>
        </is>
      </c>
      <c r="M1354" t="n">
        <v>0.0036</v>
      </c>
      <c r="N1354" t="n">
        <v>0.0339</v>
      </c>
      <c r="O1354" t="n">
        <v>0.1524</v>
      </c>
    </row>
    <row r="1355">
      <c r="A1355" t="inlineStr">
        <is>
          <t>openmicroscopy</t>
        </is>
      </c>
      <c r="B1355" t="inlineStr">
        <is>
          <t>components/tools/OmeroJava/test/integration/gateway/LoadFacilityTest.java</t>
        </is>
      </c>
      <c r="C1355">
        <f>HYPERLINK("https://github.com/ome/openmicroscopy/blob/master/components/tools/OmeroJava/test/integration/gateway/LoadFacilityTest.java")</f>
        <v/>
      </c>
      <c r="D1355" t="inlineStr">
        <is>
          <t>The provided code appears to be a Java package named "integration.gateway" containing various classes and interfaces related to integrating different systems. The code includes comments explaining its purpose and licensing information. It also includes a README file describing the project's goals and complexity.
The code seems to implement O(N) complexity due to the use of loops and data structures</t>
        </is>
      </c>
      <c r="E1355" t="n">
        <v>0.0031</v>
      </c>
      <c r="F1355" t="n">
        <v>0.0571</v>
      </c>
      <c r="G1355" t="n">
        <v>0.1145</v>
      </c>
      <c r="H1355" t="inlineStr">
        <is>
          <t>The provided code appears to be a Java package named "integration.gateway" containing classes related to implementing backend software components. The code includes comments describing the purpose of each class and the complexity of the implementation using Big O notation. There are no commits listed, but there is a single commit message indicating that the code was initially committed. The code size is approximately 1000 lines long</t>
        </is>
      </c>
      <c r="I1355" t="n">
        <v>0.0033</v>
      </c>
      <c r="J1355" t="n">
        <v>0.0533</v>
      </c>
      <c r="K1355" t="n">
        <v>0.1449</v>
      </c>
      <c r="L1355" t="inlineStr">
        <is>
          <t>The provided code defines a Java class named "IntegrationGateway" which serves as a bridge between different systems or services. It appears to perform some sort of data transformation or processing before forwarding the request to another system. The class takes two parameters upon instantiation: "integrationType" and "config". The "integrationType" parameter determines the type of integration being performed, while</t>
        </is>
      </c>
      <c r="M1355" t="n">
        <v>0.0031</v>
      </c>
      <c r="N1355" t="n">
        <v>0.0303</v>
      </c>
      <c r="O1355" t="n">
        <v>0.0385</v>
      </c>
    </row>
    <row r="1356">
      <c r="A1356" t="inlineStr">
        <is>
          <t>openmicroscopy</t>
        </is>
      </c>
      <c r="B1356" t="inlineStr">
        <is>
          <t>components/tools/OmeroJava/test/integration/gateway/TablesFacilityTest.java</t>
        </is>
      </c>
      <c r="C1356">
        <f>HYPERLINK("https://github.com/ome/openmicroscopy/blob/master/components/tools/OmeroJava/test/integration/gateway/TablesFacilityTest.java")</f>
        <v/>
      </c>
      <c r="D1356" t="inlineStr">
        <is>
          <t>The provided code appears to be a Java implementation of a gateway class for integrating different software components. It defines several methods that perform various tasks related to file manipulation, such as reading and writing files, creating directories, and listing files in a directory. Additionally, it includes comments describing the purpose of each method and its complexity. Overall, the code seems to be well-structured and</t>
        </is>
      </c>
      <c r="E1356" t="n">
        <v>0.0033</v>
      </c>
      <c r="F1356" t="n">
        <v>0.0541</v>
      </c>
      <c r="G1356" t="n">
        <v>0.1095</v>
      </c>
      <c r="H1356" t="inlineStr">
        <is>
          <t>The provided code defines a Java package named "integration.gateway" containing classes related to integrating different systems. The package includes several files, including a README file that describes the purpose of the project, a LICENSE file that specifies the license under which the software is released, and several source code files.
The main class of the package appears to be "</t>
        </is>
      </c>
      <c r="I1356" t="n">
        <v>0.0036</v>
      </c>
      <c r="J1356" t="n">
        <v>0.0588</v>
      </c>
      <c r="K1356" t="n">
        <v>0.07580000000000001</v>
      </c>
      <c r="L1356" t="inlineStr">
        <is>
          <t>The provided code defines a class named "IntegrationGateway" that serves as a bridge between different parts of a system. It performs various tasks related to data processing, such as reading files, parsing them, and storing the results in memory. The code also includes comments explaining the purpose of each method and the complexity of the implementation. Overall, the code appears to be well-struct</t>
        </is>
      </c>
      <c r="M1356" t="n">
        <v>0.0029</v>
      </c>
      <c r="N1356" t="n">
        <v>0.0278</v>
      </c>
      <c r="O1356" t="n">
        <v>0.0741</v>
      </c>
    </row>
    <row r="1357">
      <c r="A1357" t="inlineStr">
        <is>
          <t>openmicroscopy</t>
        </is>
      </c>
      <c r="B1357" t="inlineStr">
        <is>
          <t>components/tools/OmeroJava/test/integration/gateway/BrowseFacilityTest.java</t>
        </is>
      </c>
      <c r="C1357">
        <f>HYPERLINK("https://github.com/ome/openmicroscopy/blob/master/components/tools/OmeroJava/test/integration/gateway/BrowseFacilityTest.java")</f>
        <v/>
      </c>
      <c r="D1357" t="inlineStr">
        <is>
          <t>The provided code appears to be a Java package named "integration.gateway" that implements various algorithms related to data processing and analysis. The code includes comments describing the purpose of each file and the complexity of the implementation. It also includes a README file that provides information about the project's goals and structure. Overall, the code seems to be well-organized and easy to</t>
        </is>
      </c>
      <c r="E1357" t="n">
        <v>0.0035</v>
      </c>
      <c r="F1357" t="n">
        <v>0.0548</v>
      </c>
      <c r="G1357" t="n">
        <v>0.0746</v>
      </c>
      <c r="H1357" t="inlineStr">
        <is>
          <t>The provided code defines a package called "integration.gateway" which contains backend software components. It includes comments about the implementation of core algorithms and the complexity of the code being O(N). There is also information about commits and code size.</t>
        </is>
      </c>
      <c r="I1357" t="n">
        <v>0.0062</v>
      </c>
      <c r="J1357" t="n">
        <v>0.1633</v>
      </c>
      <c r="K1357" t="n">
        <v>0.1802</v>
      </c>
      <c r="L1357" t="inlineStr">
        <is>
          <t>The provided code appears to be part of a software project related to integrating different systems. It defines a class called "IntegrationGateway" which has several methods for handling various tasks such as connecting to external APIs, parsing responses, and sending requests. The class also includes comments and annotations indicating its purpose and usage. Overall, the code seems to provide a framework for building an integration</t>
        </is>
      </c>
      <c r="M1357" t="n">
        <v>0.0033</v>
      </c>
      <c r="N1357" t="n">
        <v>0.0548</v>
      </c>
      <c r="O1357" t="n">
        <v>0.1095</v>
      </c>
    </row>
    <row r="1358">
      <c r="A1358" t="inlineStr">
        <is>
          <t>openmicroscopy</t>
        </is>
      </c>
      <c r="B1358" t="inlineStr">
        <is>
          <t>components/tools/OmeroJava/test/integration/gateway/MetadataFacilityTest.java</t>
        </is>
      </c>
      <c r="C1358">
        <f>HYPERLINK("https://github.com/ome/openmicroscopy/blob/master/components/tools/OmeroJava/test/integration/gateway/MetadataFacilityTest.java")</f>
        <v/>
      </c>
      <c r="D1358" t="inlineStr">
        <is>
          <t>The provided code appears to be part of a backend system written in Java. It includes several classes and interfaces related to integrating different systems, such as APIs and databases. The code also includes comments explaining the purpose of each class and method.
The main class, `IntegrationGateway`, seems to be responsible for handling incoming requests from other systems and forwarding them to the appropriate</t>
        </is>
      </c>
      <c r="E1358" t="n">
        <v>0.0028</v>
      </c>
      <c r="F1358" t="n">
        <v>0.0278</v>
      </c>
      <c r="G1358" t="n">
        <v>0.0735</v>
      </c>
      <c r="H1358" t="inlineStr">
        <is>
          <t>The provided code appears to be a Java package named "integration.gateway" containing backend software components. It includes comments describing the purpose of the code and its complexity, which is O(N). The code size is approximately 1000 lines long.</t>
        </is>
      </c>
      <c r="I1358" t="n">
        <v>0.0058</v>
      </c>
      <c r="J1358" t="n">
        <v>0.0833</v>
      </c>
      <c r="K1358" t="n">
        <v>0.09089999999999999</v>
      </c>
      <c r="L1358" t="inlineStr">
        <is>
          <t>The provided code defines a package called "integration.gateway" which appears to contain classes related to integrating different systems or services. The code includes comments mentioning the use of the GNU General Public License and the University of Dundee's copyright notice. It also includes a block comment at the top of the file containing additional information about the project, including the license and the fact</t>
        </is>
      </c>
      <c r="M1358" t="n">
        <v>0.0028</v>
      </c>
      <c r="N1358" t="n">
        <v>0.027</v>
      </c>
      <c r="O1358" t="n">
        <v>0.0735</v>
      </c>
    </row>
    <row r="1359">
      <c r="A1359" t="inlineStr">
        <is>
          <t>openmicroscopy</t>
        </is>
      </c>
      <c r="B1359" t="inlineStr">
        <is>
          <t>components/tools/OmeroJava/test/integration/gateway/AdminFacilityTest.java</t>
        </is>
      </c>
      <c r="C1359">
        <f>HYPERLINK("https://github.com/ome/openmicroscopy/blob/master/components/tools/OmeroJava/test/integration/gateway/AdminFacilityTest.java")</f>
        <v/>
      </c>
      <c r="D1359" t="inlineStr">
        <is>
          <t>The provided code appears to be a Java package named "integration.gateway" containing various classes and methods related to integrating different systems. The code includes comments explaining its purpose and complexity, as well as information about commits and code size. It does not contain any actual implementation details or specific examples of how the code works.</t>
        </is>
      </c>
      <c r="E1359" t="n">
        <v>0.0033</v>
      </c>
      <c r="F1359" t="n">
        <v>0.0312</v>
      </c>
      <c r="G1359" t="n">
        <v>0.07870000000000001</v>
      </c>
      <c r="H1359" t="inlineStr">
        <is>
          <t>The code provides a package called "integration.gateway" which contains backend software components. It implements core algorithms using O(N) complexity. The code has been committed once and has a total size of 1000 lines.</t>
        </is>
      </c>
      <c r="I1359" t="n">
        <v>0.0142</v>
      </c>
      <c r="J1359" t="n">
        <v>0.186</v>
      </c>
      <c r="K1359" t="n">
        <v>0.3543</v>
      </c>
      <c r="L1359" t="inlineStr">
        <is>
          <t>The provided code defines a class named `IntegrationGateway` which serves as a bridge between different systems. It provides methods for sending and receiving messages over various communication protocols such as HTTP, TCP, and UDP. The class also includes error handling mechanisms and logging capabilities. Overall, the code appears to provide a flexible and robust framework for integrating multiple systems together.</t>
        </is>
      </c>
      <c r="M1359" t="n">
        <v>0.003</v>
      </c>
      <c r="N1359" t="n">
        <v>0.0294</v>
      </c>
      <c r="O1359" t="n">
        <v>0.0379</v>
      </c>
    </row>
    <row r="1360">
      <c r="A1360" t="inlineStr">
        <is>
          <t>openmicroscopy</t>
        </is>
      </c>
      <c r="B1360" t="inlineStr">
        <is>
          <t>components/tools/OmeroJava/test/integration/gateway/SearchFacilityTest.java</t>
        </is>
      </c>
      <c r="C1360">
        <f>HYPERLINK("https://github.com/ome/openmicroscopy/blob/master/components/tools/OmeroJava/test/integration/gateway/SearchFacilityTest.java")</f>
        <v/>
      </c>
      <c r="D1360" t="inlineStr">
        <is>
          <t>The provided code appears to be a Java package called "integration.gateway" containing various classes and methods related to implementing core algorithms. The code has been documented with comments and licensed under the GNU General Public License v2.0. The complexity of the code is O(N), where N is the number of elements being processed. There have been two commits made to the codebase so</t>
        </is>
      </c>
      <c r="E1360" t="n">
        <v>0.0034</v>
      </c>
      <c r="F1360" t="n">
        <v>0.08110000000000001</v>
      </c>
      <c r="G1360" t="n">
        <v>0.1893</v>
      </c>
      <c r="H1360" t="inlineStr">
        <is>
          <t>The code is written in Java and defines a package called "integration.gateway" which contains the implementation of the backend software components. It also includes a README file that describes the purpose of the repository and its contents. The complexity of the code is O(N), where N is the number of elements in the input data. The comments provide information about the implementation of the core algorithms</t>
        </is>
      </c>
      <c r="I1360" t="n">
        <v>0.0036</v>
      </c>
      <c r="J1360" t="n">
        <v>0.0789</v>
      </c>
      <c r="K1360" t="n">
        <v>0.1449</v>
      </c>
      <c r="L1360" t="inlineStr">
        <is>
          <t>The provided code appears to be part of a larger software system, specifically a web gateway component. It defines several classes and methods related to handling HTTP requests and responses, including the `Request` class which represents an incoming request and the `Response` class which encapsulates the response data. The `Gateway` class is responsible for routing incoming requests to appropriate handlers based on their URLs</t>
        </is>
      </c>
      <c r="M1360" t="n">
        <v>0.0034</v>
      </c>
      <c r="N1360" t="n">
        <v>0.0556</v>
      </c>
      <c r="O1360" t="n">
        <v>0.1103</v>
      </c>
    </row>
    <row r="1361">
      <c r="A1361" t="inlineStr">
        <is>
          <t>openmicroscopy</t>
        </is>
      </c>
      <c r="B1361" t="inlineStr">
        <is>
          <t>components/tools/OmeroJava/test/integration/gateway/ROIFacilityTest.java</t>
        </is>
      </c>
      <c r="C1361">
        <f>HYPERLINK("https://github.com/ome/openmicroscopy/blob/master/components/tools/OmeroJava/test/integration/gateway/ROIFacilityTest.java")</f>
        <v/>
      </c>
      <c r="D1361" t="inlineStr">
        <is>
          <t>The provided code appears to be part of a software project for implementing various algorithms related to computer science. It includes comments explaining the purpose of each file and its complexity, as well as information about commits and code size. The code itself does not appear to contain much detail or explanation beyond what is already stated in the comments.</t>
        </is>
      </c>
      <c r="E1361" t="n">
        <v>0.0036</v>
      </c>
      <c r="F1361" t="n">
        <v>0.0882</v>
      </c>
      <c r="G1361" t="n">
        <v>0.1515</v>
      </c>
      <c r="H1361" t="inlineStr">
        <is>
          <t>The code in this repository appears to be a collection of backend software components, specifically related to the implementation of core algorithms. It includes comments detailing the licensing information and the fact that the software is released under the GNU General Public License v2.0. The code size is approximately 1000 lines long.</t>
        </is>
      </c>
      <c r="I1361" t="n">
        <v>0.0046</v>
      </c>
      <c r="J1361" t="n">
        <v>0.1639</v>
      </c>
      <c r="K1361" t="n">
        <v>0.2016</v>
      </c>
      <c r="L1361" t="inlineStr">
        <is>
          <t>The provided code defines a package named "integration.gateway" which appears to provide a set of classes and interfaces related to integrating different systems. The code includes comments indicating that it was written by the University of Dundee and is licensed under the GNU General Public License. It also includes a README file that describes the repository's contents and provides some background information about the</t>
        </is>
      </c>
      <c r="M1361" t="n">
        <v>0.0028</v>
      </c>
      <c r="N1361" t="n">
        <v>0.027</v>
      </c>
      <c r="O1361" t="n">
        <v>0.0368</v>
      </c>
    </row>
    <row r="1362">
      <c r="A1362" t="inlineStr">
        <is>
          <t>openmicroscopy</t>
        </is>
      </c>
      <c r="B1362" t="inlineStr">
        <is>
          <t>components/tools/OmeroJava/test/integration/gateway/DataManagerFacilityTest.java</t>
        </is>
      </c>
      <c r="C1362">
        <f>HYPERLINK("https://github.com/ome/openmicroscopy/blob/master/components/tools/OmeroJava/test/integration/gateway/DataManagerFacilityTest.java")</f>
        <v/>
      </c>
      <c r="D1362" t="inlineStr">
        <is>
          <t>The code implements a gateway for a system that allows users to interact with various services. It includes a number of features such as authentication, authorization, and rate limiting. The code is written in Java and uses Spring Boot as its framework. The complexity of the code is O(N), where N is the number of users. There are also comments throughout the code explaining how different parts work and</t>
        </is>
      </c>
      <c r="E1362" t="n">
        <v>0.0031</v>
      </c>
      <c r="F1362" t="n">
        <v>0.0513</v>
      </c>
      <c r="G1362" t="n">
        <v>0.1812</v>
      </c>
      <c r="H1362" t="inlineStr">
        <is>
          <t>The provided code defines a package named "integration.gateway" containing backend software components. It includes a README file explaining the purpose of the project, a complexity analysis indicating that the algorithmic complexity of the implementation is O(N), comments describing the implementation of core algorithms, and a commits section detailing the initial codebase commit. Additionally, the code size is estimated at around</t>
        </is>
      </c>
      <c r="I1362" t="n">
        <v>0.004</v>
      </c>
      <c r="J1362" t="n">
        <v>0.1143</v>
      </c>
      <c r="K1362" t="n">
        <v>0.1515</v>
      </c>
      <c r="L1362" t="inlineStr">
        <is>
          <t>The provided code implements a gateway interface for integrating various backend services. It appears to handle incoming requests from clients and forward them to appropriate handlers based on their type. The code also includes comments describing the implementation of core algorithms and the license under which it was released.</t>
        </is>
      </c>
      <c r="M1362" t="n">
        <v>0.0049</v>
      </c>
      <c r="N1362" t="n">
        <v>0.1053</v>
      </c>
      <c r="O1362" t="n">
        <v>0.124</v>
      </c>
    </row>
    <row r="1363">
      <c r="A1363" t="inlineStr">
        <is>
          <t>openmicroscopy</t>
        </is>
      </c>
      <c r="B1363" t="inlineStr">
        <is>
          <t>components/tools/OmeroJava/test/integration/thumbnail/BatchLoadingTest.java</t>
        </is>
      </c>
      <c r="C1363">
        <f>HYPERLINK("https://github.com/ome/openmicroscopy/blob/master/components/tools/OmeroJava/test/integration/thumbnail/BatchLoadingTest.java")</f>
        <v/>
      </c>
      <c r="D1363" t="inlineStr">
        <is>
          <t>The code is part of a server application that provides thumbnails for images stored on a remote server. It uses Google Guava's ImmutableList class to store a list of image URLs, and implements an abstract method called "getThumbnail" which returns a thumbnail URL given an input image URL. Additionally, there is a ModelMockFactory class used for testing purposes.</t>
        </is>
      </c>
      <c r="E1363" t="n">
        <v>0.0037</v>
      </c>
      <c r="F1363" t="n">
        <v>0.0299</v>
      </c>
      <c r="G1363" t="n">
        <v>0.1154</v>
      </c>
      <c r="H1363" t="inlineStr">
        <is>
          <t>The provided code appears to be part of a larger software project, specifically the backend of an image processing application. It consists of several files, including the main class `ThumbnailService` which defines the entry point for the application, and several other classes that implement various functionalities such as image resizing and caching.
The code also includes comments that provide information about the license, authors,</t>
        </is>
      </c>
      <c r="I1363" t="n">
        <v>0.0034</v>
      </c>
      <c r="J1363" t="n">
        <v>0.1111</v>
      </c>
      <c r="K1363" t="n">
        <v>0.1471</v>
      </c>
      <c r="L1363" t="inlineStr">
        <is>
          <t>The provided code is part of a Java project and defines a class named `Thumbnail` that implements the `integration.AbstractServerTest` interface. It appears to be a test case for a server application that generates thumbnails from images.
The `Thumbnail` class has several methods, including `testGenerateThumbnail`, which tests the generation of a thumbnail from an</t>
        </is>
      </c>
      <c r="M1363" t="n">
        <v>0.0041</v>
      </c>
      <c r="N1363" t="n">
        <v>0.0323</v>
      </c>
      <c r="O1363" t="n">
        <v>0.12</v>
      </c>
    </row>
    <row r="1364">
      <c r="A1364" t="inlineStr">
        <is>
          <t>openmicroscopy</t>
        </is>
      </c>
      <c r="B1364" t="inlineStr">
        <is>
          <t>components/tools/OmeroJava/test/integration/thumbnail/SkipThumbnailsPermissionsTest.java</t>
        </is>
      </c>
      <c r="C1364">
        <f>HYPERLINK("https://github.com/ome/openmicroscopy/blob/master/components/tools/OmeroJava/test/integration/thumbnail/SkipThumbnailsPermissionsTest.java")</f>
        <v/>
      </c>
      <c r="D1364" t="inlineStr">
        <is>
          <t>The provided code appears to be part of a Java project related to image processing and analysis. It defines several classes and interfaces related to thumbnail generation and rendering.
The `Thumbnail` class is responsible for generating thumbnails from images using the OMERO Image Viewer library. It takes an input image file path and generates a thumbnail image file at a specified size.</t>
        </is>
      </c>
      <c r="E1364" t="n">
        <v>0.0029</v>
      </c>
      <c r="F1364" t="n">
        <v>0.0286</v>
      </c>
      <c r="G1364" t="n">
        <v>0.0746</v>
      </c>
      <c r="H1364" t="inlineStr">
        <is>
          <t>The provided code is a Java package named "integration.thumbnail" that contains classes related to image thumbnails. It appears to be part of a larger project or application, as there is a reference to the "ome.formats.importer" package and the "omero.api.Rendering" class.
The package includes one class called "ThumbnailService",</t>
        </is>
      </c>
      <c r="I1364" t="n">
        <v>0.0039</v>
      </c>
      <c r="J1364" t="n">
        <v>0.0333</v>
      </c>
      <c r="K1364" t="n">
        <v>0.08400000000000001</v>
      </c>
      <c r="L1364" t="inlineStr">
        <is>
          <t>The provided code is part of a Java project related to image processing and analysis. It appears to be a server-side component that imports images from various formats using the OMERO format importer library. The code uses the `integration.AbstractServerImportTest` class as a base, which provides some common functionality for importing data into the OMERO server. The specific functionality of</t>
        </is>
      </c>
      <c r="M1364" t="n">
        <v>0.0037</v>
      </c>
      <c r="N1364" t="n">
        <v>0.029</v>
      </c>
      <c r="O1364" t="n">
        <v>0.07630000000000001</v>
      </c>
    </row>
    <row r="1365">
      <c r="A1365" t="inlineStr">
        <is>
          <t>openmicroscopy</t>
        </is>
      </c>
      <c r="B1365" t="inlineStr">
        <is>
          <t>components/tools/OmeroJava/test/integration/thumbnail/Utils.java</t>
        </is>
      </c>
      <c r="C1365">
        <f>HYPERLINK("https://github.com/ome/openmicroscopy/blob/master/components/tools/OmeroJava/test/integration/thumbnail/Utils.java")</f>
        <v/>
      </c>
      <c r="D1365" t="inlineStr">
        <is>
          <t>The code implements a thumbnail generation system using a specific algorithm. It is written in Java and uses the Apache Commons library for image processing. The main class, `Thumbnail`, generates thumbnails from images based on a specified size and quality. The code also includes a test case for the `Thumbnail` class.</t>
        </is>
      </c>
      <c r="E1365" t="n">
        <v>0.0043</v>
      </c>
      <c r="F1365" t="n">
        <v>0.0678</v>
      </c>
      <c r="G1365" t="n">
        <v>0.122</v>
      </c>
      <c r="H1365" t="inlineStr">
        <is>
          <t>The provided code is a Java package named "integration.thumbnail" containing backend software components. It includes a license header and comments describing its purpose and complexity. The code size is approximately 1000 lines long.</t>
        </is>
      </c>
      <c r="I1365" t="n">
        <v>0.0067</v>
      </c>
      <c r="J1365" t="n">
        <v>0.09520000000000001</v>
      </c>
      <c r="K1365" t="n">
        <v>0.09520000000000001</v>
      </c>
      <c r="L1365" t="inlineStr">
        <is>
          <t>The provided code is part of a larger software system that generates thumbnails for images. It appears to be responsible for implementing the core algorithms for generating thumbnails, using a combination of image processing techniques such as resizing and cropping. The code also includes comments related to the implementation of these algorithms and the overall purpose of the system.</t>
        </is>
      </c>
      <c r="M1365" t="n">
        <v>0.0041</v>
      </c>
      <c r="N1365" t="n">
        <v>0.1194</v>
      </c>
      <c r="O1365" t="n">
        <v>0.1908</v>
      </c>
    </row>
    <row r="1366">
      <c r="A1366" t="inlineStr">
        <is>
          <t>openmicroscopy</t>
        </is>
      </c>
      <c r="B1366" t="inlineStr">
        <is>
          <t>components/tools/OmeroJava/test/integration/thumbnail/SingleFileTest.java</t>
        </is>
      </c>
      <c r="C1366">
        <f>HYPERLINK("https://github.com/ome/openmicroscopy/blob/master/components/tools/OmeroJava/test/integration/thumbnail/SingleFileTest.java")</f>
        <v/>
      </c>
      <c r="D1366" t="inlineStr">
        <is>
          <t>The provided code appears to be part of an open source project called "Open Microscopy Environment" (OME). It is a Java library used for image analysis and processing, specifically for generating thumbnails from images stored in OMERO format.
The code defines several classes related to thumbnail generation, including `Thumbnail`, which represents a single thumbnail, and `</t>
        </is>
      </c>
      <c r="E1366" t="n">
        <v>0.0033</v>
      </c>
      <c r="F1366" t="n">
        <v>0.0317</v>
      </c>
      <c r="G1366" t="n">
        <v>0.0781</v>
      </c>
      <c r="H1366" t="inlineStr">
        <is>
          <t>The provided code is part of a software development project for a web application that provides image thumbnails. It appears to be written in Java and uses the Spring framework for dependency injection and configuration. The code is well-documented with comments explaining the purpose of each class and method, and it includes unit tests to ensure the correctness of the implementation.
The main entry point of the</t>
        </is>
      </c>
      <c r="I1366" t="n">
        <v>0.0032</v>
      </c>
      <c r="J1366" t="n">
        <v>0.0526</v>
      </c>
      <c r="K1366" t="n">
        <v>0.1079</v>
      </c>
      <c r="L1366" t="inlineStr">
        <is>
          <t>The provided code is part of a server test suite for an image processing application. It imports various classes from other packages and defines a class named "ThumbnailIntegrationTest" that extends the abstract class "AbstractServerTest". The class has several methods that perform different tests related to thumbnails, such as creating a new thumbnail, updating an existing one, and deleting a thumbnail.</t>
        </is>
      </c>
      <c r="M1366" t="n">
        <v>0.003</v>
      </c>
      <c r="N1366" t="n">
        <v>0.0294</v>
      </c>
      <c r="O1366" t="n">
        <v>0.07580000000000001</v>
      </c>
    </row>
    <row r="1367">
      <c r="A1367" t="inlineStr">
        <is>
          <t>openmicroscopy</t>
        </is>
      </c>
      <c r="B1367" t="inlineStr">
        <is>
          <t>components/tools/OmeroJava/test/integration/delete/AdditionalDeleteTest.java</t>
        </is>
      </c>
      <c r="C1367">
        <f>HYPERLINK("https://github.com/ome/openmicroscopy/blob/master/components/tools/OmeroJava/test/integration/delete/AdditionalDeleteTest.java")</f>
        <v/>
      </c>
      <c r="D1367" t="inlineStr">
        <is>
          <t>This Java code appears to be part of an OMERO server implementation for deleting objects from the database. It uses various classes and methods from the `omero` package to perform deletions based on user input. The code first retrieves the IDs of the objects to delete using the `Requests` class, then creates a new instance of the `Delete2` command with those IDs</t>
        </is>
      </c>
      <c r="E1367" t="n">
        <v>0.0035</v>
      </c>
      <c r="F1367" t="n">
        <v>0.0857</v>
      </c>
      <c r="G1367" t="n">
        <v>0.1493</v>
      </c>
      <c r="H1367" t="inlineStr">
        <is>
          <t>This code appears to be part of a Java project for an image processing application. It defines several classes that represent different types of objects used by the application, such as images, annotations, and transformations. The code also includes methods for creating and manipulating these objects, as well as other utility functions.
The `integration` package contains classes related to integrating with external systems, while the</t>
        </is>
      </c>
      <c r="I1367" t="n">
        <v>0.0033</v>
      </c>
      <c r="J1367" t="n">
        <v>0.0548</v>
      </c>
      <c r="K1367" t="n">
        <v>0.1095</v>
      </c>
      <c r="L1367" t="inlineStr">
        <is>
          <t>The code in the provided file defines a class called "Delete" that extends the "AbstractServerTest" class. It appears to be a test case for deleting objects from the OMERO server. The class has several methods that perform various actions related to object deletion, including creating objects, retrieving them, and then deleting them. The class also includes some utility methods for generating random</t>
        </is>
      </c>
      <c r="M1367" t="n">
        <v>0.0029</v>
      </c>
      <c r="N1367" t="n">
        <v>0.0286</v>
      </c>
      <c r="O1367" t="n">
        <v>0.0373</v>
      </c>
    </row>
    <row r="1368">
      <c r="A1368" t="inlineStr">
        <is>
          <t>presto</t>
        </is>
      </c>
      <c r="B1368" t="inlineStr">
        <is>
          <t>presto-tests/src/main/java/com/facebook/presto/tests/StatefulSleepingSum.java</t>
        </is>
      </c>
      <c r="C1368">
        <f>HYPERLINK("https://github.com/prestodb/presto/blob/master/presto-tests/src/main/java/com/facebook/presto/tests/StatefulSleepingSum.java")</f>
        <v/>
      </c>
      <c r="D1368" t="inlineStr">
        <is>
          <t>This code defines a custom scalar function called `my_udf` that takes two arguments and returns their sum. The function is implemented using Java and uses the Presto API to register it as a built-in function. It also includes documentation about the function's purpose and how it should be used.</t>
        </is>
      </c>
      <c r="E1368" t="n">
        <v>0.0045</v>
      </c>
      <c r="F1368" t="n">
        <v>0.1333</v>
      </c>
      <c r="G1368" t="n">
        <v>0.1653</v>
      </c>
      <c r="H1368" t="inlineStr">
        <is>
          <t>This code defines a Presto SQL scalar function called `test_func` that takes no arguments and returns a constant value. The function is implemented using the BuiltInScalarFunctionImplementation class, which provides a default implementation for built-in functions. The function's signature is defined as `test_func()` and its kind is set to FunctionKind.SCALAR. The</t>
        </is>
      </c>
      <c r="I1368" t="n">
        <v>0.0044</v>
      </c>
      <c r="J1368" t="n">
        <v>0.127</v>
      </c>
      <c r="K1368" t="n">
        <v>0.1639</v>
      </c>
      <c r="L1368" t="inlineStr">
        <is>
          <t>The provided code defines a custom SQL scalar function named `my_function` that takes two arguments and returns their sum. The function is implemented using Java's `BuiltInScalarFunctionImplementation` class, which provides a default implementation for a scalar function. The function is registered as a built-in function in PrestoDB through the `registerBuiltInFunction()` method,</t>
        </is>
      </c>
      <c r="M1368" t="n">
        <v>0.0037</v>
      </c>
      <c r="N1368" t="n">
        <v>0.06560000000000001</v>
      </c>
      <c r="O1368" t="n">
        <v>0.123</v>
      </c>
    </row>
    <row r="1369">
      <c r="A1369" t="inlineStr">
        <is>
          <t>presto</t>
        </is>
      </c>
      <c r="B1369" t="inlineStr">
        <is>
          <t>presto-tests/src/main/java/com/facebook/presto/tests/AbstractTestingPrestoClient.java</t>
        </is>
      </c>
      <c r="C1369">
        <f>HYPERLINK("https://github.com/prestodb/presto/blob/master/presto-tests/src/main/java/com/facebook/presto/tests/AbstractTestingPrestoClient.java")</f>
        <v/>
      </c>
      <c r="D1369" t="inlineStr">
        <is>
          <t>The provided code appears to be a Java project that implements various functionalities related to querying data from a database using Presto. It includes classes such as `Session`, `ClientSession`, `QueryStatusInfo`, and `StatementClient`. These classes appear to represent different aspects of a Presto session, including the client's current state, the status of a query, and the client'</t>
        </is>
      </c>
      <c r="E1369" t="n">
        <v>0.0039</v>
      </c>
      <c r="F1369" t="n">
        <v>0.09229999999999999</v>
      </c>
      <c r="G1369" t="n">
        <v>0.1172</v>
      </c>
      <c r="H1369" t="inlineStr">
        <is>
          <t>This code defines a Java package called `com.facebook.presto.tests` that contains various classes and interfaces related to testing Presto's backend software components. The package includes a class named `TestingPrestoServer`, which extends the `AbstractTestQueries` class from the `com.facebook.presto.testing` package. It also includes several other classes and interfaces</t>
        </is>
      </c>
      <c r="I1369" t="n">
        <v>0.0054</v>
      </c>
      <c r="J1369" t="n">
        <v>0.1</v>
      </c>
      <c r="K1369" t="n">
        <v>0.1282</v>
      </c>
      <c r="L1369" t="inlineStr">
        <is>
          <t>The provided code is part of a Presto SQL query engine test suite. It defines several classes and methods that help execute queries against a Presto cluster. The code uses the Airlift JSON library to encode and decode JSON data, and the Duration class from the same library to represent time intervals.
The main functionality of the code is to create a client session object, which represents</t>
        </is>
      </c>
      <c r="M1369" t="n">
        <v>0.0032</v>
      </c>
      <c r="N1369" t="n">
        <v>0.0267</v>
      </c>
      <c r="O1369" t="n">
        <v>0.07190000000000001</v>
      </c>
    </row>
    <row r="1370">
      <c r="A1370" t="inlineStr">
        <is>
          <t>presto</t>
        </is>
      </c>
      <c r="B1370" t="inlineStr">
        <is>
          <t>presto-tests/src/main/java/com/facebook/presto/tests/CustomRank.java</t>
        </is>
      </c>
      <c r="C1370">
        <f>HYPERLINK("https://github.com/prestodb/presto/blob/master/presto-tests/src/main/java/com/facebook/presto/tests/CustomRank.java")</f>
        <v/>
      </c>
      <c r="D1370" t="inlineStr">
        <is>
          <t>The provided code defines a custom ranking window function called `CustomRank` that takes no arguments and returns a bigint value. It implements the `RankingWindowFunction` interface from Presto's SPI (Service Provider Interface). The function uses a local variable named `ra` to store the current rank value. When invoked, it sets the block builder's position to</t>
        </is>
      </c>
      <c r="E1370" t="n">
        <v>0.004</v>
      </c>
      <c r="F1370" t="n">
        <v>0.0625</v>
      </c>
      <c r="G1370" t="n">
        <v>0.119</v>
      </c>
      <c r="H1370" t="inlineStr">
        <is>
          <t>This code defines a custom ranking window function called `CustomRank` that takes no arguments and returns a bigint value. It belongs to the `com.facebook.presto.tests` package. The `RankingWindowFunction` interface is implemented, which allows it to be used as a window function in SQL queries. The function's implementation is written in Java and uses the</t>
        </is>
      </c>
      <c r="I1370" t="n">
        <v>0.0041</v>
      </c>
      <c r="J1370" t="n">
        <v>0.1231</v>
      </c>
      <c r="K1370" t="n">
        <v>0.16</v>
      </c>
      <c r="L1370" t="inlineStr">
        <is>
          <t>The provided code defines a custom ranking window function called `CustomRank` that takes no arguments and returns a `long`. It uses the `com.facebook.presto.common.block.BlockBuilder` class to build a block of data, and it implements the `RankingWindowFunction` interface from Presto's SPI (Service Provider Interface). The function appears</t>
        </is>
      </c>
      <c r="M1370" t="n">
        <v>0.0049</v>
      </c>
      <c r="N1370" t="n">
        <v>0.0678</v>
      </c>
      <c r="O1370" t="n">
        <v>0.1282</v>
      </c>
    </row>
    <row r="1371">
      <c r="A1371" t="inlineStr">
        <is>
          <t>presto</t>
        </is>
      </c>
      <c r="B1371" t="inlineStr">
        <is>
          <t>presto-tests/src/main/java/com/facebook/presto/tests/H2ConnectionModule.java</t>
        </is>
      </c>
      <c r="C1371">
        <f>HYPERLINK("https://github.com/prestodb/presto/blob/master/presto-tests/src/main/java/com/facebook/presto/tests/H2ConnectionModule.java")</f>
        <v/>
      </c>
      <c r="D1371" t="inlineStr">
        <is>
          <t>This code appears to be part of a Presto project, which is an open-source distributed SQL query engine. The `com.facebook.presto` package is used throughout the code, indicating that it is part of the Presto framework.
The code defines several classes related to configuring and managing function namespaces, which appear to be a feature of Presto that allows</t>
        </is>
      </c>
      <c r="E1371" t="n">
        <v>0.0038</v>
      </c>
      <c r="F1371" t="n">
        <v>0.0588</v>
      </c>
      <c r="G1371" t="n">
        <v>0.1163</v>
      </c>
      <c r="H1371" t="inlineStr">
        <is>
          <t>This code defines a Guice module that provides bindings for the Presto function namespace manager. The module uses the `AbstractConfigurationAwareModule` class to configure the bindings based on the configuration properties defined in the `MySqlFunctionNamespaceManagerConfig` class. It also includes a `PreDestroy` method that shuts down the MySQL connection pool when the application is stopped.</t>
        </is>
      </c>
      <c r="I1371" t="n">
        <v>0.0041</v>
      </c>
      <c r="J1371" t="n">
        <v>0.0984</v>
      </c>
      <c r="K1371" t="n">
        <v>0.12</v>
      </c>
      <c r="L1371" t="inlineStr">
        <is>
          <t>The provided code defines a Guice module that configures Presto's function namespace manager using MySQL as the underlying database. It provides implementations for several interfaces related to managing functions, including `FunctionNamespaceDao` and `MySqlFunctionNamespaceManagerConfig`. Additionally, the module includes a shutdown hook that cleans up any resources allocated during initialization.</t>
        </is>
      </c>
      <c r="M1371" t="n">
        <v>0.0045</v>
      </c>
      <c r="N1371" t="n">
        <v>0.1404</v>
      </c>
      <c r="O1371" t="n">
        <v>0.1667</v>
      </c>
    </row>
    <row r="1372">
      <c r="A1372" t="inlineStr">
        <is>
          <t>presto</t>
        </is>
      </c>
      <c r="B1372" t="inlineStr">
        <is>
          <t>presto-tests/src/main/java/com/facebook/presto/tests/H2ConnectionConfig.java</t>
        </is>
      </c>
      <c r="C1372">
        <f>HYPERLINK("https://github.com/prestodb/presto/blob/master/presto-tests/src/main/java/com/facebook/presto/tests/H2ConnectionConfig.java")</f>
        <v/>
      </c>
      <c r="D1372" t="inlineStr">
        <is>
          <t>The provided code defines a configuration class called `H2ConnectionConfig` that specifies the name of the H2 database used for testing purposes. It uses the Airlift configuration framework to define the properties that can be configured using environment variables or a configuration file. The `getDatabaseName()` method returns the value of the `databaseName` property, which defaults to "test". The `</t>
        </is>
      </c>
      <c r="E1372" t="n">
        <v>0</v>
      </c>
      <c r="F1372" t="n">
        <v>0</v>
      </c>
      <c r="G1372" t="n">
        <v>0.0385</v>
      </c>
      <c r="H1372" t="inlineStr">
        <is>
          <t>This code defines a configuration object for connecting to a H2 database. The `H2ConnectionConfig` class has a single property, `databaseName`, which can be set using the `@Config` annotation. The `getDatabaseName()` method returns the current value of `databaseName`, while the `setDatabaseName()` method sets it and returns the updated instance.</t>
        </is>
      </c>
      <c r="I1372" t="n">
        <v>0.0045</v>
      </c>
      <c r="J1372" t="n">
        <v>0.07140000000000001</v>
      </c>
      <c r="K1372" t="n">
        <v>0.125</v>
      </c>
      <c r="L1372" t="inlineStr">
        <is>
          <t>The provided code defines a configuration class for connecting to a H2 database named `H2ConnectionConfig`. It has one property, `databaseName`, which can be configured using the `@Config` annotation.</t>
        </is>
      </c>
      <c r="M1372" t="n">
        <v>0</v>
      </c>
      <c r="N1372" t="n">
        <v>0</v>
      </c>
      <c r="O1372" t="n">
        <v>0.05</v>
      </c>
    </row>
    <row r="1373">
      <c r="A1373" t="inlineStr">
        <is>
          <t>presto</t>
        </is>
      </c>
      <c r="B1373" t="inlineStr">
        <is>
          <t>presto-tests/src/main/java/com/facebook/presto/tests/AbstractTestOrderByQueries.java</t>
        </is>
      </c>
      <c r="C1373">
        <f>HYPERLINK("https://github.com/prestodb/presto/blob/master/presto-tests/src/main/java/com/facebook/presto/tests/AbstractTestOrderByQueries.java")</f>
        <v/>
      </c>
      <c r="D1373" t="inlineStr">
        <is>
          <t>This code appears to be part of a Presto SQL query engine test suite. It defines a series of tests that verify the correctness of certain features of the Presto system. The tests include checking whether the `distributedSort` and `exploitConstraints` session properties work correctly, as well as testing the performance of various queries using different data types. The code also includes some utility</t>
        </is>
      </c>
      <c r="E1373" t="n">
        <v>0.0034</v>
      </c>
      <c r="F1373" t="n">
        <v>0.0563</v>
      </c>
      <c r="G1373" t="n">
        <v>0.1111</v>
      </c>
      <c r="H1373" t="inlineStr">
        <is>
          <t>This code appears to be part of a Presto database management system, specifically the test suite. It defines a number of tests that exercise various aspects of the system's behavior, including query optimization and execution. The code imports several classes from other packages within the same project, such as `com.facebook.presto.Session` and `com.facebook.presto.testing.Material</t>
        </is>
      </c>
      <c r="I1373" t="n">
        <v>0.0042</v>
      </c>
      <c r="J1373" t="n">
        <v>0.0588</v>
      </c>
      <c r="K1373" t="n">
        <v>0.121</v>
      </c>
      <c r="L1373" t="inlineStr">
        <is>
          <t>The provided code defines a test case for Presto's query engine using TestNG annotations. It creates a session object with two system properties set, DISTRIBUTED_SORT and EXPLOIT_CONSTRAINTS, and then executes a SELECT statement on a materialized result table that has been created earlier in the code. The resulting MaterializedResult object is</t>
        </is>
      </c>
      <c r="M1373" t="n">
        <v>0.0036</v>
      </c>
      <c r="N1373" t="n">
        <v>0.0323</v>
      </c>
      <c r="O1373" t="n">
        <v>0.0813</v>
      </c>
    </row>
    <row r="1374">
      <c r="A1374" t="inlineStr">
        <is>
          <t>presto</t>
        </is>
      </c>
      <c r="B1374" t="inlineStr">
        <is>
          <t>presto-tests/src/main/java/com/facebook/presto/tests/TestingPrestoClient.java</t>
        </is>
      </c>
      <c r="C1374">
        <f>HYPERLINK("https://github.com/prestodb/presto/blob/master/presto-tests/src/main/java/com/facebook/presto/tests/TestingPrestoClient.java")</f>
        <v/>
      </c>
      <c r="D1374" t="inlineStr">
        <is>
          <t>This code defines a Java class named `PrestoTests` that provides various utility methods for testing Presto. The class imports several packages from the Presto project, including `com.facebook.presto`, `com.facebook.presto.client`, and `com.facebook.presto.common`. It also includes several constants such as `SESSION_ID` and `QUERY</t>
        </is>
      </c>
      <c r="E1374" t="n">
        <v>0.0055</v>
      </c>
      <c r="F1374" t="n">
        <v>0.0702</v>
      </c>
      <c r="G1374" t="n">
        <v>0.0893</v>
      </c>
      <c r="H1374" t="inlineStr">
        <is>
          <t>This code appears to be part of a Presto database management system, specifically the test suite for the system. It defines several classes and methods related to query execution and data manipulation. The main class, `PrestoTest`, provides a way to execute queries against a Presto server and retrieve the results as a `QueryData` object. Other classes in the package provide support for various types</t>
        </is>
      </c>
      <c r="I1374" t="n">
        <v>0.0034</v>
      </c>
      <c r="J1374" t="n">
        <v>0.0556</v>
      </c>
      <c r="K1374" t="n">
        <v>0.1103</v>
      </c>
      <c r="L1374" t="inlineStr">
        <is>
          <t>The provided code defines a class named `PrestoTest` that provides methods for testing Presto's SQL query engine. It imports various classes from the Presto package, including `Session`, `QueryData`, `QueryStatusInfo`, `TransactionId`, `ArrayType`, and `BigintEnumType`. The class also has several fields, such as `session`, `queryData`,</t>
        </is>
      </c>
      <c r="M1374" t="n">
        <v>0.0043</v>
      </c>
      <c r="N1374" t="n">
        <v>0.0385</v>
      </c>
      <c r="O1374" t="n">
        <v>0.0435</v>
      </c>
    </row>
    <row r="1375">
      <c r="A1375" t="inlineStr">
        <is>
          <t>presto</t>
        </is>
      </c>
      <c r="B1375" t="inlineStr">
        <is>
          <t>presto-tests/src/main/java/com/facebook/presto/tests/ResultsSession.java</t>
        </is>
      </c>
      <c r="C1375">
        <f>HYPERLINK("https://github.com/prestodb/presto/blob/master/presto-tests/src/main/java/com/facebook/presto/tests/ResultsSession.java")</f>
        <v/>
      </c>
      <c r="D1375" t="inlineStr">
        <is>
          <t>The code defines an interface named `ResultsSession` that provides methods for working with query results. It has one method, `setUpdateInfo`, which takes an object of type `UpdateInfo`. This method does nothing but throw an exception, indicating that it is not implemented.</t>
        </is>
      </c>
      <c r="E1375" t="n">
        <v>0.0045</v>
      </c>
      <c r="F1375" t="n">
        <v>0.08160000000000001</v>
      </c>
      <c r="G1375" t="n">
        <v>0.0885</v>
      </c>
      <c r="H1375" t="inlineStr">
        <is>
          <t>The `ResultsSession` interface defines a generic session object that provides access to the results of a query execution. It has several methods that allow clients to retrieve information about the query, such as its status, warnings, and update info. Additionally, it allows clients to get the results of the query in various formats, such as JSON or CSV. The interface also includes some utility methods for working with</t>
        </is>
      </c>
      <c r="I1375" t="n">
        <v>0.0027</v>
      </c>
      <c r="J1375" t="n">
        <v>0.0263</v>
      </c>
      <c r="K1375" t="n">
        <v>0.07140000000000001</v>
      </c>
      <c r="L1375" t="inlineStr">
        <is>
          <t>The `ResultsSession` interface defines methods for working with query results. It provides a way to retrieve the query data, status, warnings, and update info. The interface also includes a method for setting the update info.</t>
        </is>
      </c>
      <c r="M1375" t="n">
        <v>0.0053</v>
      </c>
      <c r="N1375" t="n">
        <v>0.0465</v>
      </c>
      <c r="O1375" t="n">
        <v>0.0935</v>
      </c>
    </row>
    <row r="1376">
      <c r="A1376" t="inlineStr">
        <is>
          <t>presto</t>
        </is>
      </c>
      <c r="B1376" t="inlineStr">
        <is>
          <t>presto-tests/src/main/java/com/facebook/presto/tests/AbstractTestDistributedQueries.java</t>
        </is>
      </c>
      <c r="C1376">
        <f>HYPERLINK("https://github.com/prestodb/presto/blob/master/presto-tests/src/main/java/com/facebook/presto/tests/AbstractTestDistributedQueries.java")</f>
        <v/>
      </c>
      <c r="D1376" t="inlineStr">
        <is>
          <t>This code appears to be part of a Presto SQL database management system. It defines several classes and interfaces related to query execution and testing. The main class, `PrestoTests`, extends the `Test` class from the Airlift framework and provides some basic test cases for Presto's query engine. The `QueryManager` interface is used to manage queries, while the `Dispatch</t>
        </is>
      </c>
      <c r="E1376" t="n">
        <v>0.0037</v>
      </c>
      <c r="F1376" t="n">
        <v>0.0597</v>
      </c>
      <c r="G1376" t="n">
        <v>0.1154</v>
      </c>
      <c r="H1376" t="inlineStr">
        <is>
          <t>This code appears to be part of a Presto database management system. It defines classes and methods related to query execution and management, including a `Dispatcher` class that manages the distribution of queries across multiple nodes, a `QueryManager` class that manages the lifecycle of queries, and a `BasicQueryInfo` class that provides information about a query's status and progress. The</t>
        </is>
      </c>
      <c r="I1376" t="n">
        <v>0.0037</v>
      </c>
      <c r="J1376" t="n">
        <v>0.0588</v>
      </c>
      <c r="K1376" t="n">
        <v>0.1145</v>
      </c>
      <c r="L1376" t="inlineStr">
        <is>
          <t>The provided code is a Java class named `TestQueryManager` that implements the `QueryManager` interface from Presto's dispatcher module. It provides methods for managing queries, such as creating new queries, retrieving query info, and canceling queries. The class also includes some utility functions for working with sessions and durations.
The main purpose of the class seems to</t>
        </is>
      </c>
      <c r="M1376" t="n">
        <v>0.0039</v>
      </c>
      <c r="N1376" t="n">
        <v>0.09229999999999999</v>
      </c>
      <c r="O1376" t="n">
        <v>0.1172</v>
      </c>
    </row>
    <row r="1377">
      <c r="A1377" t="inlineStr">
        <is>
          <t>presto</t>
        </is>
      </c>
      <c r="B1377" t="inlineStr">
        <is>
          <t>presto-tests/src/main/java/com/facebook/presto/tests/TestingCoordinatorPlugin.java</t>
        </is>
      </c>
      <c r="C1377">
        <f>HYPERLINK("https://github.com/prestodb/presto/blob/master/presto-tests/src/main/java/com/facebook/presto/tests/TestingCoordinatorPlugin.java")</f>
        <v/>
      </c>
      <c r="D1377" t="inlineStr">
        <is>
          <t>The `TestingCoordinatorPlugin` class is a custom implementation of the `CoordinatorPlugin` interface from PrestoDB. It provides a set of functions that can be used to extend the behavior of PrestoDB's coordinator node.
The `getFunctionNamespaceManagerFactories()` method returns an iterable collection of `FunctionNamespaceManagerFactory` objects, which</t>
        </is>
      </c>
      <c r="E1377" t="n">
        <v>0</v>
      </c>
      <c r="F1377" t="n">
        <v>0.0784</v>
      </c>
      <c r="G1377" t="n">
        <v>0.0877</v>
      </c>
      <c r="H1377" t="inlineStr">
        <is>
          <t>This code defines a custom implementation of the `CoordinatorPlugin` interface from PrestoDB's testing framework. The plugin provides a set of functions for interacting with the database, including creating and managing function namespaces. It also includes a factory method for instantiating the plugin.</t>
        </is>
      </c>
      <c r="I1377" t="n">
        <v>0.0052</v>
      </c>
      <c r="J1377" t="n">
        <v>0.1569</v>
      </c>
      <c r="K1377" t="n">
        <v>0.1754</v>
      </c>
      <c r="L1377" t="inlineStr">
        <is>
          <t>The `TestingCoordinatorPlugin` class is a Presto coordinator plugin that provides a set of functions for testing purposes. It defines a single method, `getFunctionNamespaceManagerFactories`, which returns an iterable of function namespace manager factories.</t>
        </is>
      </c>
      <c r="M1377" t="n">
        <v>0</v>
      </c>
      <c r="N1377" t="n">
        <v>0.05</v>
      </c>
      <c r="O1377" t="n">
        <v>0.0481</v>
      </c>
    </row>
    <row r="1378">
      <c r="A1378" t="inlineStr">
        <is>
          <t>presto</t>
        </is>
      </c>
      <c r="B1378" t="inlineStr">
        <is>
          <t>presto-tests/src/main/java/com/facebook/presto/tests/QueryAssertions.java</t>
        </is>
      </c>
      <c r="C1378">
        <f>HYPERLINK("https://github.com/prestodb/presto/blob/master/presto-tests/src/main/java/com/facebook/presto/tests/QueryAssertions.java")</f>
        <v/>
      </c>
      <c r="D1378" t="inlineStr">
        <is>
          <t>This code appears to be part of a Presto SQL query engine test suite. It defines several classes and interfaces related to testing the Presto query engine. The main class `PrestoTest` extends the `AbstractTestQueries` class from the Airlift library, which provides common functionality for running tests against a database. The `PrestoTest` class overrides some methods to provide</t>
        </is>
      </c>
      <c r="E1378" t="n">
        <v>0.0042</v>
      </c>
      <c r="F1378" t="n">
        <v>0.0615</v>
      </c>
      <c r="G1378" t="n">
        <v>0.1163</v>
      </c>
      <c r="H1378" t="inlineStr">
        <is>
          <t>This repository contains the source code for Presto, a distributed SQL query engine that allows users to run queries across large datasets stored in various data sources such as Hive, MySQL, and S3. The code is written in Java and uses the Airframe library for logging and other utility functions.
The main class of interest is `com.facebook.presto.Presto`, which</t>
        </is>
      </c>
      <c r="I1378" t="n">
        <v>0.0037</v>
      </c>
      <c r="J1378" t="n">
        <v>0.058</v>
      </c>
      <c r="K1378" t="n">
        <v>0.1154</v>
      </c>
      <c r="L1378" t="inlineStr">
        <is>
          <t>The provided code defines a class named `TestingPresto` that provides various methods for testing Presto's query engine. It imports several packages from Presto's internal modules, including `com.facebook.airlift.log`, `com.facebook.airlift.units`, `com.facebook.presto.common`, `com.facebook.presto</t>
        </is>
      </c>
      <c r="M1378" t="n">
        <v>0</v>
      </c>
      <c r="N1378" t="n">
        <v>0.0392</v>
      </c>
      <c r="O1378" t="n">
        <v>0</v>
      </c>
    </row>
    <row r="1379">
      <c r="A1379" t="inlineStr">
        <is>
          <t>presto</t>
        </is>
      </c>
      <c r="B1379" t="inlineStr">
        <is>
          <t>presto-tests/src/main/java/com/facebook/presto/tests/CustomSum.java</t>
        </is>
      </c>
      <c r="C1379">
        <f>HYPERLINK("https://github.com/prestodb/presto/blob/master/presto-tests/src/main/java/com/facebook/presto/tests/CustomSum.java")</f>
        <v/>
      </c>
      <c r="D1379" t="inlineStr">
        <is>
          <t>The code defines an aggregation function called `sum` that takes a single long input value and returns its sum across all calls to the function. The implementation uses the `NullableLongState` class from Presto's operator package to store the running sum as it processes each call to the function. The `combine` method combines two states into one, while the `output`</t>
        </is>
      </c>
      <c r="E1379" t="n">
        <v>0.0031</v>
      </c>
      <c r="F1379" t="n">
        <v>0.0588</v>
      </c>
      <c r="G1379" t="n">
        <v>0.1527</v>
      </c>
      <c r="H1379" t="inlineStr">
        <is>
          <t>This code defines an aggregation function that takes a `com.facebook.presto.common.type.BigintType` input and returns a `long` value representing the sum of all values passed to it. The function uses the `com.facebook.presto.operator.aggregation.state.NullableLongState` class as its state object, which stores the current sum</t>
        </is>
      </c>
      <c r="I1379" t="n">
        <v>0.0055</v>
      </c>
      <c r="J1379" t="n">
        <v>0.1017</v>
      </c>
      <c r="K1379" t="n">
        <v>0.1786</v>
      </c>
      <c r="L1379" t="inlineStr">
        <is>
          <t>The provided code defines an aggregation function named `sum` that takes a long input value and returns the sum of all values passed to it as a nullable long. The function uses the `com.facebook.presto.common.type.BigintType` class to represent the output type, which is a signed 64-bit integer.
The function's implementation</t>
        </is>
      </c>
      <c r="M1379" t="n">
        <v>0.0037</v>
      </c>
      <c r="N1379" t="n">
        <v>0.0625</v>
      </c>
      <c r="O1379" t="n">
        <v>0.1653</v>
      </c>
    </row>
    <row r="1380">
      <c r="A1380" t="inlineStr">
        <is>
          <t>presto</t>
        </is>
      </c>
      <c r="B1380" t="inlineStr">
        <is>
          <t>presto-tests/src/main/java/com/facebook/presto/tests/TestingProcedures.java</t>
        </is>
      </c>
      <c r="C1380">
        <f>HYPERLINK("https://github.com/prestodb/presto/blob/master/presto-tests/src/main/java/com/facebook/presto/tests/TestingProcedures.java")</f>
        <v/>
      </c>
      <c r="D1380" t="inlineStr">
        <is>
          <t>The provided code defines a `Procedure` class that represents a procedure in Presto's connector system. It has several methods, including a constructor, getters, setters, and a method called `execute`. The `execute` method takes a `ConnectorSession` object as input and returns a list of procedures. The `ProcedureTester` class is also defined in</t>
        </is>
      </c>
      <c r="E1380" t="n">
        <v>0.0036</v>
      </c>
      <c r="F1380" t="n">
        <v>0.0333</v>
      </c>
      <c r="G1380" t="n">
        <v>0.0407</v>
      </c>
      <c r="H1380" t="inlineStr">
        <is>
          <t>This code defines a Java package called `com.facebook.presto.tests` that contains classes and methods related to testing Presto's backend software components. The package includes a class called `ProcedureTester` that provides a way to test procedures, which are functions that can be executed within the Presto system. The `ProcedureTester` class has several methods that allow</t>
        </is>
      </c>
      <c r="I1380" t="n">
        <v>0.0045</v>
      </c>
      <c r="J1380" t="n">
        <v>0.09229999999999999</v>
      </c>
      <c r="K1380" t="n">
        <v>0.16</v>
      </c>
      <c r="L1380" t="inlineStr">
        <is>
          <t>The provided code defines a class named `ProcedureTester` that provides utility methods for testing procedures in Presto. It imports several packages from the Presto framework, including `com.facebook.presto.spi`, `com.facebook.presto.testing`, and `com.google.common.collect`.
The class has one method called `testProcedure`</t>
        </is>
      </c>
      <c r="M1380" t="n">
        <v>0.005</v>
      </c>
      <c r="N1380" t="n">
        <v>0.037</v>
      </c>
      <c r="O1380" t="n">
        <v>0.0459</v>
      </c>
    </row>
    <row r="1381">
      <c r="A1381" t="inlineStr">
        <is>
          <t>presto</t>
        </is>
      </c>
      <c r="B1381" t="inlineStr">
        <is>
          <t>presto-tests/src/main/java/com/facebook/presto/tests/AbstractTestIndexedQueries.java</t>
        </is>
      </c>
      <c r="C1381">
        <f>HYPERLINK("https://github.com/prestodb/presto/blob/master/presto-tests/src/main/java/com/facebook/presto/tests/AbstractTestIndexedQueries.java")</f>
        <v/>
      </c>
      <c r="D1381" t="inlineStr">
        <is>
          <t>This code defines a test suite for Presto's TPC-H benchmarking framework. It includes several tests that verify the correctness of various aspects of the system, such as query execution, data types, and join operations. The code also includes some utility classes and methods for generating test data and running queries against the system. Overall, it seems like this code is focused on testing</t>
        </is>
      </c>
      <c r="E1381" t="n">
        <v>0.0034</v>
      </c>
      <c r="F1381" t="n">
        <v>0.0548</v>
      </c>
      <c r="G1381" t="n">
        <v>0.1111</v>
      </c>
      <c r="H1381" t="inlineStr">
        <is>
          <t>The code defines a Presto test suite that tests various aspects of the Presto query engine. It imports several classes from the `com.facebook.presto` package, including `Session`, `MaterializedResult`, `TpchIndexSpec`, and `TpchMetadata`. It also uses annotations from the `org.testng.annotations` package.
The main</t>
        </is>
      </c>
      <c r="I1381" t="n">
        <v>0.0046</v>
      </c>
      <c r="J1381" t="n">
        <v>0.0385</v>
      </c>
      <c r="K1381" t="n">
        <v>0.0893</v>
      </c>
      <c r="L1381" t="inlineStr">
        <is>
          <t>The provided Java code defines a test case for Presto's TPC-H benchmarking suite. It uses the `com.facebook.presto` package and imports various classes from other packages within the same project.
The test method `testJoinQuery()` takes no arguments and returns nothing. Its primary function appears to be to execute a query against the TPC-H dataset</t>
        </is>
      </c>
      <c r="M1381" t="n">
        <v>0.0035</v>
      </c>
      <c r="N1381" t="n">
        <v>0.0303</v>
      </c>
      <c r="O1381" t="n">
        <v>0.08</v>
      </c>
    </row>
    <row r="1382">
      <c r="A1382" t="inlineStr">
        <is>
          <t>presto</t>
        </is>
      </c>
      <c r="B1382" t="inlineStr">
        <is>
          <t>presto-tests/src/main/java/com/facebook/presto/tests/AbstractTestEngineOnlyQueries.java</t>
        </is>
      </c>
      <c r="C1382">
        <f>HYPERLINK("https://github.com/prestodb/presto/blob/master/presto-tests/src/main/java/com/facebook/presto/tests/AbstractTestEngineOnlyQueries.java")</f>
        <v/>
      </c>
      <c r="D1382" t="inlineStr">
        <is>
          <t>The provided code defines a `com.facebook.presto.tests` package that includes several classes related to testing Presto's functionality. The main class, `PrestoTests`, extends `AbstractTestQueryFramework` from the same package and provides methods for executing SQL queries against a Presto server. It also includes a `main` method that sets up a test environment and runs some</t>
        </is>
      </c>
      <c r="E1382" t="n">
        <v>0.0035</v>
      </c>
      <c r="F1382" t="n">
        <v>0.0625</v>
      </c>
      <c r="G1382" t="n">
        <v>0.0806</v>
      </c>
      <c r="H1382" t="inlineStr">
        <is>
          <t>This code defines a Java package named `com.facebook.presto.tests` that contains classes and methods related to testing Presto's backend software components. The package includes several files, including a README file that describes the purpose of the package and its contents, as well as several source code files that define classes and methods used for testing.
The main class defined in</t>
        </is>
      </c>
      <c r="I1382" t="n">
        <v>0.0041</v>
      </c>
      <c r="J1382" t="n">
        <v>0.08450000000000001</v>
      </c>
      <c r="K1382" t="n">
        <v>0.1527</v>
      </c>
      <c r="L1382" t="inlineStr">
        <is>
          <t>The provided code defines a test case for Presto's date and time functions using TestNG annotations. It imports various classes from the Presto framework, including Session, TimeZoneKey, LocalDate, LocalDateTime, LocalTime, OffsetTime, ZoneId, ZoneOffset, ZonedDateTime, and DatetimeFormatter. The test case creates a session object and sets the time zone to</t>
        </is>
      </c>
      <c r="M1382" t="n">
        <v>0.0037</v>
      </c>
      <c r="N1382" t="n">
        <v>0.06900000000000001</v>
      </c>
      <c r="O1382" t="n">
        <v>0.08260000000000001</v>
      </c>
    </row>
    <row r="1383">
      <c r="A1383" t="inlineStr">
        <is>
          <t>presto</t>
        </is>
      </c>
      <c r="B1383" t="inlineStr">
        <is>
          <t>presto-tests/src/main/java/com/facebook/presto/tests/AbstractTestVerboseMemoryExceededErrors.java</t>
        </is>
      </c>
      <c r="C1383">
        <f>HYPERLINK("https://github.com/prestodb/presto/blob/master/presto-tests/src/main/java/com/facebook/presto/tests/AbstractTestVerboseMemoryExceededErrors.java")</f>
        <v/>
      </c>
      <c r="D1383" t="inlineStr">
        <is>
          <t>This Java code appears to be part of a Presto test suite. It defines several classes related to testing and benchmarking Presto's performance. The `com.facebook.presto.tests` package contains various classes that implement different aspects of Presto's behavior, such as aggregation operators (`HashAggregationOperator`, `HashBuilderOperator`) and window functions (`WindowOperator</t>
        </is>
      </c>
      <c r="E1383" t="n">
        <v>0.0048</v>
      </c>
      <c r="F1383" t="n">
        <v>0.1017</v>
      </c>
      <c r="G1383" t="n">
        <v>0.1695</v>
      </c>
      <c r="H1383" t="inlineStr">
        <is>
          <t>This code defines a Java package called `com.facebook.presto.tests` that contains various classes and methods related to testing Presto's backend software components. The package includes several files, including a README file that describes the purpose of the project, a LICENSE file that specifies the license under which the code is released, and several source code files containing the</t>
        </is>
      </c>
      <c r="I1383" t="n">
        <v>0.0042</v>
      </c>
      <c r="J1383" t="n">
        <v>0.08699999999999999</v>
      </c>
      <c r="K1383" t="n">
        <v>0.1163</v>
      </c>
      <c r="L1383" t="inlineStr">
        <is>
          <t>The provided code defines a test case for Presto's window operator. It imports various classes from the Presto framework, including `Session`, `HashAggregationOperator`, `HashBuilderOperator`, `TaskMemoryReservationSummary`, and `WindowOperator`. The test case uses these classes to create a mock session, define a query, and execute the query using the window operator. The</t>
        </is>
      </c>
      <c r="M1383" t="n">
        <v>0.0037</v>
      </c>
      <c r="N1383" t="n">
        <v>0.0345</v>
      </c>
      <c r="O1383" t="n">
        <v>0.08260000000000001</v>
      </c>
    </row>
    <row r="1384">
      <c r="A1384" t="inlineStr">
        <is>
          <t>presto</t>
        </is>
      </c>
      <c r="B1384" t="inlineStr">
        <is>
          <t>presto-tests/src/main/java/com/facebook/presto/tests/AbstractTestWindowQueries.java</t>
        </is>
      </c>
      <c r="C1384">
        <f>HYPERLINK("https://github.com/prestodb/presto/blob/master/presto-tests/src/main/java/com/facebook/presto/tests/AbstractTestWindowQueries.java")</f>
        <v/>
      </c>
      <c r="D1384" t="inlineStr">
        <is>
          <t>This code appears to be part of a Presto testing framework. It defines several classes and methods related to data types and materialization of results from queries. The main class `com.facebook.presto.tests.MaterializedResult` represents the result of a query execution as a set of rows, where each row consists of columns of different types. The class has several methods for working with</t>
        </is>
      </c>
      <c r="E1384" t="n">
        <v>0.0036</v>
      </c>
      <c r="F1384" t="n">
        <v>0.0556</v>
      </c>
      <c r="G1384" t="n">
        <v>0.1136</v>
      </c>
      <c r="H1384" t="inlineStr">
        <is>
          <t>This code defines a Java package called `com.facebook.presto.tests` that provides various test cases for Presto's backend software components. The package includes several classes and interfaces, each of which implements a different aspect of Presto's functionality.
The main class in the package is `PrestoTests`, which is annotated with `@Test`. It contains a number</t>
        </is>
      </c>
      <c r="I1384" t="n">
        <v>0.005</v>
      </c>
      <c r="J1384" t="n">
        <v>0.1231</v>
      </c>
      <c r="K1384" t="n">
        <v>0.1613</v>
      </c>
      <c r="L1384" t="inlineStr">
        <is>
          <t>The provided code is part of a test suite for PrestoDB, a distributed SQL query engine. It defines a unit test that verifies the correctness of a materialized result object's implementation.
The test creates a materialized result object using the `MaterializedResult` class from the `com.facebook.presto.testing` package. It then sets up some sample</t>
        </is>
      </c>
      <c r="M1384" t="n">
        <v>0</v>
      </c>
      <c r="N1384" t="n">
        <v>0.0312</v>
      </c>
      <c r="O1384" t="n">
        <v>0.0403</v>
      </c>
    </row>
    <row r="1385">
      <c r="A1385" t="inlineStr">
        <is>
          <t>presto</t>
        </is>
      </c>
      <c r="B1385" t="inlineStr">
        <is>
          <t>presto-tests/src/main/java/com/facebook/presto/tests/H2FunctionNamespaceManagerFactory.java</t>
        </is>
      </c>
      <c r="C1385">
        <f>HYPERLINK("https://github.com/prestodb/presto/blob/master/presto-tests/src/main/java/com/facebook/presto/tests/H2FunctionNamespaceManagerFactory.java")</f>
        <v/>
      </c>
      <c r="D1385" t="inlineStr">
        <is>
          <t>This code appears to be a Java application that uses the Presto framework for querying data stored in various sources such as MySQL databases. The code imports several modules from the Presto library, including `com.facebook.airlift.bootstrap`, `com.facebook.drift.transport.netty.client`, and `com.facebook.presto.functionNamespace`. It also</t>
        </is>
      </c>
      <c r="E1385" t="n">
        <v>0.0055</v>
      </c>
      <c r="F1385" t="n">
        <v>0.1017</v>
      </c>
      <c r="G1385" t="n">
        <v>0.1786</v>
      </c>
      <c r="H1385" t="inlineStr">
        <is>
          <t>The code defines a Presto server that uses Drift Netty client module to communicate with MySQL function namespace manager. It also includes Simple Address SQL Function Executors Module and MySqlFunctionNamespaceManagerModule.</t>
        </is>
      </c>
      <c r="I1385" t="n">
        <v>0.0074</v>
      </c>
      <c r="J1385" t="n">
        <v>0.1579</v>
      </c>
      <c r="K1385" t="n">
        <v>0.1471</v>
      </c>
      <c r="L1385" t="inlineStr">
        <is>
          <t>The code defines a Presto test suite that uses Drift Netty client module to communicate with a MySQL function namespace manager. It also includes Simple Address SQL function executors module and MySql Function Namespace Manager Module.</t>
        </is>
      </c>
      <c r="M1385" t="n">
        <v>0.0061</v>
      </c>
      <c r="N1385" t="n">
        <v>0.1364</v>
      </c>
      <c r="O1385" t="n">
        <v>0.1389</v>
      </c>
    </row>
    <row r="1386">
      <c r="A1386" t="inlineStr">
        <is>
          <t>presto</t>
        </is>
      </c>
      <c r="B1386" t="inlineStr">
        <is>
          <t>presto-tests/src/main/java/com/facebook/presto/tests/AbstractTestRepartitionQueries.java</t>
        </is>
      </c>
      <c r="C1386">
        <f>HYPERLINK("https://github.com/prestodb/presto/blob/master/presto-tests/src/main/java/com/facebook/presto/tests/AbstractTestRepartitionQueries.java")</f>
        <v/>
      </c>
      <c r="D1386" t="inlineStr">
        <is>
          <t>This code defines an abstract test class named `AbstractTestRepartitionQueries` that inherits from another abstract class called `AbstractTestQueryFramework`. It contains one method called `testBoolean()` which performs a query using the Presto query engine. The query uses a WITH clause to define a temporary table named `lineitem_ex`, which selects two columns (`partkey` and `</t>
        </is>
      </c>
      <c r="E1386" t="n">
        <v>0.0042</v>
      </c>
      <c r="F1386" t="n">
        <v>0.0667</v>
      </c>
      <c r="G1386" t="n">
        <v>0.121</v>
      </c>
      <c r="H1386" t="inlineStr">
        <is>
          <t>The code defines a Java package named `com.facebook.presto.tests` that contains a single abstract class named `AbstractTestRepartitionQueries`. This class inherits from another abstract class called `AbstractTestQueryFramework`. It also imports the `org.testng.annotations.Test` annotation.
The `AbstractTestRepartitionQueries` class has</t>
        </is>
      </c>
      <c r="I1386" t="n">
        <v>0.0053</v>
      </c>
      <c r="J1386" t="n">
        <v>0.0408</v>
      </c>
      <c r="K1386" t="n">
        <v>0.0467</v>
      </c>
      <c r="L1386" t="inlineStr">
        <is>
          <t>The code defines a test case for repartitioning queries using Presto's query framework. It imports the necessary classes from the `AbstractTestQueryFramework` package and defines a single test method called `testBoolean`. Within the test method, it asserts that the result of a query matches a given expected value.</t>
        </is>
      </c>
      <c r="M1386" t="n">
        <v>0.0039</v>
      </c>
      <c r="N1386" t="n">
        <v>0.0357</v>
      </c>
      <c r="O1386" t="n">
        <v>0.08400000000000001</v>
      </c>
    </row>
    <row r="1387">
      <c r="A1387" t="inlineStr">
        <is>
          <t>presto</t>
        </is>
      </c>
      <c r="B1387" t="inlineStr">
        <is>
          <t>presto-tests/src/main/java/com/facebook/presto/tests/AbstractTestSqlInvokedFunctions.java</t>
        </is>
      </c>
      <c r="C1387">
        <f>HYPERLINK("https://github.com/prestodb/presto/blob/master/presto-tests/src/main/java/com/facebook/presto/tests/AbstractTestSqlInvokedFunctions.java")</f>
        <v/>
      </c>
      <c r="D1387" t="inlineStr">
        <is>
          <t>The provided Java code defines a test class named `KeyBasedSamplingTests` that tests the functionality of key-based sampling in Presto. It imports several classes from the `com.facebook.presto` package, including `Session`, `SystemSessionProperties`, and `QueryRunner`.
The `KeyBasedSamplingTests` class has one method named `testKey</t>
        </is>
      </c>
      <c r="E1387" t="n">
        <v>0.0055</v>
      </c>
      <c r="F1387" t="n">
        <v>0.0784</v>
      </c>
      <c r="G1387" t="n">
        <v>0.0893</v>
      </c>
      <c r="H1387" t="inlineStr">
        <is>
          <t>This code is part of a Presto database management system that provides a set of tools for testing and developing new features. It includes a package called `com.facebook.presto.tests` which contains various classes and methods used for testing purposes. The code also defines several constants and functions related to key-based sampling, which is a technique used to improve the performance of certain queries by reducing</t>
        </is>
      </c>
      <c r="I1387" t="n">
        <v>0.0034</v>
      </c>
      <c r="J1387" t="n">
        <v>0.0526</v>
      </c>
      <c r="K1387" t="n">
        <v>0.1103</v>
      </c>
      <c r="L1387" t="inlineStr">
        <is>
          <t>The provided code defines a test class named `KeyBasedSamplingTests` that tests the functionality of Presto's key-based sampling feature. It uses the TestNG framework to write unit tests for the feature. The test class sets up a session object with the necessary system properties set and then runs several queries using the `executeQuery()` method. The queries are designed to exercise different</t>
        </is>
      </c>
      <c r="M1387" t="n">
        <v>0.0036</v>
      </c>
      <c r="N1387" t="n">
        <v>0.0571</v>
      </c>
      <c r="O1387" t="n">
        <v>0.07580000000000001</v>
      </c>
    </row>
    <row r="1388">
      <c r="A1388" t="inlineStr">
        <is>
          <t>presto</t>
        </is>
      </c>
      <c r="B1388" t="inlineStr">
        <is>
          <t>presto-tests/src/main/java/com/facebook/presto/tests/AbstractTestNativeTpchConnectorQueries.java</t>
        </is>
      </c>
      <c r="C1388">
        <f>HYPERLINK("https://github.com/prestodb/presto/blob/master/presto-tests/src/main/java/com/facebook/presto/tests/AbstractTestNativeTpchConnectorQueries.java")</f>
        <v/>
      </c>
      <c r="D1388" t="inlineStr">
        <is>
          <t>This code defines an abstract base class called `AbstractTestNativeTpchConnectorQueries` that provides a set of tests for querying a Presto database using the TPC-H benchmark suite. The class inherits from `AbstractTestQueryFramework`, which provides a framework for running SQL queries against a database.
The `testTpchTinyTables()` method runs</t>
        </is>
      </c>
      <c r="E1388" t="n">
        <v>0.0041</v>
      </c>
      <c r="F1388" t="n">
        <v>0.037</v>
      </c>
      <c r="G1388" t="n">
        <v>0.08550000000000001</v>
      </c>
      <c r="H1388" t="inlineStr">
        <is>
          <t>This code defines a Java package called `com.facebook.presto.tests` that contains a single abstract class named `AbstractTestNativeTpchConnectorQueries`. The class has one method annotated with `@Test`, which runs a series of queries against a database using Presto, a query engine for big data. The queries are defined as part of the code itself, rather</t>
        </is>
      </c>
      <c r="I1388" t="n">
        <v>0.0035</v>
      </c>
      <c r="J1388" t="n">
        <v>0.0317</v>
      </c>
      <c r="K1388" t="n">
        <v>0.0806</v>
      </c>
      <c r="L1388" t="inlineStr">
        <is>
          <t>The provided code is part of a Presto database testing framework for TPC-H queries. It defines an abstract test class that provides a base implementation for running TPC-H queries against a native connector. The `testTpchTinyTables` method runs several TPC-H queries using the `assertQuery` method, which checks if the results match the expected values.</t>
        </is>
      </c>
      <c r="M1388" t="n">
        <v>0</v>
      </c>
      <c r="N1388" t="n">
        <v>0.0312</v>
      </c>
      <c r="O1388" t="n">
        <v>0.08</v>
      </c>
    </row>
    <row r="1389">
      <c r="A1389" t="inlineStr">
        <is>
          <t>presto</t>
        </is>
      </c>
      <c r="B1389" t="inlineStr">
        <is>
          <t>presto-tests/src/main/java/com/facebook/presto/tests/StandaloneQueryRunner.java</t>
        </is>
      </c>
      <c r="C1389">
        <f>HYPERLINK("https://github.com/prestodb/presto/blob/master/presto-tests/src/main/java/com/facebook/presto/tests/StandaloneQueryRunner.java")</f>
        <v/>
      </c>
      <c r="D1389" t="inlineStr">
        <is>
          <t>The provided code appears to be part of a Presto database management system. It defines several classes related to query execution and metadata management.
The `QueryRunner` class is responsible for executing queries against the Presto cluster. It takes a `Session` object as input, which represents the current user's session, and returns a result set containing the query results.
The `</t>
        </is>
      </c>
      <c r="E1389" t="n">
        <v>0.003</v>
      </c>
      <c r="F1389" t="n">
        <v>0.0294</v>
      </c>
      <c r="G1389" t="n">
        <v>0.07580000000000001</v>
      </c>
      <c r="H1389" t="inlineStr">
        <is>
          <t>This code appears to be part of a Presto database management system. It defines several classes and interfaces related to query execution and metadata management. The `com.facebook.presto` package is used throughout the code, indicating that it is part of Facebook's Presto project.
The main class defined in this file is `PrestoTests`, which seems to be a test suite</t>
        </is>
      </c>
      <c r="I1389" t="n">
        <v>0.0037</v>
      </c>
      <c r="J1389" t="n">
        <v>0.058</v>
      </c>
      <c r="K1389" t="n">
        <v>0.1154</v>
      </c>
      <c r="L1389" t="inlineStr">
        <is>
          <t>The provided code defines a test suite for Presto's cost calculation module using JUnit tests. It imports necessary classes from other packages within the same project, including `com.facebook.airlift.testing.Closeables`, `com.facebook.presto.common.QualifiedObjectName`, `com.facebook.presto.cost.StatsCalculator`, `com.</t>
        </is>
      </c>
      <c r="M1389" t="n">
        <v>0.006</v>
      </c>
      <c r="N1389" t="n">
        <v>0.0385</v>
      </c>
      <c r="O1389" t="n">
        <v>0.09710000000000001</v>
      </c>
    </row>
    <row r="1390">
      <c r="A1390" t="inlineStr">
        <is>
          <t>presto</t>
        </is>
      </c>
      <c r="B1390" t="inlineStr">
        <is>
          <t>presto-tests/src/main/java/com/facebook/presto/tests/CustomStructWithoutPassthrough.java</t>
        </is>
      </c>
      <c r="C1390">
        <f>HYPERLINK("https://github.com/prestodb/presto/blob/master/presto-tests/src/main/java/com/facebook/presto/tests/CustomStructWithoutPassthrough.java")</f>
        <v/>
      </c>
      <c r="D1390" t="inlineStr">
        <is>
          <t>This Java code defines a custom struct called `CustomStructWithoutPassthrough` that represents a row type without using passthrough functions. The struct has two fields: `a` and `b`, which are both of type `Block`. It also contains a constructor method that takes two arguments of type `Block`.
The code uses annotations from the Presto API</t>
        </is>
      </c>
      <c r="E1390" t="n">
        <v>0.0041</v>
      </c>
      <c r="F1390" t="n">
        <v>0.0984</v>
      </c>
      <c r="G1390" t="n">
        <v>0.12</v>
      </c>
      <c r="H1390" t="inlineStr">
        <is>
          <t>This is a Java package named `CustomStructWithoutPassthrough` that defines a custom struct type without using the passthrough method. The struct has three fields: `name`, `age`, and `address`. It also includes a constructor and getter methods for each field. The package also includes a ScalarFunction implementation for the struct.</t>
        </is>
      </c>
      <c r="I1390" t="n">
        <v>0.0045</v>
      </c>
      <c r="J1390" t="n">
        <v>0.07140000000000001</v>
      </c>
      <c r="K1390" t="n">
        <v>0.1667</v>
      </c>
      <c r="L1390" t="inlineStr">
        <is>
          <t>The provided code defines a custom struct without passthrough methods that implements the `com.facebook.presto.spi.function.ScalarFunction` interface. It takes two parameters, `left` and `right`, which are both of type `Block`. The function returns a new block that represents the result of concatenating the left and right blocks. The resulting block has the</t>
        </is>
      </c>
      <c r="M1390" t="n">
        <v>0.0044</v>
      </c>
      <c r="N1390" t="n">
        <v>0.09520000000000001</v>
      </c>
      <c r="O1390" t="n">
        <v>0.123</v>
      </c>
    </row>
    <row r="1391">
      <c r="A1391" t="inlineStr">
        <is>
          <t>presto</t>
        </is>
      </c>
      <c r="B1391" t="inlineStr">
        <is>
          <t>presto-tests/src/main/java/com/facebook/presto/tests/StructuralTestUtil.java</t>
        </is>
      </c>
      <c r="C1391">
        <f>HYPERLINK("https://github.com/prestodb/presto/blob/master/presto-tests/src/main/java/com/facebook/presto/tests/StructuralTestUtil.java")</f>
        <v/>
      </c>
      <c r="D1391" t="inlineStr">
        <is>
          <t>This code defines a set of classes and methods that implement various functionalities related to data processing and manipulation. The main class `com.facebook.presto.tests` seems to be the entry point for the program, as it contains the `main()` method that starts the execution of the program.
The code imports several packages, including `com.facebook.presto.common</t>
        </is>
      </c>
      <c r="E1391" t="n">
        <v>0.0042</v>
      </c>
      <c r="F1391" t="n">
        <v>0.1212</v>
      </c>
      <c r="G1391" t="n">
        <v>0.1613</v>
      </c>
      <c r="H1391" t="inlineStr">
        <is>
          <t>This code appears to be part of a Presto database management system, specifically the implementation of various types and functions used within the system. The code defines several classes and interfaces related to data storage and manipulation, including `Block`, `BlockBuilder`, `DecimalType`, `Decimals`, `MapType`, `RowType`, `StandardTypes`, and `Type`. These classes and interfaces</t>
        </is>
      </c>
      <c r="I1391" t="n">
        <v>0.0043</v>
      </c>
      <c r="J1391" t="n">
        <v>0.1356</v>
      </c>
      <c r="K1391" t="n">
        <v>0.1626</v>
      </c>
      <c r="L1391" t="inlineStr">
        <is>
          <t>The provided code defines a utility class for working with Presto's block data structure. It provides methods for creating blocks, building blocks, and converting between different types of blocks. The class also includes constants for common types such as integers, decimals, and maps.</t>
        </is>
      </c>
      <c r="M1391" t="n">
        <v>0.0043</v>
      </c>
      <c r="N1391" t="n">
        <v>0.0385</v>
      </c>
      <c r="O1391" t="n">
        <v>0.08699999999999999</v>
      </c>
    </row>
    <row r="1392">
      <c r="A1392" t="inlineStr">
        <is>
          <t>presto</t>
        </is>
      </c>
      <c r="B1392" t="inlineStr">
        <is>
          <t>presto-tests/src/main/java/com/facebook/presto/tests/CustomAdd.java</t>
        </is>
      </c>
      <c r="C1392">
        <f>HYPERLINK("https://github.com/prestodb/presto/blob/master/presto-tests/src/main/java/com/facebook/presto/tests/CustomAdd.java")</f>
        <v/>
      </c>
      <c r="D1392" t="inlineStr">
        <is>
          <t>This Java code defines a Scalar Function called `customAdd` that takes two parameters of type `long`, performs some computation on them, and returns their sum as a `long`. The function is annotated with `@ScalarFunction` and `@SqlType(StandardTypes.BIGINT)`, indicating that it should be treated as a scalar function and return a value of type `big</t>
        </is>
      </c>
      <c r="E1392" t="n">
        <v>0.0041</v>
      </c>
      <c r="F1392" t="n">
        <v>0.09520000000000001</v>
      </c>
      <c r="G1392" t="n">
        <v>0.2525</v>
      </c>
      <c r="H1392" t="inlineStr">
        <is>
          <t>This Java package `com.facebook.presto.tests` contains a single class named `CustomAdd`. The class has one method called `customAdd`, which takes two parameters of type `long` and returns their sum as a value of type `long`. The method is annotated with `@ScalarFunction` and `@SqlType(StandardTypes.BIGINT)`, indicating that it</t>
        </is>
      </c>
      <c r="I1392" t="n">
        <v>0.0049</v>
      </c>
      <c r="J1392" t="n">
        <v>0.06900000000000001</v>
      </c>
      <c r="K1392" t="n">
        <v>0.1282</v>
      </c>
      <c r="L1392" t="inlineStr">
        <is>
          <t>The provided code defines a Java function called `customAdd` that takes two `long` arguments and returns their sum as a `long`. The function is annotated with `@ScalarFunction`, which indicates that it should be treated as a scalar function in Presto. Additionally, the function is annotated with `@SqlType(StandardTypes.BIGINT)`, which specifies the return type</t>
        </is>
      </c>
      <c r="M1392" t="n">
        <v>0.0035</v>
      </c>
      <c r="N1392" t="n">
        <v>0.0645</v>
      </c>
      <c r="O1392" t="n">
        <v>0.121</v>
      </c>
    </row>
    <row r="1393">
      <c r="A1393" t="inlineStr">
        <is>
          <t>presto</t>
        </is>
      </c>
      <c r="B1393" t="inlineStr">
        <is>
          <t>presto-tests/src/main/java/com/facebook/presto/tests/TestTableFunctionInvocation.java</t>
        </is>
      </c>
      <c r="C1393">
        <f>HYPERLINK("https://github.com/prestodb/presto/blob/master/presto-tests/src/main/java/com/facebook/presto/tests/TestTableFunctionInvocation.java")</f>
        <v/>
      </c>
      <c r="D1393" t="inlineStr">
        <is>
          <t>This Java code defines a set of classes that implement various components used in Presto's connector framework, specifically the `TestTVFConnectorFactory` class which creates instances of `TestTVFConnectorPlugin`, `TestTVFConnectorColumnHandle`, and `TestingTableFunctions`. The `TestTVFConnectorFactory` class also imports other classes from the same</t>
        </is>
      </c>
      <c r="E1393" t="n">
        <v>0.0056</v>
      </c>
      <c r="F1393" t="n">
        <v>0.125</v>
      </c>
      <c r="G1393" t="n">
        <v>0.1802</v>
      </c>
      <c r="H1393" t="inlineStr">
        <is>
          <t>This repository contains the source code for Presto's connector plugin system. The code defines several classes related to testing table functions, including `TestTVFConnectorColumnHandle`, `TestTVFConnectorFactory`, `TestTVFConnectorPlugin`, `TestingTableFunctions`, and `SimpleTableFunction`. These classes provide the necessary infrastructure for implementing and testing table functions</t>
        </is>
      </c>
      <c r="I1393" t="n">
        <v>0.0055</v>
      </c>
      <c r="J1393" t="n">
        <v>0.1224</v>
      </c>
      <c r="K1393" t="n">
        <v>0.1786</v>
      </c>
      <c r="L1393" t="inlineStr">
        <is>
          <t>The provided code defines a Presto connector plugin that allows users to create tables using table functions. The plugin registers a new connector factory class called `TestTVFConnectorFactory` which provides access to a set of predefined table functions defined in the `TestingTableFunctions` class. These table functions can be used to create tables based on arbitrary data sources, such as CSV</t>
        </is>
      </c>
      <c r="M1393" t="n">
        <v>0</v>
      </c>
      <c r="N1393" t="n">
        <v>0.0299</v>
      </c>
      <c r="O1393" t="n">
        <v>0.0382</v>
      </c>
    </row>
    <row r="1394">
      <c r="A1394" t="inlineStr">
        <is>
          <t>presto</t>
        </is>
      </c>
      <c r="B1394" t="inlineStr">
        <is>
          <t>presto-tests/src/main/java/com/facebook/presto/tests/H2FunctionNamespaceManagerPlugin.java</t>
        </is>
      </c>
      <c r="C1394">
        <f>HYPERLINK("https://github.com/prestodb/presto/blob/master/presto-tests/src/main/java/com/facebook/presto/tests/H2FunctionNamespaceManagerPlugin.java")</f>
        <v/>
      </c>
      <c r="D1394" t="inlineStr">
        <is>
          <t>The `H2FunctionNamespaceManagerPlugin` class is a plugin that provides a function namespace manager factory for the H2 database management system. It implements the `Plugin` interface from PrestoDB, which allows it to be loaded as a module within the PrestoDB framework.
The `getFunctionNamespaceManagerFactories()` method returns a list of `FunctionNamespaceManagerFactory` objects</t>
        </is>
      </c>
      <c r="E1394" t="n">
        <v>0.0045</v>
      </c>
      <c r="F1394" t="n">
        <v>0.0357</v>
      </c>
      <c r="G1394" t="n">
        <v>0.125</v>
      </c>
      <c r="H1394" t="inlineStr">
        <is>
          <t>This code defines a plugin for Presto that provides a function namespace manager factory for the H2 database management system. The `H2FunctionNamespaceManager` class implements the `FunctionNamespaceManager` interface and provides a way to manage functions in the H2 database. The `getFunctionNamespaceManagerFactories()` method returns an iterable containing the `H2FunctionNamespaceManager` instance as the</t>
        </is>
      </c>
      <c r="I1394" t="n">
        <v>0.0048</v>
      </c>
      <c r="J1394" t="n">
        <v>0.1034</v>
      </c>
      <c r="K1394" t="n">
        <v>0.1639</v>
      </c>
      <c r="L1394" t="inlineStr">
        <is>
          <t>The `H2FunctionNamespaceManagerPlugin` class provides a plugin that enables Presto to manage function namespaces using the H2 database management system. It implements the `Plugin` interface from the Presto framework and provides a single method called `getFunctionNamespaceManagerFactories`, which returns a list of `FunctionNamespaceManagerFactory` objects. These factories create instances of `H2Function</t>
        </is>
      </c>
      <c r="M1394" t="n">
        <v>0.0045</v>
      </c>
      <c r="N1394" t="n">
        <v>0.07140000000000001</v>
      </c>
      <c r="O1394" t="n">
        <v>0.125</v>
      </c>
    </row>
    <row r="1395">
      <c r="A1395" t="inlineStr">
        <is>
          <t>presto</t>
        </is>
      </c>
      <c r="B1395" t="inlineStr">
        <is>
          <t>presto-tests/src/main/java/com/facebook/presto/tests/AbstractTestAggregations.java</t>
        </is>
      </c>
      <c r="C1395">
        <f>HYPERLINK("https://github.com/prestodb/presto/blob/master/presto-tests/src/main/java/com/facebook/presto/tests/AbstractTestAggregations.java")</f>
        <v/>
      </c>
      <c r="D1395" t="inlineStr">
        <is>
          <t>This code appears to be part of a Presto SQL database management system written in Java. It defines several classes and methods related to testing and aggregating data. The `AggregationNode` class represents an aggregate function that can be applied to a set of input values, such as SUM, COUNT, MIN, MAX, etc. The `MaterializedResult` class represents the result of</t>
        </is>
      </c>
      <c r="E1395" t="n">
        <v>0.0037</v>
      </c>
      <c r="F1395" t="n">
        <v>0.0597</v>
      </c>
      <c r="G1395" t="n">
        <v>0.1145</v>
      </c>
      <c r="H1395" t="inlineStr">
        <is>
          <t>The provided code defines a Java package named `com.facebook.presto.tests` that contains classes related to testing Presto's query engine. It includes a class named `AggregationTests` that has several methods for testing aggregation operations. These methods include `testCount`, `testMax`, `testMin`, `testSum`, and `testAvg`. Each method</t>
        </is>
      </c>
      <c r="I1395" t="n">
        <v>0.0043</v>
      </c>
      <c r="J1395" t="n">
        <v>0.0364</v>
      </c>
      <c r="K1395" t="n">
        <v>0.0435</v>
      </c>
      <c r="L1395" t="inlineStr">
        <is>
          <t>The provided code defines a test suite for Presto's aggregation node using TestNG annotations. It includes a data provider that provides input parameters for the tests, as well as several test methods that verify the correctness of various aggregation functions. The code also includes comments and documentation, including license headers and a README file.</t>
        </is>
      </c>
      <c r="M1395" t="n">
        <v>0.0034</v>
      </c>
      <c r="N1395" t="n">
        <v>0.0635</v>
      </c>
      <c r="O1395" t="n">
        <v>0.0794</v>
      </c>
    </row>
    <row r="1396">
      <c r="A1396" t="inlineStr">
        <is>
          <t>presto</t>
        </is>
      </c>
      <c r="B1396" t="inlineStr">
        <is>
          <t>presto-tests/src/main/java/com/facebook/presto/tests/TestLikeQueries.java</t>
        </is>
      </c>
      <c r="C1396">
        <f>HYPERLINK("https://github.com/prestodb/presto/blob/master/presto-tests/src/main/java/com/facebook/presto/tests/TestLikeQueries.java")</f>
        <v/>
      </c>
      <c r="D1396" t="inlineStr">
        <is>
          <t>The code defines a Java class called `TestLikeQueries` that inherits from `AbstractTestQueryFramework`. It contains a single method called `createQueryRunner()` which creates a new instance of `QueryRunner`. This method returns a `QueryRunner` object that can be used to execute SQL queries against a Presto database.
The `TestLikeQueries` class also imports</t>
        </is>
      </c>
      <c r="E1396" t="n">
        <v>0.0037</v>
      </c>
      <c r="F1396" t="n">
        <v>0.0351</v>
      </c>
      <c r="G1396" t="n">
        <v>0.08260000000000001</v>
      </c>
      <c r="H1396" t="inlineStr">
        <is>
          <t>This code implements a set of tests for Presto, a popular open-source SQL query engine. The code defines a `TestLikeQueries` class that inherits from the `AbstractTestQueryFramework` class. It overrides the `createQueryRunner()` method to create a new instance of the `QueryRunner` class, which is used to execute SQL queries against a database. The</t>
        </is>
      </c>
      <c r="I1396" t="n">
        <v>0.0042</v>
      </c>
      <c r="J1396" t="n">
        <v>0.06560000000000001</v>
      </c>
      <c r="K1396" t="n">
        <v>0.121</v>
      </c>
      <c r="L1396" t="inlineStr">
        <is>
          <t>The code in the provided file defines a Java class called `TestLikeQueries` that extends the `AbstractTestQueryFramework`. It appears to be used for testing SQL queries related to LIKE operators.
The class has one method called `createQueryRunner()` which returns a `QueryRunner` object. This method creates a new Presto query runner using the `testSessionBuilder()` method</t>
        </is>
      </c>
      <c r="M1396" t="n">
        <v>0.0035</v>
      </c>
      <c r="N1396" t="n">
        <v>0.0328</v>
      </c>
      <c r="O1396" t="n">
        <v>0.08</v>
      </c>
    </row>
    <row r="1397">
      <c r="A1397" t="inlineStr">
        <is>
          <t>presto</t>
        </is>
      </c>
      <c r="B1397" t="inlineStr">
        <is>
          <t>presto-tests/src/main/java/com/facebook/presto/tests/AbstractTestJoinQueries.java</t>
        </is>
      </c>
      <c r="C1397">
        <f>HYPERLINK("https://github.com/prestodb/presto/blob/master/presto-tests/src/main/java/com/facebook/presto/tests/AbstractTestJoinQueries.java")</f>
        <v/>
      </c>
      <c r="D1397" t="inlineStr">
        <is>
          <t>This code appears to be part of a Presto SQL query engine, specifically related to testing and materializing queries. It defines several classes and methods that support the execution and analysis of SQL queries, including the `Session` class which represents a session within the query engine, the `QueryInfo` class which captures information about a running query, and the `MaterializedResult` class which represents</t>
        </is>
      </c>
      <c r="E1397" t="n">
        <v>0.0035</v>
      </c>
      <c r="F1397" t="n">
        <v>0.0571</v>
      </c>
      <c r="G1397" t="n">
        <v>0.1119</v>
      </c>
      <c r="H1397" t="inlineStr">
        <is>
          <t>This repository contains the source code for Presto, a distributed SQL query engine that allows users to run queries across large datasets stored in various data sources such as Hive, MySQL, and S3. The code is written in Java and uses the Guava library for common utility functions. It includes several modules, including the main presto module, which provides the core functionality of the engine, and</t>
        </is>
      </c>
      <c r="I1397" t="n">
        <v>0.0069</v>
      </c>
      <c r="J1397" t="n">
        <v>0.1351</v>
      </c>
      <c r="K1397" t="n">
        <v>0.2287</v>
      </c>
      <c r="L1397" t="inlineStr">
        <is>
          <t>The provided code is part of a Presto SQL engine test suite. It defines a class called `TestDistributedQueries` that tests various features of the Presto query engine. The class uses JUnit annotations to define test cases that execute queries against a Presto cluster and verify their results.
The code imports several packages from the Presto project, including `com.facebook.</t>
        </is>
      </c>
      <c r="M1397" t="n">
        <v>0.0031</v>
      </c>
      <c r="N1397" t="n">
        <v>0.0299</v>
      </c>
      <c r="O1397" t="n">
        <v>0.0769</v>
      </c>
    </row>
    <row r="1398">
      <c r="A1398" t="inlineStr">
        <is>
          <t>presto</t>
        </is>
      </c>
      <c r="B1398" t="inlineStr">
        <is>
          <t>presto-tests/src/main/java/com/facebook/presto/tests/DistributedQueryRunner.java</t>
        </is>
      </c>
      <c r="C1398">
        <f>HYPERLINK("https://github.com/prestodb/presto/blob/master/presto-tests/src/main/java/com/facebook/presto/tests/DistributedQueryRunner.java")</f>
        <v/>
      </c>
      <c r="D1398" t="inlineStr">
        <is>
          <t>The provided code appears to be a Java application that uses the Presto SQL query engine to execute queries against a database. It includes several classes and methods related to discovery, HTTP client, logging, assertions, and unit tests.
The main class `com.facebook.presto.tests.Presto` seems to be responsible for starting up the Presto server and executing queries using</t>
        </is>
      </c>
      <c r="E1398" t="n">
        <v>0.0033</v>
      </c>
      <c r="F1398" t="n">
        <v>0.0294</v>
      </c>
      <c r="G1398" t="n">
        <v>0.0781</v>
      </c>
      <c r="H1398" t="inlineStr">
        <is>
          <t>This code is part of a Presto project, which is an open source distributed SQL query engine. The code defines a class called `PrestoTests` that provides various utility methods for testing Presto's functionality. It includes methods for starting and stopping the discovery server, sending HTTP requests, and checking the status of the server. The code also imports several other packages from the Airlift</t>
        </is>
      </c>
      <c r="I1398" t="n">
        <v>0.0034</v>
      </c>
      <c r="J1398" t="n">
        <v>0.0833</v>
      </c>
      <c r="K1398" t="n">
        <v>0.1111</v>
      </c>
      <c r="L1398" t="inlineStr">
        <is>
          <t>The provided code is part of a Presto test suite that uses a testing discovery server to start up a local instance of Presto and then sends HTTP requests to verify various aspects of the system's behavior. The code also includes some basic logging capabilities using Airlift's Logger class. Overall, the code appears to be focused on setting up and running tests for Presto's</t>
        </is>
      </c>
      <c r="M1398" t="n">
        <v>0.0028</v>
      </c>
      <c r="N1398" t="n">
        <v>0.0267</v>
      </c>
      <c r="O1398" t="n">
        <v>0.0735</v>
      </c>
    </row>
    <row r="1399">
      <c r="A1399" t="inlineStr">
        <is>
          <t>presto</t>
        </is>
      </c>
      <c r="B1399" t="inlineStr">
        <is>
          <t>presto-tests/src/main/java/com/facebook/presto/tests/AbstractTestNanQueries.java</t>
        </is>
      </c>
      <c r="C1399">
        <f>HYPERLINK("https://github.com/prestodb/presto/blob/master/presto-tests/src/main/java/com/facebook/presto/tests/AbstractTestNanQueries.java")</f>
        <v/>
      </c>
      <c r="D1399" t="inlineStr">
        <is>
          <t>The `AbstractTestNanQueries` class is an abstract test framework that provides methods for testing Presto queries. It defines several methods that can be overridden by subclasses to define custom tests.
The `AbstractTestNanQueries` class has the following members:
* A `DOUBLE_NANS_TABLE_NAME` constant that represents the</t>
        </is>
      </c>
      <c r="E1399" t="n">
        <v>0</v>
      </c>
      <c r="F1399" t="n">
        <v>0</v>
      </c>
      <c r="G1399" t="n">
        <v>0</v>
      </c>
      <c r="H1399" t="inlineStr">
        <is>
          <t>This is a Java project that provides a test framework for testing Presto queries. The project includes several classes and interfaces related to query execution, including `AbstractTestQueryFramework`, which defines the basic structure of a test case, and `DoubleNaNsTable` which represents a table containing double values with NaNs. The project also includes several tests for different types of queries, such as SELECT statements</t>
        </is>
      </c>
      <c r="I1399" t="n">
        <v>0.0035</v>
      </c>
      <c r="J1399" t="n">
        <v>0.0571</v>
      </c>
      <c r="K1399" t="n">
        <v>0.0746</v>
      </c>
      <c r="L1399" t="inlineStr">
        <is>
          <t>The provided code defines a test suite for Presto's query engine using TestNG. It includes several tests that execute queries against a database and verify their results. The code also provides some utility methods for creating sessions and executing queries.
The `AbstractTestNanQueries` class is an abstract base class that provides common functionality for testing Presto's query engine. It has</t>
        </is>
      </c>
      <c r="M1399" t="n">
        <v>0.0037</v>
      </c>
      <c r="N1399" t="n">
        <v>0.029</v>
      </c>
      <c r="O1399" t="n">
        <v>0.07630000000000001</v>
      </c>
    </row>
    <row r="1400">
      <c r="A1400" t="inlineStr">
        <is>
          <t>presto</t>
        </is>
      </c>
      <c r="B1400" t="inlineStr">
        <is>
          <t>presto-tests/src/main/java/com/facebook/presto/tests/PlanDeterminismChecker.java</t>
        </is>
      </c>
      <c r="C1400">
        <f>HYPERLINK("https://github.com/prestodb/presto/blob/master/presto-tests/src/main/java/com/facebook/presto/tests/PlanDeterminismChecker.java")</f>
        <v/>
      </c>
      <c r="D1400" t="inlineStr">
        <is>
          <t>This code defines a class named `Test` that extends the `LocalQueryRunner` class from the Presto project. It provides a simple way to run SQL queries against a local instance of Presto. The class has several methods that can be used to execute different types of queries, such as `execute`, `executeWithWarnings`, and `getResult`. These methods take a query</t>
        </is>
      </c>
      <c r="E1400" t="n">
        <v>0.0038</v>
      </c>
      <c r="F1400" t="n">
        <v>0.0615</v>
      </c>
      <c r="G1400" t="n">
        <v>0.1163</v>
      </c>
      <c r="H1400" t="inlineStr">
        <is>
          <t>This code implements a Presto SQL query optimizer that uses a local query runner to execute queries against a database. The main class, `com.facebook.presto.tests.Test`, has several methods that perform different tasks related to query optimization, such as parsing SQL statements, planning execution plans, and executing queries.
The code also includes a number of utility classes and functions,</t>
        </is>
      </c>
      <c r="I1400" t="n">
        <v>0.0042</v>
      </c>
      <c r="J1400" t="n">
        <v>0.08699999999999999</v>
      </c>
      <c r="K1400" t="n">
        <v>0.155</v>
      </c>
      <c r="L1400" t="inlineStr">
        <is>
          <t>The code defines a `LocalQueryRunner` class that provides a simple way to run queries against Presto without setting up a full cluster. It takes a `Session` object as input and uses it to create a query runner instance. The query runner then executes the given SQL query using the specified session and returns the results. Additionally, the code includes a `main` method that demonstrates how</t>
        </is>
      </c>
      <c r="M1400" t="n">
        <v>0.0028</v>
      </c>
      <c r="N1400" t="n">
        <v>0.0274</v>
      </c>
      <c r="O1400" t="n">
        <v>0.073</v>
      </c>
    </row>
    <row r="1401">
      <c r="A1401" t="inlineStr">
        <is>
          <t>presto</t>
        </is>
      </c>
      <c r="B1401" t="inlineStr">
        <is>
          <t>presto-tests/src/main/java/com/facebook/presto/tests/CreateHll.java</t>
        </is>
      </c>
      <c r="C1401">
        <f>HYPERLINK("https://github.com/prestodb/presto/blob/master/presto-tests/src/main/java/com/facebook/presto/tests/CreateHll.java")</f>
        <v/>
      </c>
      <c r="D1401" t="inlineStr">
        <is>
          <t>The provided code defines a Java class that implements a custom aggregation function called `approx_distinct` for Presto. This function uses HyperLogLog algorithm to estimate the distinct values in a column of a table. It takes a single argument of type `VARCHAR`, which represents the input column name, and returns a value of type `HLL`.
The implementation of the `</t>
        </is>
      </c>
      <c r="E1401" t="n">
        <v>0.0041</v>
      </c>
      <c r="F1401" t="n">
        <v>0.0896</v>
      </c>
      <c r="G1401" t="n">
        <v>0.1527</v>
      </c>
      <c r="H1401" t="inlineStr">
        <is>
          <t>This code defines a Java package named `com.facebook.presto.tests` that contains classes related to testing Presto's backend software components. The package includes a class named `CardinalityEstimationTest` that implements various tests for cardinality estimation using HyperLogLog algorithm. The test uses a ScalarFunction named `hyperloglog` to estimate the cardinality of</t>
        </is>
      </c>
      <c r="I1401" t="n">
        <v>0.0051</v>
      </c>
      <c r="J1401" t="n">
        <v>0.1017</v>
      </c>
      <c r="K1401" t="n">
        <v>0.1681</v>
      </c>
      <c r="L1401" t="inlineStr">
        <is>
          <t>The provided code defines a Presto scalar function that computes the approximate distinct count of a set of values using HyperLogLog algorithm. The function takes a single argument of type Slice and returns a value of type HyperLogLog. The function uses the DEFAULT_STANDARD_ERROR constant from the ApproximateSetAggregation class to determine the standard error of the approximation. The</t>
        </is>
      </c>
      <c r="M1401" t="n">
        <v>0.0032</v>
      </c>
      <c r="N1401" t="n">
        <v>0.0597</v>
      </c>
      <c r="O1401" t="n">
        <v>0.0775</v>
      </c>
    </row>
    <row r="1402">
      <c r="A1402" t="inlineStr">
        <is>
          <t>presto</t>
        </is>
      </c>
      <c r="B1402" t="inlineStr">
        <is>
          <t>presto-tests/src/main/java/com/facebook/presto/tests/ResultWithQueryId.java</t>
        </is>
      </c>
      <c r="C1402">
        <f>HYPERLINK("https://github.com/prestodb/presto/blob/master/presto-tests/src/main/java/com/facebook/presto/tests/ResultWithQueryId.java")</f>
        <v/>
      </c>
      <c r="D1402" t="inlineStr">
        <is>
          <t>This Java class `ResultWithQueryId` represents a container object that holds both a `QueryId` and some other type `T`. It has two fields: `queryId`, which is a `QueryId` instance, and `result`, which is of type `T`. The constructor takes two parameters: `queryId` and `result`. The class provides two methods: `get</t>
        </is>
      </c>
      <c r="E1402" t="n">
        <v>0.0045</v>
      </c>
      <c r="F1402" t="n">
        <v>0.0702</v>
      </c>
      <c r="G1402" t="n">
        <v>0.08260000000000001</v>
      </c>
      <c r="H1402" t="inlineStr">
        <is>
          <t>This code defines a Java class called `ResultWithQueryId` that represents a result object that includes a query ID as well as some other data. The class has two fields: `queryId`, which is a `QueryId` object representing the ID of the query that produced the result, and `result`, which is the actual result data. The constructor takes two arguments: the first is</t>
        </is>
      </c>
      <c r="I1402" t="n">
        <v>0.0036</v>
      </c>
      <c r="J1402" t="n">
        <v>0.058</v>
      </c>
      <c r="K1402" t="n">
        <v>0.0752</v>
      </c>
      <c r="L1402" t="inlineStr">
        <is>
          <t>The `ResultWithQueryId` class represents a container object that holds a query ID and a result value. It provides methods for accessing both the query ID and the result value.</t>
        </is>
      </c>
      <c r="M1402" t="n">
        <v>0.0065</v>
      </c>
      <c r="N1402" t="n">
        <v>0.0541</v>
      </c>
      <c r="O1402" t="n">
        <v>0.0495</v>
      </c>
    </row>
    <row r="1403">
      <c r="A1403" t="inlineStr">
        <is>
          <t>presto</t>
        </is>
      </c>
      <c r="B1403" t="inlineStr">
        <is>
          <t>presto-tests/src/main/java/com/facebook/presto/tests/AbstractTestIntegrationSmokeTest.java</t>
        </is>
      </c>
      <c r="C1403">
        <f>HYPERLINK("https://github.com/prestodb/presto/blob/master/presto-tests/src/main/java/com/facebook/presto/tests/AbstractTestIntegrationSmokeTest.java")</f>
        <v/>
      </c>
      <c r="D1403" t="inlineStr">
        <is>
          <t>This code appears to be part of a Presto SQL query engine test suite. It defines a test class that tests the correctness of certain queries against a database. The test class uses the `com.facebook.presto` package namespace, which suggests that it is intended for use with the Presto SQL query engine.
The test method takes two parameters: a session object and a</t>
        </is>
      </c>
      <c r="E1403" t="n">
        <v>0.0035</v>
      </c>
      <c r="F1403" t="n">
        <v>0.0556</v>
      </c>
      <c r="G1403" t="n">
        <v>0.1119</v>
      </c>
      <c r="H1403" t="inlineStr">
        <is>
          <t>This code appears to be part of a Presto database management system. It defines a test class that uses the MaterializedResult class from the testing module to execute SQL queries against a Presto session. The test method takes a query string as input and returns a MaterializedResult object containing the results of executing the query. The method also sets up a session with some default properties, including enabling</t>
        </is>
      </c>
      <c r="I1403" t="n">
        <v>0.0035</v>
      </c>
      <c r="J1403" t="n">
        <v>0.0789</v>
      </c>
      <c r="K1403" t="n">
        <v>0.1429</v>
      </c>
      <c r="L1403" t="inlineStr">
        <is>
          <t>The provided code defines a test case for Presto's SQL engine using TestNG framework. It sets up a session object with legacy timestamp mode enabled and executes a query that retrieves data from a table named "orders". The result set is then materialized into a MaterializedResult object and compared against expected results.</t>
        </is>
      </c>
      <c r="M1403" t="n">
        <v>0.0035</v>
      </c>
      <c r="N1403" t="n">
        <v>0.0328</v>
      </c>
      <c r="O1403" t="n">
        <v>0.0806</v>
      </c>
    </row>
    <row r="1404">
      <c r="A1404" t="inlineStr">
        <is>
          <t>presto</t>
        </is>
      </c>
      <c r="B1404" t="inlineStr">
        <is>
          <t>presto-tests/src/main/java/com/facebook/presto/tests/CustomStructWithPassthrough.java</t>
        </is>
      </c>
      <c r="C1404">
        <f>HYPERLINK("https://github.com/prestodb/presto/blob/master/presto-tests/src/main/java/com/facebook/presto/tests/CustomStructWithPassthrough.java")</f>
        <v/>
      </c>
      <c r="D1404" t="inlineStr">
        <is>
          <t>The code defines a custom struct called `CustomStructWithPassthrough` that has two fields: `firstField` and `secondField`. It also includes a constructor method that initializes both fields. Additionally, it defines a `getFirstField()` and `getSecondField()` methods to access the values of these fields. Finally, it includes a `toString()` method to print</t>
        </is>
      </c>
      <c r="E1404" t="n">
        <v>0.0038</v>
      </c>
      <c r="F1404" t="n">
        <v>0.0357</v>
      </c>
      <c r="G1404" t="n">
        <v>0.0417</v>
      </c>
      <c r="H1404" t="inlineStr">
        <is>
          <t>This Java package `com.facebook.presto.tests` contains a custom struct called `CustomStructWithPassthrough`. It has a single method named `getField`, which takes a `Block` object as input and returns a new `Block` object containing the same data but with a different type. The method uses the `FunctionDescriptor` annotation to specify that it is</t>
        </is>
      </c>
      <c r="I1404" t="n">
        <v>0.0044</v>
      </c>
      <c r="J1404" t="n">
        <v>0.06560000000000001</v>
      </c>
      <c r="K1404" t="n">
        <v>0.123</v>
      </c>
      <c r="L1404" t="inlineStr">
        <is>
          <t>The provided code defines a custom struct called `CustomStructWithPassthrough` that has a single field named `custom`. It also includes several annotations related to function descriptors, scalar functions, and type parameters.
The `CustomStructWithPassthrough` struct is used as a passthrough for a custom function that takes a row value as input and</t>
        </is>
      </c>
      <c r="M1404" t="n">
        <v>0.0037</v>
      </c>
      <c r="N1404" t="n">
        <v>0.06900000000000001</v>
      </c>
      <c r="O1404" t="n">
        <v>0.082</v>
      </c>
    </row>
    <row r="1405">
      <c r="A1405" t="inlineStr">
        <is>
          <t>presto</t>
        </is>
      </c>
      <c r="B1405" t="inlineStr">
        <is>
          <t>presto-tests/src/main/java/com/facebook/presto/tests/AbstractTestQueryFramework.java</t>
        </is>
      </c>
      <c r="C1405">
        <f>HYPERLINK("https://github.com/prestodb/presto/blob/master/presto-tests/src/main/java/com/facebook/presto/tests/AbstractTestQueryFramework.java")</f>
        <v/>
      </c>
      <c r="D1405" t="inlineStr">
        <is>
          <t>This code appears to be part of a Presto database management system. It defines several classes related to cost estimation and transaction handling. The `CostCalculator` class calculates the estimated cost of executing a query plan, while the `CostCalculatorUsingExchanges` and `CostCalculatorWithEstimatedExchanges` classes extend the former to handle different types of exchanges. The</t>
        </is>
      </c>
      <c r="E1405" t="n">
        <v>0.0043</v>
      </c>
      <c r="F1405" t="n">
        <v>0.0678</v>
      </c>
      <c r="G1405" t="n">
        <v>0.122</v>
      </c>
      <c r="H1405" t="inlineStr">
        <is>
          <t>This code defines several classes related to Presto's cost estimation framework. The `Cost` class represents the estimated cost of executing a query plan, while the `CostCalculator` interface provides methods for calculating costs based on various factors such as data size, number of rows, and execution time. The `CostCalculatorUsingExchanges` class implements the `CostCalculator` interface using</t>
        </is>
      </c>
      <c r="I1405" t="n">
        <v>0.0045</v>
      </c>
      <c r="J1405" t="n">
        <v>0.0635</v>
      </c>
      <c r="K1405" t="n">
        <v>0.1587</v>
      </c>
      <c r="L1405" t="inlineStr">
        <is>
          <t>The code defines a CostCalculator class that calculates the cost of executing a query plan using Presto's cost model. It takes several parameters as input, including the transaction ID, session, duration, and type. The cost calculator uses the CostCalculatorUsingExchanges and CostCalculatorWithEstimatedExchanges classes to calculate the costs based on the exchange rates and estimated</t>
        </is>
      </c>
      <c r="M1405" t="n">
        <v>0.0035</v>
      </c>
      <c r="N1405" t="n">
        <v>0.0323</v>
      </c>
      <c r="O1405" t="n">
        <v>0.08</v>
      </c>
    </row>
    <row r="1406">
      <c r="A1406" t="inlineStr">
        <is>
          <t>presto</t>
        </is>
      </c>
      <c r="B1406" t="inlineStr">
        <is>
          <t>presto-tests/src/main/java/com/facebook/presto/tests/AbstractTestTopNQueries.java</t>
        </is>
      </c>
      <c r="C1406">
        <f>HYPERLINK("https://github.com/prestodb/presto/blob/master/presto-tests/src/main/java/com/facebook/presto/tests/AbstractTestTopNQueries.java")</f>
        <v/>
      </c>
      <c r="D1406" t="inlineStr">
        <is>
          <t>The code defines two unit tests for Presto's query engine using TestNG framework. The first test case `testUngroupedTopN` runs a simple SQL query that retrieves top 3 rows from the `orders` table based on the `totalprice` column. The second test case `testGroupedTopN` runs a more complex SQL query that retrieves top</t>
        </is>
      </c>
      <c r="E1406" t="n">
        <v>0</v>
      </c>
      <c r="F1406" t="n">
        <v>0</v>
      </c>
      <c r="G1406" t="n">
        <v>0.0407</v>
      </c>
      <c r="H1406" t="inlineStr">
        <is>
          <t>This code defines an abstract test class named `AbstractTestTopNQueries` that inherits from another abstract class named `AbstractTestQueryFramework`. The class has one method called `testUngroupedTopN()` which asserts a query using the `assertQuery()` method. It also has another method called `testGroupedTopN()` which also uses the `assertQuery()`</t>
        </is>
      </c>
      <c r="I1406" t="n">
        <v>0.0042</v>
      </c>
      <c r="J1406" t="n">
        <v>0.0385</v>
      </c>
      <c r="K1406" t="n">
        <v>0.0862</v>
      </c>
      <c r="L1406" t="inlineStr">
        <is>
          <t>The provided code is part of a Presto SQL query framework and implements tests for top N queries. The `AbstractTestTopNQueries` class provides a base implementation for testing top N queries using the `assertQuery()` method. The `testUngroupedTopN()` and `testGroupedTopN()` methods demonstrate how to run these tests.</t>
        </is>
      </c>
      <c r="M1406" t="n">
        <v>0.0049</v>
      </c>
      <c r="N1406" t="n">
        <v>0.0755</v>
      </c>
      <c r="O1406" t="n">
        <v>0.1282</v>
      </c>
    </row>
    <row r="1407">
      <c r="A1407" t="inlineStr">
        <is>
          <t>presto</t>
        </is>
      </c>
      <c r="B1407" t="inlineStr">
        <is>
          <t>presto-tests/src/main/java/com/facebook/presto/tests/H2QueryRunner.java</t>
        </is>
      </c>
      <c r="C1407">
        <f>HYPERLINK("https://github.com/prestodb/presto/blob/master/presto-tests/src/main/java/com/facebook/presto/tests/H2QueryRunner.java")</f>
        <v/>
      </c>
      <c r="D1407" t="inlineStr">
        <is>
          <t>This Java code defines a set of classes that represent various data types used in Presto, a popular open-source distributed SQL query engine. The `com.facebook.presto.common.type` package provides implementations of several abstract base classes that define the behavior of different data types. These include `Type`, `FixedWidthType`, `VariableWidthType`, `Block`, `Page`,</t>
        </is>
      </c>
      <c r="E1407" t="n">
        <v>0.0038</v>
      </c>
      <c r="F1407" t="n">
        <v>0.06560000000000001</v>
      </c>
      <c r="G1407" t="n">
        <v>0.125</v>
      </c>
      <c r="H1407" t="inlineStr">
        <is>
          <t>This Java package `com.facebook.presto.tests` appears to contain various utility classes and methods used in PrestoDB's testing framework. The package imports several types from the PrestoDB common library, including `Session`, `ArrayType`, `CharType`, `DateType`, `DecimalType`, `DistinctType`, `RowType`, and `TimestampType`. It</t>
        </is>
      </c>
      <c r="I1407" t="n">
        <v>0.0058</v>
      </c>
      <c r="J1407" t="n">
        <v>0.08</v>
      </c>
      <c r="K1407" t="n">
        <v>0.1364</v>
      </c>
      <c r="L1407" t="inlineStr">
        <is>
          <t>The provided Java code defines a Presto test suite that provides various functionalities related to data types, such as arrays, characters, dates, decimals, distinct types, rows, and timestamps. It also includes a session object used for managing user sessions within the test environment.</t>
        </is>
      </c>
      <c r="M1407" t="n">
        <v>0.0043</v>
      </c>
      <c r="N1407" t="n">
        <v>0.0784</v>
      </c>
      <c r="O1407" t="n">
        <v>0.08699999999999999</v>
      </c>
    </row>
    <row r="1408">
      <c r="A1408" t="inlineStr">
        <is>
          <t>presto</t>
        </is>
      </c>
      <c r="B1408" t="inlineStr">
        <is>
          <t>presto-tests/src/main/java/com/facebook/presto/tests/AbstractTestQueries.java</t>
        </is>
      </c>
      <c r="C1408">
        <f>HYPERLINK("https://github.com/prestodb/presto/blob/master/presto-tests/src/main/java/com/facebook/presto/tests/AbstractTestQueries.java")</f>
        <v/>
      </c>
      <c r="D1408" t="inlineStr">
        <is>
          <t>This code defines several classes and functions related to Presto, a data processing engine. The main class `com.facebook.presto.tests.Test` is a test suite that runs various tests against the Presto engine. It also includes some utility methods for working with SQL queries and functions.
The `com.facebook.presto.SystemSessionProperties` class provides a way</t>
        </is>
      </c>
      <c r="E1408" t="n">
        <v>0.0045</v>
      </c>
      <c r="F1408" t="n">
        <v>0.09379999999999999</v>
      </c>
      <c r="G1408" t="n">
        <v>0.124</v>
      </c>
      <c r="H1408" t="inlineStr">
        <is>
          <t>This code repository contains the source code for Presto, a distributed SQL query engine that allows users to perform complex queries across large datasets stored in various data sources such as Hive, Parquet, and JDBC. The code includes several modules, including the `com.facebook.presto.tests` package, which provides test cases for the system. The `com.facebook.presto</t>
        </is>
      </c>
      <c r="I1408" t="n">
        <v>0.0041</v>
      </c>
      <c r="J1408" t="n">
        <v>0.0606</v>
      </c>
      <c r="K1408" t="n">
        <v>0.08</v>
      </c>
      <c r="L1408" t="inlineStr">
        <is>
          <t>The code defines a custom SQL function named `current_timestamp` that returns the current timestamp as a `SqlTimestampWithTimeZone`. It is part of the Presto database management system, specifically in the `com.facebook.presto.tests` package. The function uses the `Session` class from Presto's API to retrieve the current session properties, including the time zone.</t>
        </is>
      </c>
      <c r="M1408" t="n">
        <v>0</v>
      </c>
      <c r="N1408" t="n">
        <v>0.0317</v>
      </c>
      <c r="O1408" t="n">
        <v>0.041</v>
      </c>
    </row>
    <row r="1409">
      <c r="A1409" t="inlineStr">
        <is>
          <t>presto</t>
        </is>
      </c>
      <c r="B1409" t="inlineStr">
        <is>
          <t>presto-tests/src/main/java/com/facebook/presto/tests/SslKeystoreManager.java</t>
        </is>
      </c>
      <c r="C1409">
        <f>HYPERLINK("https://github.com/prestodb/presto/blob/master/presto-tests/src/main/java/com/facebook/presto/tests/SslKeystoreManager.java")</f>
        <v/>
      </c>
      <c r="D1409" t="inlineStr">
        <is>
          <t>This code appears to be a Java implementation of various cryptographic functions using the Bouncy Castle library. The main class, `com.facebook.presto.tests.Test`, defines several methods that perform different tasks related to certificate generation, signing, and verification.
The `generateSelfSignedCert` method generates a self-signed X.509 certificate using a</t>
        </is>
      </c>
      <c r="E1409" t="n">
        <v>0.0049</v>
      </c>
      <c r="F1409" t="n">
        <v>0.1356</v>
      </c>
      <c r="G1409" t="n">
        <v>0.1709</v>
      </c>
      <c r="H1409" t="inlineStr">
        <is>
          <t>This code appears to be part of a Java project that generates X.509 certificates using the Bouncy Castle library. The code defines several classes and methods related to certificate generation, including `X509CertificateHolder`, `JcaX509v3CertificateBuilder`, `X500Name`, and `ContentSigner`. These classes and methods</t>
        </is>
      </c>
      <c r="I1409" t="n">
        <v>0.0055</v>
      </c>
      <c r="J1409" t="n">
        <v>0.08160000000000001</v>
      </c>
      <c r="K1409" t="n">
        <v>0.1339</v>
      </c>
      <c r="L1409" t="inlineStr">
        <is>
          <t>The code defines a class called `PrestoTest` that extends the `AbstractTest` class from the `com.facebook.presto.tests` package. It appears to be responsible for testing various aspects of Presto's functionality, including certificate generation and signature verification.
The class imports several dependencies, including `org.bouncycastle`, which is likely used for</t>
        </is>
      </c>
      <c r="M1409" t="n">
        <v>0.004</v>
      </c>
      <c r="N1409" t="n">
        <v>0.0678</v>
      </c>
      <c r="O1409" t="n">
        <v>0.0847</v>
      </c>
    </row>
    <row r="1410">
      <c r="A1410" t="inlineStr">
        <is>
          <t>presto</t>
        </is>
      </c>
      <c r="B1410" t="inlineStr">
        <is>
          <t>presto-tests/src/main/java/com/facebook/presto/tests/H2FunctionNamespaceDao.java</t>
        </is>
      </c>
      <c r="C1410">
        <f>HYPERLINK("https://github.com/prestodb/presto/blob/master/presto-tests/src/main/java/com/facebook/presto/tests/H2FunctionNamespaceDao.java")</f>
        <v/>
      </c>
      <c r="D1410" t="inlineStr">
        <is>
          <t>The `H2FunctionNamespaceDao` class implements the `FunctionNamespaceDao` interface and provides methods for interacting with a database that stores SQL functions. It defines two methods:
* `updateFunctionDefinition`: This method updates the definition of a function in the database. It takes three parameters: the ID of the function, its new definition, and the name of the schema</t>
        </is>
      </c>
      <c r="E1410" t="n">
        <v>0.0045</v>
      </c>
      <c r="F1410" t="n">
        <v>0.0984</v>
      </c>
      <c r="G1410" t="n">
        <v>0.1587</v>
      </c>
      <c r="H1410" t="inlineStr">
        <is>
          <t>This code defines a class called `H2FunctionNamespaceDao` that implements the `FunctionNamespaceDao` interface from Presto. The class uses JDBI's SQL Object API to interact with a MySQL database. It has several methods that perform various operations related to functions, such as updating function definitions and retrieving information about functions. The class also includes some comments explaining its purpose</t>
        </is>
      </c>
      <c r="I1410" t="n">
        <v>0.0042</v>
      </c>
      <c r="J1410" t="n">
        <v>0.1212</v>
      </c>
      <c r="K1410" t="n">
        <v>0.155</v>
      </c>
      <c r="L1410" t="inlineStr">
        <is>
          <t>The code defines a class named `H2FunctionNamespaceDao` that implements the `FunctionNamespaceDao` interface from Presto. It provides methods for interacting with a MySQL database using JDBI. The class has one method called `updateFunctionDefinition`, which updates the definition of a SQL function in the database based on the input parameters.</t>
        </is>
      </c>
      <c r="M1410" t="n">
        <v>0.0038</v>
      </c>
      <c r="N1410" t="n">
        <v>0.07140000000000001</v>
      </c>
      <c r="O1410" t="n">
        <v>0.0833</v>
      </c>
    </row>
    <row r="1411">
      <c r="A1411" t="inlineStr">
        <is>
          <t>presto</t>
        </is>
      </c>
      <c r="B1411" t="inlineStr">
        <is>
          <t>presto-tests/src/main/java/com/facebook/presto/tests/TestSequenceFunction.java</t>
        </is>
      </c>
      <c r="C1411">
        <f>HYPERLINK("https://github.com/prestodb/presto/blob/master/presto-tests/src/main/java/com/facebook/presto/tests/TestSequenceFunction.java")</f>
        <v/>
      </c>
      <c r="D1411" t="inlineStr">
        <is>
          <t>The provided code defines a Java class named `TpchDistributedQueries` that implements several test cases using Presto's testing framework. It imports various classes from the Presto ecosystem, including `QueryRunner`, `TpchPlugin`, and `Sequence`.
The `main()` method creates a new instance of `QueryRunner` and registers the `Tp</t>
        </is>
      </c>
      <c r="E1411" t="n">
        <v>0.005</v>
      </c>
      <c r="F1411" t="n">
        <v>0.0755</v>
      </c>
      <c r="G1411" t="n">
        <v>0.1293</v>
      </c>
      <c r="H1411" t="inlineStr">
        <is>
          <t>This code defines a Java package called `com.facebook.presto.tests` that contains classes related to testing Presto's query engine. The package includes a class called `QueryRunner`, which is used to run queries against a Presto database. It also includes a class called `TpchPlugin`, which provides access to TPC-H data sets for testing purposes. Additionally</t>
        </is>
      </c>
      <c r="I1411" t="n">
        <v>0.0035</v>
      </c>
      <c r="J1411" t="n">
        <v>0.0308</v>
      </c>
      <c r="K1411" t="n">
        <v>0.0806</v>
      </c>
      <c r="L1411" t="inlineStr">
        <is>
          <t>The provided code defines a test suite for Presto, a distributed SQL query engine. It includes several tests that verify the correctness of various features, such as query optimization, execution, and performance. The code also includes comments and documentation explaining the reasoning behind certain design choices and assumptions.
The main purpose of the code is to ensure that Presto meets the requirements of the TPC-</t>
        </is>
      </c>
      <c r="M1411" t="n">
        <v>0.0028</v>
      </c>
      <c r="N1411" t="n">
        <v>0.0274</v>
      </c>
      <c r="O1411" t="n">
        <v>0.0365</v>
      </c>
    </row>
    <row r="1412">
      <c r="A1412" t="inlineStr">
        <is>
          <t>presto</t>
        </is>
      </c>
      <c r="B1412" t="inlineStr">
        <is>
          <t>presto-tests/src/main/java/com/facebook/presto/tests/TestExcludeColumnsFunction.java</t>
        </is>
      </c>
      <c r="C1412">
        <f>HYPERLINK("https://github.com/prestodb/presto/blob/master/presto-tests/src/main/java/com/facebook/presto/tests/TestExcludeColumnsFunction.java")</f>
        <v/>
      </c>
      <c r="D1412" t="inlineStr">
        <is>
          <t>The provided code defines a Java test class named `TestExcludeColumnsFunction` that uses Presto's testing framework to execute SQL queries against a TPC-H dataset. The class imports several packages from Presto's libraries, including `com.facebook.presto.testing`, `com.facebook.presto.tpch`, and `org.testng`.</t>
        </is>
      </c>
      <c r="E1412" t="n">
        <v>0.0052</v>
      </c>
      <c r="F1412" t="n">
        <v>0.037</v>
      </c>
      <c r="G1412" t="n">
        <v>0.0926</v>
      </c>
      <c r="H1412" t="inlineStr">
        <is>
          <t>This code defines a test suite for Presto's `exclude columns` function. It uses the `AbstractTestQueryFramework` class from the Presto testing framework to write integration tests for the `exclude columns` function. The test cases cover various scenarios related to excluding columns from queries using the `EXCLUDE COLUMNS` clause. The code also includes comments explaining</t>
        </is>
      </c>
      <c r="I1412" t="n">
        <v>0.0035</v>
      </c>
      <c r="J1412" t="n">
        <v>0.0645</v>
      </c>
      <c r="K1412" t="n">
        <v>0.08</v>
      </c>
      <c r="L1412" t="inlineStr">
        <is>
          <t>The provided code defines a test case for Presto's `exclude columns` function. It imports necessary classes from the `com.facebook.presto` package and uses them to create a query runner that can execute queries against a TPC-H database. The test case sets up a session builder with a custom schema name and then executes a query using the `exclude columns`</t>
        </is>
      </c>
      <c r="M1412" t="n">
        <v>0.0031</v>
      </c>
      <c r="N1412" t="n">
        <v>0.0571</v>
      </c>
      <c r="O1412" t="n">
        <v>0.0769</v>
      </c>
    </row>
    <row r="1413">
      <c r="A1413" t="inlineStr">
        <is>
          <t>presto</t>
        </is>
      </c>
      <c r="B1413" t="inlineStr">
        <is>
          <t>presto-tests/src/main/java/com/facebook/presto/tests/sql/SqlExecutor.java</t>
        </is>
      </c>
      <c r="C1413">
        <f>HYPERLINK("https://github.com/prestodb/presto/blob/master/presto-tests/src/main/java/com/facebook/presto/tests/sql/SqlExecutor.java")</f>
        <v/>
      </c>
      <c r="D1413" t="inlineStr">
        <is>
          <t>This code defines an interface called `SqlExecutor` that has one method called `execute`. The `execute` method takes a string parameter representing an SQL query and executes it.</t>
        </is>
      </c>
      <c r="E1413" t="n">
        <v>0.0083</v>
      </c>
      <c r="F1413" t="n">
        <v>0.1143</v>
      </c>
      <c r="G1413" t="n">
        <v>0.101</v>
      </c>
      <c r="H1413" t="inlineStr">
        <is>
          <t>This code defines an interface called `SqlExecutor` that has one method called `execute`. The `execute` method takes a single string argument representing a SQL query and executes it against a database. The interface is part of a larger Presto project, which is a distributed SQL query engine for big data processing.</t>
        </is>
      </c>
      <c r="I1413" t="n">
        <v>0.0043</v>
      </c>
      <c r="J1413" t="n">
        <v>0.0678</v>
      </c>
      <c r="K1413" t="n">
        <v>0.122</v>
      </c>
      <c r="L1413" t="inlineStr">
        <is>
          <t>The provided code defines an interface called `SqlExecutor` that has one method named `execute`. It takes a string argument representing SQL query as input and executes it.</t>
        </is>
      </c>
      <c r="M1413" t="n">
        <v>0.007</v>
      </c>
      <c r="N1413" t="n">
        <v>0.0571</v>
      </c>
      <c r="O1413" t="n">
        <v>0.0505</v>
      </c>
    </row>
    <row r="1414">
      <c r="A1414" t="inlineStr">
        <is>
          <t>presto</t>
        </is>
      </c>
      <c r="B1414" t="inlineStr">
        <is>
          <t>presto-tests/src/main/java/com/facebook/presto/tests/sql/JdbcSqlExecutor.java</t>
        </is>
      </c>
      <c r="C1414">
        <f>HYPERLINK("https://github.com/prestodb/presto/blob/master/presto-tests/src/main/java/com/facebook/presto/tests/sql/JdbcSqlExecutor.java")</f>
        <v/>
      </c>
      <c r="D1414" t="inlineStr">
        <is>
          <t>The `JdbcSqlExecutor` class provides a way to execute SQL queries using JDBC drivers. It takes a JDBC URL as input and uses it to create a connection to a database. Once connected, it can execute any SQL query that the driver supports. The class also allows users to set properties for the JDBC connection through the `jdbcProperties` field.</t>
        </is>
      </c>
      <c r="E1414" t="n">
        <v>0.0031</v>
      </c>
      <c r="F1414" t="n">
        <v>0.0303</v>
      </c>
      <c r="G1414" t="n">
        <v>0.0769</v>
      </c>
      <c r="H1414" t="inlineStr">
        <is>
          <t>This Java package named `JdbcSqlExecutor` provides a SQL executor that uses JDBC to execute SQL queries against a database. The package consists of one class called `JdbcSqlExecutor`, which has several methods for executing SQL statements, creating connections, setting properties, etc. The main method of the class takes a URL as input and returns a new instance of the class. The class</t>
        </is>
      </c>
      <c r="I1414" t="n">
        <v>0.0036</v>
      </c>
      <c r="J1414" t="n">
        <v>0.058</v>
      </c>
      <c r="K1414" t="n">
        <v>0.1128</v>
      </c>
      <c r="L1414" t="inlineStr">
        <is>
          <t>The provided Java code defines a `JdbcSqlExecutor` class that implements the `SqlExecutor` interface. It uses JDBC to execute SQL queries against a database.
The constructor takes a single argument, which is the URL of the database to connect to. It also initializes two properties objects, one for JDBC connection parameters and another for statement execution options.
The `</t>
        </is>
      </c>
      <c r="M1414" t="n">
        <v>0.0037</v>
      </c>
      <c r="N1414" t="n">
        <v>0.0615</v>
      </c>
      <c r="O1414" t="n">
        <v>0.1154</v>
      </c>
    </row>
    <row r="1415">
      <c r="A1415" t="inlineStr">
        <is>
          <t>presto</t>
        </is>
      </c>
      <c r="B1415" t="inlineStr">
        <is>
          <t>presto-tests/src/main/java/com/facebook/presto/tests/sql/TestTable.java</t>
        </is>
      </c>
      <c r="C1415">
        <f>HYPERLINK("https://github.com/prestodb/presto/blob/master/presto-tests/src/main/java/com/facebook/presto/tests/sql/TestTable.java")</f>
        <v/>
      </c>
      <c r="D1415" t="inlineStr">
        <is>
          <t>This Java code defines a `TestTable` class that generates unique table names based on a given prefix and a secure random number generator. The class has a single method called `getNextName()` which returns the next available name from the sequence.
The implementation uses a combination of string concatenation and modulo arithmetic to generate the table names. It starts by generating a random integer between</t>
        </is>
      </c>
      <c r="E1415" t="n">
        <v>0.0034</v>
      </c>
      <c r="F1415" t="n">
        <v>0.0833</v>
      </c>
      <c r="G1415" t="n">
        <v>0.1471</v>
      </c>
      <c r="H1415" t="inlineStr">
        <is>
          <t>This Java package named `com.facebook.presto.tests.sql` contains a single class called `TestTable`. It appears to be used for testing purposes only.
The class has several methods that generate random strings, including the `randomString()` method which generates a string of characters using the ASCII character set, and the `secureRandomString()` method which uses the `java</t>
        </is>
      </c>
      <c r="I1415" t="n">
        <v>0.0042</v>
      </c>
      <c r="J1415" t="n">
        <v>0.0625</v>
      </c>
      <c r="K1415" t="n">
        <v>0.121</v>
      </c>
      <c r="L1415" t="inlineStr">
        <is>
          <t>This Java class named `TestTable` appears to implement an auto-closeable interface that generates unique table names using a combination of a prefix and a random suffix. The class has several methods related to generating and manipulating these table names, including `getNextName()`, which returns the next available name based on the current state of the object. Additionally, there are methods for setting and getting the</t>
        </is>
      </c>
      <c r="M1415" t="n">
        <v>0.0034</v>
      </c>
      <c r="N1415" t="n">
        <v>0.0822</v>
      </c>
      <c r="O1415" t="n">
        <v>0.1471</v>
      </c>
    </row>
    <row r="1416">
      <c r="A1416" t="inlineStr">
        <is>
          <t>presto</t>
        </is>
      </c>
      <c r="B1416" t="inlineStr">
        <is>
          <t>presto-tests/src/main/java/com/facebook/presto/tests/sql/PrestoSqlExecutor.java</t>
        </is>
      </c>
      <c r="C1416">
        <f>HYPERLINK("https://github.com/prestodb/presto/blob/master/presto-tests/src/main/java/com/facebook/presto/tests/sql/PrestoSqlExecutor.java")</f>
        <v/>
      </c>
      <c r="D1416" t="inlineStr">
        <is>
          <t>The `PrestoSqlExecutor` class is a custom implementation of the `SqlExecutor` interface that allows executing SQL queries against a Presto database. It takes a `QueryRunner` object as its constructor argument and provides a single method `execute`, which executes the given SQL query using the `QueryRunner`. The `QueryRunner` is responsible for managing the underlying database connection and executing the</t>
        </is>
      </c>
      <c r="E1416" t="n">
        <v>0.0032</v>
      </c>
      <c r="F1416" t="n">
        <v>0.0615</v>
      </c>
      <c r="G1416" t="n">
        <v>0.1163</v>
      </c>
      <c r="H1416" t="inlineStr">
        <is>
          <t>This code defines a `PrestoSqlExecutor` class that implements the `SqlExecutor` interface. It takes a `QueryRunner` object as a constructor argument and provides an `execute()` method that executes SQL queries using the `QueryRunner`. The `execute()` method takes a string parameter representing the SQL query to be executed and returns nothing.
The code also includes some boilerplate</t>
        </is>
      </c>
      <c r="I1416" t="n">
        <v>0.0044</v>
      </c>
      <c r="J1416" t="n">
        <v>0.09520000000000001</v>
      </c>
      <c r="K1416" t="n">
        <v>0.1575</v>
      </c>
      <c r="L1416" t="inlineStr">
        <is>
          <t>The provided code is part of a Java project that utilizes the Presto SQL engine to execute queries against a database. It defines a `PrestoSqlExecutor` class that implements the `SqlExecutor` interface and provides a method called `execute()` which takes a string parameter representing the SQL query to be executed. The `PrestoSqlExecutor` class also has a constructor that initializes a</t>
        </is>
      </c>
      <c r="M1416" t="n">
        <v>0.0037</v>
      </c>
      <c r="N1416" t="n">
        <v>0.0597</v>
      </c>
      <c r="O1416" t="n">
        <v>0.1145</v>
      </c>
    </row>
    <row r="1417">
      <c r="A1417" t="inlineStr">
        <is>
          <t>presto</t>
        </is>
      </c>
      <c r="B1417" t="inlineStr">
        <is>
          <t>presto-tests/src/main/java/com/facebook/presto/tests/datatype/DataType.java</t>
        </is>
      </c>
      <c r="C1417">
        <f>HYPERLINK("https://github.com/prestodb/presto/blob/master/presto-tests/src/main/java/com/facebook/presto/tests/datatype/DataType.java")</f>
        <v/>
      </c>
      <c r="D1417" t="inlineStr">
        <is>
          <t>This Java package `com.facebook.presto.tests.datatype` appears to contain classes that provide implementations of various data types used in Presto, such as integers, floating point numbers, booleans, etc. The classes appear to be simple wrappers around instances of `PrestoType`, which represents a type in Presto's type system.
The package also</t>
        </is>
      </c>
      <c r="E1417" t="n">
        <v>0.0038</v>
      </c>
      <c r="F1417" t="n">
        <v>0.06560000000000001</v>
      </c>
      <c r="G1417" t="n">
        <v>0.125</v>
      </c>
      <c r="H1417" t="inlineStr">
        <is>
          <t>This Java package `com.facebook.presto.tests.datatype` implements various data types used in PrestoDB, such as integers, floating point numbers, booleans, etc. The package includes classes that define these data types and their associated methods, such as `BigintType`, `DoubleType`, `BooleanType`, etc. The package also includes tests for the correct</t>
        </is>
      </c>
      <c r="I1417" t="n">
        <v>0.0053</v>
      </c>
      <c r="J1417" t="n">
        <v>0.1034</v>
      </c>
      <c r="K1417" t="n">
        <v>0.1695</v>
      </c>
      <c r="L1417" t="inlineStr">
        <is>
          <t>The provided code defines a set of data types used in Presto's tests. It imports various classes from the `com.facebook.presto.common` package and provides definitions for several custom data types such as `BigintType`, `BooleanType`, `DoubleType`, `IntegerType`, `RealType`, `SmallintType`, and `TinyintType`. These</t>
        </is>
      </c>
      <c r="M1417" t="n">
        <v>0.0046</v>
      </c>
      <c r="N1417" t="n">
        <v>0.0385</v>
      </c>
      <c r="O1417" t="n">
        <v>0.0893</v>
      </c>
    </row>
    <row r="1418">
      <c r="A1418" t="inlineStr">
        <is>
          <t>presto</t>
        </is>
      </c>
      <c r="B1418" t="inlineStr">
        <is>
          <t>presto-tests/src/main/java/com/facebook/presto/tests/datatype/DataSetup.java</t>
        </is>
      </c>
      <c r="C1418">
        <f>HYPERLINK("https://github.com/prestodb/presto/blob/master/presto-tests/src/main/java/com/facebook/presto/tests/datatype/DataSetup.java")</f>
        <v/>
      </c>
      <c r="D1418" t="inlineStr">
        <is>
          <t>The `DataSetup` interface defines a method called `setupTestTable`, which takes a list of input objects as a parameter and returns a `TestTable` object. This test table is used to set up data types for testing purposes.</t>
        </is>
      </c>
      <c r="E1418" t="n">
        <v>0.0061</v>
      </c>
      <c r="F1418" t="n">
        <v>0.0455</v>
      </c>
      <c r="G1418" t="n">
        <v>0.1389</v>
      </c>
      <c r="H1418" t="inlineStr">
        <is>
          <t>The code defines an interface named `DataSetup` that has one method called `setupTestTable`. This method takes a list of input objects as its parameter and returns a `TestTable` object. The `TestTable` class is defined elsewhere in the codebase. The purpose of this function is to set up test data for Presto tests.</t>
        </is>
      </c>
      <c r="I1418" t="n">
        <v>0.0042</v>
      </c>
      <c r="J1418" t="n">
        <v>0.0667</v>
      </c>
      <c r="K1418" t="n">
        <v>0.121</v>
      </c>
      <c r="L1418" t="inlineStr">
        <is>
          <t>The provided code defines an interface called `DataSetup` that has one method called `setupTestTable`. The method takes a list of input objects as a parameter and returns a `TestTable` object. The `TestTable` class represents a table used for testing purposes. The `DataSetup` interface is responsible for setting up test data for various tests in Presto.</t>
        </is>
      </c>
      <c r="M1418" t="n">
        <v>0.0033</v>
      </c>
      <c r="N1418" t="n">
        <v>0.0317</v>
      </c>
      <c r="O1418" t="n">
        <v>0.07870000000000001</v>
      </c>
    </row>
    <row r="1419">
      <c r="A1419" t="inlineStr">
        <is>
          <t>presto</t>
        </is>
      </c>
      <c r="B1419" t="inlineStr">
        <is>
          <t>presto-tests/src/main/java/com/facebook/presto/tests/datatype/CreateAsSelectDataSetup.java</t>
        </is>
      </c>
      <c r="C1419">
        <f>HYPERLINK("https://github.com/prestodb/presto/blob/master/presto-tests/src/main/java/com/facebook/presto/tests/datatype/CreateAsSelectDataSetup.java")</f>
        <v/>
      </c>
      <c r="D1419" t="inlineStr">
        <is>
          <t>This Java code defines a `CreateAsSelectDataSetup` class that provides functionality for creating tables from data sets using Presto's SQL engine. The class takes a list of column names and a list of rows as input, and uses them to create a table with those columns and populate it with the given data. It also includes utility methods for generating test data sets and executing SQL queries against</t>
        </is>
      </c>
      <c r="E1419" t="n">
        <v>0.0036</v>
      </c>
      <c r="F1419" t="n">
        <v>0.0789</v>
      </c>
      <c r="G1419" t="n">
        <v>0.1079</v>
      </c>
      <c r="H1419" t="inlineStr">
        <is>
          <t>This Java code defines a `CreateAsSelectDataSetup` class that creates test data for Presto's SQL engine using a `SqlExecutor`. The class takes a list of `TestTable` objects as input and uses them to create tables with randomized data. It then populates these tables with data using a `createAsSelect` statement. Finally, it returns a list of `</t>
        </is>
      </c>
      <c r="I1419" t="n">
        <v>0.004</v>
      </c>
      <c r="J1419" t="n">
        <v>0.0635</v>
      </c>
      <c r="K1419" t="n">
        <v>0.1181</v>
      </c>
      <c r="L1419" t="inlineStr">
        <is>
          <t>The `CreateAsSelectDataSetup` class creates test data for Presto's SQL tests using the `SqlExecutor` class. It takes a list of `TestTable` objects as input and uses them to create tables with randomized data. The table names and column types are generated based on the `TestTable` objects, and the data is created using the `range` method from</t>
        </is>
      </c>
      <c r="M1419" t="n">
        <v>0.0033</v>
      </c>
      <c r="N1419" t="n">
        <v>0.0312</v>
      </c>
      <c r="O1419" t="n">
        <v>0.07870000000000001</v>
      </c>
    </row>
    <row r="1420">
      <c r="A1420" t="inlineStr">
        <is>
          <t>presto</t>
        </is>
      </c>
      <c r="B1420" t="inlineStr">
        <is>
          <t>presto-tests/src/main/java/com/facebook/presto/tests/datatype/DataTypeTest.java</t>
        </is>
      </c>
      <c r="C1420">
        <f>HYPERLINK("https://github.com/prestodb/presto/blob/master/presto-tests/src/main/java/com/facebook/presto/tests/datatype/DataTypeTest.java")</f>
        <v/>
      </c>
      <c r="D1420" t="inlineStr">
        <is>
          <t>This Java code defines a class called `DataTypeTests` that provides methods for testing various data types supported by Presto. The class uses the `com.facebook.presto` package for interacting with Presto's query engine and the `com.google.common.collect` package for working with collections.
The `DataTypeTests` class has several methods that perform</t>
        </is>
      </c>
      <c r="E1420" t="n">
        <v>0.0046</v>
      </c>
      <c r="F1420" t="n">
        <v>0.06560000000000001</v>
      </c>
      <c r="G1420" t="n">
        <v>0.1261</v>
      </c>
      <c r="H1420" t="inlineStr">
        <is>
          <t>This code defines a Java package named `com.facebook.presto.tests.datatype` that provides various data types used in Presto's tests. The package includes several classes, each representing a different data type, such as `Bigint`, `Varchar`, etc. These classes define the behavior of these data types, including how they can be converted from one format to another</t>
        </is>
      </c>
      <c r="I1420" t="n">
        <v>0.0035</v>
      </c>
      <c r="J1420" t="n">
        <v>0.0303</v>
      </c>
      <c r="K1420" t="n">
        <v>0.08</v>
      </c>
      <c r="L1420" t="inlineStr">
        <is>
          <t>The provided code defines a class named `DataTypeTests` that extends the `TestTable` class from Presto's testing framework. It provides a set of tests for data types in Presto, including basic arithmetic operations, comparison operators, and casting between different data types.
The test cases are defined using JUnit annotations, such as `@BeforeClass`, `@AfterClass`, `@</t>
        </is>
      </c>
      <c r="M1420" t="n">
        <v>0.0035</v>
      </c>
      <c r="N1420" t="n">
        <v>0.0328</v>
      </c>
      <c r="O1420" t="n">
        <v>0.08</v>
      </c>
    </row>
    <row r="1421">
      <c r="A1421" t="inlineStr">
        <is>
          <t>presto</t>
        </is>
      </c>
      <c r="B1421" t="inlineStr">
        <is>
          <t>presto-tests/src/main/java/com/facebook/presto/tests/datatype/CreateAndInsertDataSetup.java</t>
        </is>
      </c>
      <c r="C1421">
        <f>HYPERLINK("https://github.com/prestodb/presto/blob/master/presto-tests/src/main/java/com/facebook/presto/tests/datatype/CreateAndInsertDataSetup.java")</f>
        <v/>
      </c>
      <c r="D1421" t="inlineStr">
        <is>
          <t>This Java code defines a `CreateAndInsertDataSetup` class that creates and inserts data into a test table using Presto's SQL executor. The class has several methods, including `createTables`, `insertData`, and `dropTables`. These methods create and insert data into tables based on the schema defined in the `TestTable` object. The `createTables` method</t>
        </is>
      </c>
      <c r="E1421" t="n">
        <v>0.0044</v>
      </c>
      <c r="F1421" t="n">
        <v>0.0678</v>
      </c>
      <c r="G1421" t="n">
        <v>0.123</v>
      </c>
      <c r="H1421" t="inlineStr">
        <is>
          <t>The code creates a Presto test table named `CreateAndInsertDataSetup` that generates data for testing purposes. It uses the `com.facebook.presto.tests.sql.SqlExecutor` class to execute SQL statements and create tables. The `TestTable` class is used to generate data for the tables. The `range` method from the Java Stream API is used to generate</t>
        </is>
      </c>
      <c r="I1421" t="n">
        <v>0.0037</v>
      </c>
      <c r="J1421" t="n">
        <v>0.0317</v>
      </c>
      <c r="K1421" t="n">
        <v>0.082</v>
      </c>
      <c r="L1421" t="inlineStr">
        <is>
          <t>The code creates and inserts data into a table using Presto's SQL interface. It uses the `com.facebook.presto.tests.sql.SqlExecutor` class to execute SQL queries against a test database. The `CreateAndInsertDataSetup` class takes a list of column names as input and generates a CREATE TABLE statement based on that list. It then uses the generated</t>
        </is>
      </c>
      <c r="M1421" t="n">
        <v>0.0035</v>
      </c>
      <c r="N1421" t="n">
        <v>0.0303</v>
      </c>
      <c r="O1421" t="n">
        <v>0.0806</v>
      </c>
    </row>
    <row r="1422">
      <c r="A1422" t="inlineStr">
        <is>
          <t>presto</t>
        </is>
      </c>
      <c r="B1422" t="inlineStr">
        <is>
          <t>presto-tests/src/main/java/com/facebook/presto/tests/statistics/Metric.java</t>
        </is>
      </c>
      <c r="C1422">
        <f>HYPERLINK("https://github.com/prestodb/presto/blob/master/presto-tests/src/main/java/com/facebook/presto/tests/statistics/Metric.java")</f>
        <v/>
      </c>
      <c r="D1422" t="inlineStr">
        <is>
          <t>The `Metric` interface defines a set of methods that allow for calculating various metrics from a given input data structure. Specifically, it provides two main functions:
* `getValueFromPlanNodeEstimate`: This method takes a `PlanNodeStatsEstimate` object as input and returns an optional double representing the metric value based on the statistics of the plan node.
* `getValue</t>
        </is>
      </c>
      <c r="E1422" t="n">
        <v>0.004</v>
      </c>
      <c r="F1422" t="n">
        <v>0.06560000000000001</v>
      </c>
      <c r="G1422" t="n">
        <v>0.07870000000000001</v>
      </c>
      <c r="H1422" t="inlineStr">
        <is>
          <t>This code defines an interface called `Metric` that provides methods for retrieving values from different sources, such as `PlanNodeStatsEstimate` objects and aggregation query results. The `getValueFromPlanNodeEstimate()` method returns an optional double value based on the input parameters, while the `getValueFromAggregationQueryResult()` method does the same but takes an object parameter instead</t>
        </is>
      </c>
      <c r="I1422" t="n">
        <v>0.0044</v>
      </c>
      <c r="J1422" t="n">
        <v>0.06900000000000001</v>
      </c>
      <c r="K1422" t="n">
        <v>0.082</v>
      </c>
      <c r="L1422" t="inlineStr">
        <is>
          <t>The provided code defines an interface called `Metric` that provides methods for retrieving values from different sources such as a `PlanNodeStatsEstimate` object or an aggregation query result. It also includes a method for generating SQL used for computing the metric's value based on the data retrieved from these sources. Overall, this interface appears to be responsible for providing a way to compute</t>
        </is>
      </c>
      <c r="M1422" t="n">
        <v>0</v>
      </c>
      <c r="N1422" t="n">
        <v>0.0282</v>
      </c>
      <c r="O1422" t="n">
        <v>0.0746</v>
      </c>
    </row>
    <row r="1423">
      <c r="A1423" t="inlineStr">
        <is>
          <t>presto</t>
        </is>
      </c>
      <c r="B1423" t="inlineStr">
        <is>
          <t>presto-tests/src/main/java/com/facebook/presto/tests/statistics/MetricComparisonStrategies.java</t>
        </is>
      </c>
      <c r="C1423">
        <f>HYPERLINK("https://github.com/prestodb/presto/blob/master/presto-tests/src/main/java/com/facebook/presto/tests/statistics/MetricComparisonStrategies.java")</f>
        <v/>
      </c>
      <c r="D1423" t="inlineStr">
        <is>
          <t>The `MetricComparisonStrategies` class provides several methods for comparing metrics. It has three main methods:
* `noError()`: Returns a strategy that does not allow any error between two values. This means that if the difference between the expected and actual value exceeds zero, then the comparison fails.
* `absoluteError(double error)`: Returns a strategy</t>
        </is>
      </c>
      <c r="E1423" t="n">
        <v>0.0042</v>
      </c>
      <c r="F1423" t="n">
        <v>0.0678</v>
      </c>
      <c r="G1423" t="n">
        <v>0.0806</v>
      </c>
      <c r="H1423" t="inlineStr">
        <is>
          <t>The code defines a Java package called `com.facebook.presto.tests.statistics` that contains several classes related to statistical analysis and comparison strategies. The package includes a single class named `MetricComparisonStrategies`, which provides various methods for comparing metrics based on different criteria such as absolute error, relative error, and significance level.
The `noError()`</t>
        </is>
      </c>
      <c r="I1423" t="n">
        <v>0.0037</v>
      </c>
      <c r="J1423" t="n">
        <v>0.0328</v>
      </c>
      <c r="K1423" t="n">
        <v>0.0413</v>
      </c>
      <c r="L1423" t="inlineStr">
        <is>
          <t>The code defines a set of methods for comparing metrics in Presto tests. It provides two strategies for comparing metrics: `noError` and `absoluteError`. The `noError` strategy checks that the difference between the expected and actual values is within a specified tolerance, while the `absoluteError` strategy checks that the absolute value of the difference is within the specified range.</t>
        </is>
      </c>
      <c r="M1423" t="n">
        <v>0.0031</v>
      </c>
      <c r="N1423" t="n">
        <v>0.0303</v>
      </c>
      <c r="O1423" t="n">
        <v>0.0385</v>
      </c>
    </row>
    <row r="1424">
      <c r="A1424" t="inlineStr">
        <is>
          <t>presto</t>
        </is>
      </c>
      <c r="B1424" t="inlineStr">
        <is>
          <t>presto-tests/src/main/java/com/facebook/presto/tests/statistics/Metrics.java</t>
        </is>
      </c>
      <c r="C1424">
        <f>HYPERLINK("https://github.com/prestodb/presto/blob/master/presto-tests/src/main/java/com/facebook/presto/tests/statistics/Metrics.java")</f>
        <v/>
      </c>
      <c r="D1424" t="inlineStr">
        <is>
          <t>The `Metrics` class provides utility methods for working with metrics, such as output row count, input row count, and memory usage. It also defines several constants used throughout the system, including `OUTPUT_ROW_COUNT`, which represents the number of rows produced by a query plan node.</t>
        </is>
      </c>
      <c r="E1424" t="n">
        <v>0.0042</v>
      </c>
      <c r="F1424" t="n">
        <v>0.037</v>
      </c>
      <c r="G1424" t="n">
        <v>0.0862</v>
      </c>
      <c r="H1424" t="inlineStr">
        <is>
          <t>The `Metrics` class provides various metrics related to Presto's cost estimation and query optimization. It defines several constants that represent different types of metrics, such as output row count, input size, and memory usage. Each metric has its own implementation, which can be accessed through the `get()` method. Additionally, there are utility methods for working with nullable values, such as `</t>
        </is>
      </c>
      <c r="I1424" t="n">
        <v>0.003</v>
      </c>
      <c r="J1424" t="n">
        <v>0.029</v>
      </c>
      <c r="K1424" t="n">
        <v>0.0752</v>
      </c>
      <c r="L1424" t="inlineStr">
        <is>
          <t>The provided code defines a Java package named `com.facebook.presto.tests.statistics` that provides various utility methods for working with statistical metrics. The package includes a single class called `Metrics`, which has several static methods for calculating various statistics such as mean, variance, standard deviation, and skewness. Additionally, the package also includes a method for computing the estimated output</t>
        </is>
      </c>
      <c r="M1424" t="n">
        <v>0.0033</v>
      </c>
      <c r="N1424" t="n">
        <v>0.0294</v>
      </c>
      <c r="O1424" t="n">
        <v>0.0781</v>
      </c>
    </row>
    <row r="1425">
      <c r="A1425" t="inlineStr">
        <is>
          <t>presto</t>
        </is>
      </c>
      <c r="B1425" t="inlineStr">
        <is>
          <t>presto-tests/src/main/java/com/facebook/presto/tests/statistics/MetricComparison.java</t>
        </is>
      </c>
      <c r="C1425">
        <f>HYPERLINK("https://github.com/prestodb/presto/blob/master/presto-tests/src/main/java/com/facebook/presto/tests/statistics/MetricComparison.java")</f>
        <v/>
      </c>
      <c r="D1425" t="inlineStr">
        <is>
          <t>This Java code appears to be part of a Presto project, specifically the `com.facebook.presto.tests` package. The code defines several classes related to statistical analysis, including `MetricComparison`, which is used to compare two metrics.
The main class in this code snippet is `MetricComparison`. It has three methods: `compare`, `getBas</t>
        </is>
      </c>
      <c r="E1425" t="n">
        <v>0.0038</v>
      </c>
      <c r="F1425" t="n">
        <v>0.0339</v>
      </c>
      <c r="G1425" t="n">
        <v>0.0833</v>
      </c>
      <c r="H1425" t="inlineStr">
        <is>
          <t>This code implements a statistical comparison tool that can be used to compare the performance of different versions of a system. The tool takes as input two sets of data, one representing the baseline version and another representing the current version being tested. It then calculates various metrics such as mean, standard deviation, and correlation coefficient between the two sets of data. Finally, it provides a result indicating whether the</t>
        </is>
      </c>
      <c r="I1425" t="n">
        <v>0.0034</v>
      </c>
      <c r="J1425" t="n">
        <v>0.0769</v>
      </c>
      <c r="K1425" t="n">
        <v>0.1408</v>
      </c>
      <c r="L1425" t="inlineStr">
        <is>
          <t>The code defines a class called MetricComparison that takes two double values as input and returns a result indicating whether they match or differ. It uses several methods from other classes to perform the comparison, including one called getBaselineValue() and another called getEstimate(). The code also includes comments describing the license and the purpose of the code.</t>
        </is>
      </c>
      <c r="M1425" t="n">
        <v>0.0032</v>
      </c>
      <c r="N1425" t="n">
        <v>0.0308</v>
      </c>
      <c r="O1425" t="n">
        <v>0.0775</v>
      </c>
    </row>
    <row r="1426">
      <c r="A1426" t="inlineStr">
        <is>
          <t>presto</t>
        </is>
      </c>
      <c r="B1426" t="inlineStr">
        <is>
          <t>presto-tests/src/main/java/com/facebook/presto/tests/statistics/MetricComparisonStrategy.java</t>
        </is>
      </c>
      <c r="C1426">
        <f>HYPERLINK("https://github.com/prestodb/presto/blob/master/presto-tests/src/main/java/com/facebook/presto/tests/statistics/MetricComparisonStrategy.java")</f>
        <v/>
      </c>
      <c r="D1426" t="inlineStr">
        <is>
          <t>The `MetricComparisonStrategy` interface defines a method called `matches`, which takes two doubles as input parameters, `actual` and `estimate`. The method returns a boolean value indicating whether the difference between the two values falls within a certain tolerance. The tolerance is determined by the implementation of the strategy. The purpose of the interface is to provide a way to compare metrics that</t>
        </is>
      </c>
      <c r="E1426" t="n">
        <v>0.003</v>
      </c>
      <c r="F1426" t="n">
        <v>0.029</v>
      </c>
      <c r="G1426" t="n">
        <v>0.0752</v>
      </c>
      <c r="H1426" t="inlineStr">
        <is>
          <t>This code defines an interface called `MetricComparisonStrategy` that has one method called `matches`. The method takes two arguments, `actual` and `estimate`, which are both doubles. It returns a boolean value indicating whether the difference between `actual` and `estimate` is within a certain tolerance.
The code also includes some comments explaining the purpose of the class</t>
        </is>
      </c>
      <c r="I1426" t="n">
        <v>0.004</v>
      </c>
      <c r="J1426" t="n">
        <v>0.0635</v>
      </c>
      <c r="K1426" t="n">
        <v>0.07870000000000001</v>
      </c>
      <c r="L1426" t="inlineStr">
        <is>
          <t>The provided code defines an interface called `MetricComparisonStrategy` that provides a method named `matches()` which takes two doubles as input parameters and returns a boolean value indicating whether they match or not. The method implementation is not provided in the code snippet, so we cannot know exactly how it works. However, based on the name of the interface and the method signature, it seems like it</t>
        </is>
      </c>
      <c r="M1426" t="n">
        <v>0.0028</v>
      </c>
      <c r="N1426" t="n">
        <v>0.0541</v>
      </c>
      <c r="O1426" t="n">
        <v>0.0725</v>
      </c>
    </row>
    <row r="1427">
      <c r="A1427" t="inlineStr">
        <is>
          <t>presto</t>
        </is>
      </c>
      <c r="B1427" t="inlineStr">
        <is>
          <t>presto-tests/src/main/java/com/facebook/presto/tests/statistics/StatsContext.java</t>
        </is>
      </c>
      <c r="C1427">
        <f>HYPERLINK("https://github.com/prestodb/presto/blob/master/presto-tests/src/main/java/com/facebook/presto/tests/statistics/StatsContext.java")</f>
        <v/>
      </c>
      <c r="D1427" t="inlineStr">
        <is>
          <t>The `StatsContext` class provides a context for computing statistics for a query plan. It takes a map of columns to their corresponding variable references as input and provides methods for accessing those variables. The class also has a constructor that initializes the map from the input parameters.</t>
        </is>
      </c>
      <c r="E1427" t="n">
        <v>0.0039</v>
      </c>
      <c r="F1427" t="n">
        <v>0.0364</v>
      </c>
      <c r="G1427" t="n">
        <v>0.08400000000000001</v>
      </c>
      <c r="H1427" t="inlineStr">
        <is>
          <t>This code defines a `StatsContext` class that provides a mapping between column names and their corresponding variable references. The class has one constructor that takes a map of strings representing column names and their corresponding variable references as input. It also has a method called `getColumnVariable` that returns the variable reference associated with a given column name. Overall, this code appears to be related to implementing statistical</t>
        </is>
      </c>
      <c r="I1427" t="n">
        <v>0.0032</v>
      </c>
      <c r="J1427" t="n">
        <v>0.0533</v>
      </c>
      <c r="K1427" t="n">
        <v>0.1439</v>
      </c>
      <c r="L1427" t="inlineStr">
        <is>
          <t>The provided code defines a `StatsContext` class that provides a map of variable references for columns used in statistics calculations. It also includes some utility methods for working with the map.
The main purpose of the class appears to be to provide a way to access the variables associated with each column in a Presto table, which can then be used for statistical analysis. The class has a constructor</t>
        </is>
      </c>
      <c r="M1427" t="n">
        <v>0</v>
      </c>
      <c r="N1427" t="n">
        <v>0</v>
      </c>
      <c r="O1427" t="n">
        <v>0.0355</v>
      </c>
    </row>
    <row r="1428">
      <c r="A1428" t="inlineStr">
        <is>
          <t>presto</t>
        </is>
      </c>
      <c r="B1428" t="inlineStr">
        <is>
          <t>presto-tests/src/main/java/com/facebook/presto/tests/statistics/StatisticsAssertion.java</t>
        </is>
      </c>
      <c r="C1428">
        <f>HYPERLINK("https://github.com/prestodb/presto/blob/master/presto-tests/src/main/java/com/facebook/presto/tests/statistics/StatisticsAssertion.java")</f>
        <v/>
      </c>
      <c r="D1428" t="inlineStr">
        <is>
          <t>The provided Java code defines a class named `StatisticsTest` that implements various tests related to statistics. It uses the Presto query runner to execute queries against a database and compare the results with expected values. The class includes several methods that perform different types of statistical analysis, such as calculating mean, variance, and correlation coefficient. Additionally, it provides a method to compare two sets of data based</t>
        </is>
      </c>
      <c r="E1428" t="n">
        <v>0.0032</v>
      </c>
      <c r="F1428" t="n">
        <v>0.0533</v>
      </c>
      <c r="G1428" t="n">
        <v>0.1079</v>
      </c>
      <c r="H1428" t="inlineStr">
        <is>
          <t>This code defines a package called `com.facebook.presto.tests.statistics` that provides various classes and methods related to statistical analysis and comparison. The package includes a class called `MetricComparator` that implements a method called `getMetricComparisons()` which takes in a list of metric comparisons as input and returns a list of results indicating whether each comparison matches</t>
        </is>
      </c>
      <c r="I1428" t="n">
        <v>0.0045</v>
      </c>
      <c r="J1428" t="n">
        <v>0.09229999999999999</v>
      </c>
      <c r="K1428" t="n">
        <v>0.12</v>
      </c>
      <c r="L1428" t="inlineStr">
        <is>
          <t>The provided code defines a class named `StatisticTest` that extends `AbstractTestQueries`. It appears to be used for testing statistical metrics such as mean, variance, standard deviation, etc.
The `runTest` method takes two arguments: a `QueryRunner` instance and a list of `String` objects representing SQL queries. For each query, the method executes the query</t>
        </is>
      </c>
      <c r="M1428" t="n">
        <v>0.0035</v>
      </c>
      <c r="N1428" t="n">
        <v>0.0328</v>
      </c>
      <c r="O1428" t="n">
        <v>0.08</v>
      </c>
    </row>
    <row r="1429">
      <c r="A1429" t="inlineStr">
        <is>
          <t>presto</t>
        </is>
      </c>
      <c r="B1429" t="inlineStr">
        <is>
          <t>presto-tests/src/main/java/com/facebook/presto/tests/statistics/MetricComparator.java</t>
        </is>
      </c>
      <c r="C1429">
        <f>HYPERLINK("https://github.com/prestodb/presto/blob/master/presto-tests/src/main/java/com/facebook/presto/tests/statistics/MetricComparator.java")</f>
        <v/>
      </c>
      <c r="D1429" t="inlineStr">
        <is>
          <t>This code appears to be part of a Presto SQL query optimizer, specifically the `com.facebook.presto.tests.statistics` package. It defines several classes that are used to estimate the cost of executing a query plan, as well as methods to generate statistics about the output of a query. The main class, `Statistics`, has methods to compute various types of statistics</t>
        </is>
      </c>
      <c r="E1429" t="n">
        <v>0.0032</v>
      </c>
      <c r="F1429" t="n">
        <v>0.029</v>
      </c>
      <c r="G1429" t="n">
        <v>0.0775</v>
      </c>
      <c r="H1429" t="inlineStr">
        <is>
          <t>This code appears to be part of a Presto SQL query engine. It defines several classes and methods related to statistics estimation and plan optimization. The main class, `StatisticsWriter`, takes in a `Plan` object as input and outputs a set of statistical estimates for each node in the plan. These estimates include information such as the number of rows processed, the amount of memory used, and</t>
        </is>
      </c>
      <c r="I1429" t="n">
        <v>0.0033</v>
      </c>
      <c r="J1429" t="n">
        <v>0.0541</v>
      </c>
      <c r="K1429" t="n">
        <v>0.1087</v>
      </c>
      <c r="L1429" t="inlineStr">
        <is>
          <t>The provided code defines a Presto SQL query that computes statistics for a given plan node. It takes in a Session object, PlanNodeStatsEstimate object, OutputNode object, VariableReferenceExpression array, MaterializedRow array, and WarningCollector object as input parameters. The function then uses these inputs to compute various statistics such as the number of rows, data size, and column sizes</t>
        </is>
      </c>
      <c r="M1429" t="n">
        <v>0.0032</v>
      </c>
      <c r="N1429" t="n">
        <v>0.0615</v>
      </c>
      <c r="O1429" t="n">
        <v>0.0775</v>
      </c>
    </row>
    <row r="1430">
      <c r="A1430" t="inlineStr">
        <is>
          <t>presto</t>
        </is>
      </c>
      <c r="B1430" t="inlineStr">
        <is>
          <t>presto-tests/src/main/java/com/facebook/presto/tests/tpcds/TpcdsTableName.java</t>
        </is>
      </c>
      <c r="C1430">
        <f>HYPERLINK("https://github.com/prestodb/presto/blob/master/presto-tests/src/main/java/com/facebook/presto/tests/tpcds/TpcdsTableName.java")</f>
        <v/>
      </c>
      <c r="D1430" t="inlineStr">
        <is>
          <t>This Java class defines an enumeration of all the tables used in the TPC-DS benchmarking suite. Each table name is represented as a constant string value in the `TpcdsTableName` enum. The `ImmutableList` class is used to create an immutable list of all the table names, which can be accessed through the `getAllTables()` method. Additionally</t>
        </is>
      </c>
      <c r="E1430" t="n">
        <v>0.0034</v>
      </c>
      <c r="F1430" t="n">
        <v>0.0317</v>
      </c>
      <c r="G1430" t="n">
        <v>0.0794</v>
      </c>
      <c r="H1430" t="inlineStr">
        <is>
          <t>This code defines an enumeration called `TpcdsTableName` that represents the names of tables used in the TPC-DS benchmarking suite. The table names are defined as constants in the code using the `static final` modifier. The `ImmutableList` class from Guava is used to create a list of all the table names. The `Locale` class</t>
        </is>
      </c>
      <c r="I1430" t="n">
        <v>0.0035</v>
      </c>
      <c r="J1430" t="n">
        <v>0.0323</v>
      </c>
      <c r="K1430" t="n">
        <v>0.08</v>
      </c>
      <c r="L1430" t="inlineStr">
        <is>
          <t>The provided code defines a Java enumeration called `TpcdsTableName` that represents the names of tables used in the TPC-DS benchmarking suite. It includes constants for each table name, as well as some utility methods for working with these names. The code also imports several other classes from the Guava library, specifically the `ImmutableList` class. Overall,</t>
        </is>
      </c>
      <c r="M1430" t="n">
        <v>0</v>
      </c>
      <c r="N1430" t="n">
        <v>0</v>
      </c>
      <c r="O1430" t="n">
        <v>0.0394</v>
      </c>
    </row>
    <row r="1431">
      <c r="A1431" t="inlineStr">
        <is>
          <t>presto</t>
        </is>
      </c>
      <c r="B1431" t="inlineStr">
        <is>
          <t>presto-tests/src/main/java/com/facebook/presto/tests/tpch/MaterializedTupleRecordSet.java</t>
        </is>
      </c>
      <c r="C1431">
        <f>HYPERLINK("https://github.com/prestodb/presto/blob/master/presto-tests/src/main/java/com/facebook/presto/tests/tpch/MaterializedTupleRecordSet.java")</f>
        <v/>
      </c>
      <c r="D1431" t="inlineStr">
        <is>
          <t>The `Mate` class implements a materialized result set that can be used to store query results. It provides methods for creating a new instance from a list of columns and a record cursor, as well as methods for accessing the data stored in the result set.
The `Mate` class has the following members:
* `columns`: A list of column names.</t>
        </is>
      </c>
      <c r="E1431" t="n">
        <v>0.0036</v>
      </c>
      <c r="F1431" t="n">
        <v>0.0597</v>
      </c>
      <c r="G1431" t="n">
        <v>0.1136</v>
      </c>
      <c r="H1431" t="inlineStr">
        <is>
          <t>This code defines a class called `Mate` that implements the `RecordSet` interface from Presto's SPI. It has several methods that allow it to be used as a data source for various operations in Presto. The main method of interest is the `getColumnTypes()` method, which returns a list of column types for the record set. Other important methods include `cursor</t>
        </is>
      </c>
      <c r="I1431" t="n">
        <v>0.0037</v>
      </c>
      <c r="J1431" t="n">
        <v>0.0588</v>
      </c>
      <c r="K1431" t="n">
        <v>0.1145</v>
      </c>
      <c r="L1431" t="inlineStr">
        <is>
          <t>The provided code defines a class called `Mate` that implements the `RecordSet` interface from Presto. It provides a way to represent a set of records as a single record, which can be useful for various purposes such as testing or debugging.
The `Mate` class has several important methods, including a constructor that takes a list of types and a list of iterators</t>
        </is>
      </c>
      <c r="M1431" t="n">
        <v>0.0035</v>
      </c>
      <c r="N1431" t="n">
        <v>0.0571</v>
      </c>
      <c r="O1431" t="n">
        <v>0.1119</v>
      </c>
    </row>
    <row r="1432">
      <c r="A1432" t="inlineStr">
        <is>
          <t>presto</t>
        </is>
      </c>
      <c r="B1432" t="inlineStr">
        <is>
          <t>presto-tests/src/main/java/com/facebook/presto/tests/tpch/ExampleSystemTable.java</t>
        </is>
      </c>
      <c r="C1432">
        <f>HYPERLINK("https://github.com/prestodb/presto/blob/master/presto-tests/src/main/java/com/facebook/presto/tests/tpch/ExampleSystemTable.java")</f>
        <v/>
      </c>
      <c r="D1432" t="inlineStr">
        <is>
          <t>The provided code defines a `TpchSystemTable` class that implements the `SystemTable` interface from Presto's SPI (Service Provider Interface). This class provides access to TPC-H data sets as system tables within Presto.
The `TpchSystemTable` constructor takes a `SchemaTableName` object representing the name of the table and a</t>
        </is>
      </c>
      <c r="E1432" t="n">
        <v>0.0053</v>
      </c>
      <c r="F1432" t="n">
        <v>0.07140000000000001</v>
      </c>
      <c r="G1432" t="n">
        <v>0.1271</v>
      </c>
      <c r="H1432" t="inlineStr">
        <is>
          <t>The code defines a system table that provides access to TPC-H data. It imports various Presto SPI classes and interfaces, including ConnectorSession, ConnectorTableMetadata, InMemoryRecordSet, RecordCursor, RecordSet, SystemTable, TupleDomain, and SchemaTableName. The class also has several methods that implement the SystemTable interface, such as get</t>
        </is>
      </c>
      <c r="I1432" t="n">
        <v>0.0042</v>
      </c>
      <c r="J1432" t="n">
        <v>0.0377</v>
      </c>
      <c r="K1432" t="n">
        <v>0.0862</v>
      </c>
      <c r="L1432" t="inlineStr">
        <is>
          <t>The provided code defines a Presto system table that retrieves data from the TPC-H benchmark dataset. It is part of the Presto project's test suite and provides a way to query the TPC-H schema using SQL.
The `TpchQuery` class implements the `SystemTable` interface and provides a record set containing the results of a TPC-</t>
        </is>
      </c>
      <c r="M1432" t="n">
        <v>0.004</v>
      </c>
      <c r="N1432" t="n">
        <v>0.0615</v>
      </c>
      <c r="O1432" t="n">
        <v>0.119</v>
      </c>
    </row>
    <row r="1433">
      <c r="A1433" t="inlineStr">
        <is>
          <t>presto</t>
        </is>
      </c>
      <c r="B1433" t="inlineStr">
        <is>
          <t>presto-tests/src/main/java/com/facebook/presto/tests/tpch/TpchIndexProvider.java</t>
        </is>
      </c>
      <c r="C1433">
        <f>HYPERLINK("https://github.com/prestodb/presto/blob/master/presto-tests/src/main/java/com/facebook/presto/tests/tpch/TpchIndexProvider.java")</f>
        <v/>
      </c>
      <c r="D1433" t="inlineStr">
        <is>
          <t>This Java class implements the `com.facebook.presto.spi.ConnectorIndex` interface, which provides methods for accessing and manipulating indexes used in Presto queries. The class has several important responsibilities, including:
* Implementing the `getIndexColumns()` method, which returns a list of column handles that make up the index.
* Implement</t>
        </is>
      </c>
      <c r="E1433" t="n">
        <v>0.0054</v>
      </c>
      <c r="F1433" t="n">
        <v>0.1091</v>
      </c>
      <c r="G1433" t="n">
        <v>0.1709</v>
      </c>
      <c r="H1433" t="inlineStr">
        <is>
          <t>This code appears to be part of a Presto database management system. It defines several classes related to indexing data stored in the Presto format. The `TpchIndex` class represents an index that can be used to quickly access data from a table in the TPC-H benchmark dataset. The `TpchIndexHandle` class represents a handle to an instance of the `T</t>
        </is>
      </c>
      <c r="I1433" t="n">
        <v>0.0031</v>
      </c>
      <c r="J1433" t="n">
        <v>0.0294</v>
      </c>
      <c r="K1433" t="n">
        <v>0.07630000000000001</v>
      </c>
      <c r="L1433" t="inlineStr">
        <is>
          <t>The provided code defines a class called `TpchIndex` that implements the `ConnectorIndex` interface from Presto's connector API. It provides methods for accessing and manipulating data stored in TPC-H benchmark datasets.
The `TpchIndex` class takes two parameters upon instantiation: a `ConnectorSession` object and a `String` representing</t>
        </is>
      </c>
      <c r="M1433" t="n">
        <v>0.0049</v>
      </c>
      <c r="N1433" t="n">
        <v>0.0727</v>
      </c>
      <c r="O1433" t="n">
        <v>0.08550000000000001</v>
      </c>
    </row>
    <row r="1434">
      <c r="A1434" t="inlineStr">
        <is>
          <t>presto</t>
        </is>
      </c>
      <c r="B1434" t="inlineStr">
        <is>
          <t>presto-tests/src/main/java/com/facebook/presto/tests/tpch/TpchIndexHandle.java</t>
        </is>
      </c>
      <c r="C1434">
        <f>HYPERLINK("https://github.com/prestodb/presto/blob/master/presto-tests/src/main/java/com/facebook/presto/tests/tpch/TpchIndexHandle.java")</f>
        <v/>
      </c>
      <c r="D1434" t="inlineStr">
        <is>
          <t>The code defines a `Tp` class that represents a tuple domain index handle for Presto. It has the following properties:
* A set of columns (`columns`) that make up the tuples in the index.
* A set of predicates (`predicates`) that define which tuples should be included in the index.
* An optional name (`name`)</t>
        </is>
      </c>
      <c r="E1434" t="n">
        <v>0</v>
      </c>
      <c r="F1434" t="n">
        <v>0</v>
      </c>
      <c r="G1434" t="n">
        <v>0</v>
      </c>
      <c r="H1434" t="inlineStr">
        <is>
          <t>This code defines a Java package called `com.facebook.presto.tests.tpch` that contains classes related to Presto's implementation of the TPC-H benchmark suite. The package includes several classes, including `Tp`, which appears to be a top-level class that represents a generic data structure used throughout the codebase.
The `Tp` class</t>
        </is>
      </c>
      <c r="I1434" t="n">
        <v>0.0039</v>
      </c>
      <c r="J1434" t="n">
        <v>0.0645</v>
      </c>
      <c r="K1434" t="n">
        <v>0.1261</v>
      </c>
      <c r="L1434" t="inlineStr">
        <is>
          <t>The provided code defines a Java class named `Tp` that implements the `ConnectorIndexHandle` interface from Presto's connector API. It provides a set of methods for working with indexes, including constructors, getters, and setters.
The class has two primary responsibilities:
1. Representing index metadata: It stores various attributes related to</t>
        </is>
      </c>
      <c r="M1434" t="n">
        <v>0.0045</v>
      </c>
      <c r="N1434" t="n">
        <v>0.06900000000000001</v>
      </c>
      <c r="O1434" t="n">
        <v>0.124</v>
      </c>
    </row>
    <row r="1435">
      <c r="A1435" t="inlineStr">
        <is>
          <t>presto</t>
        </is>
      </c>
      <c r="B1435" t="inlineStr">
        <is>
          <t>presto-tests/src/main/java/com/facebook/presto/tests/tpch/MaterializedTuple.java</t>
        </is>
      </c>
      <c r="C1435">
        <f>HYPERLINK("https://github.com/prestodb/presto/blob/master/presto-tests/src/main/java/com/facebook/presto/tests/tpch/MaterializedTuple.java")</f>
        <v/>
      </c>
      <c r="D1435" t="inlineStr">
        <is>
          <t>The `MaterializedTuple` class represents a row in a table that has been materialized as part of a query execution plan in PrestoDB. It stores a list of objects representing the columns in the row, where each object can be any type of Java object.
The constructor takes a `List&lt;Object&gt;` argument, which it uses to initialize its internal state. The `</t>
        </is>
      </c>
      <c r="E1435" t="n">
        <v>0</v>
      </c>
      <c r="F1435" t="n">
        <v>0</v>
      </c>
      <c r="G1435" t="n">
        <v>0.0379</v>
      </c>
      <c r="H1435" t="inlineStr">
        <is>
          <t>This code defines a class called `MaterializedTuple` that represents a tuple of objects. It has one constructor that takes a list of objects as input and stores it in the `values` field. The class also provides a method named `from` that creates a new instance of `MaterializedTuple` from a given list of objects. Additionally, the class overrides the `equals</t>
        </is>
      </c>
      <c r="I1435" t="n">
        <v>0.0037</v>
      </c>
      <c r="J1435" t="n">
        <v>0.0597</v>
      </c>
      <c r="K1435" t="n">
        <v>0.07630000000000001</v>
      </c>
      <c r="L1435" t="inlineStr">
        <is>
          <t>The code defines a class called `MaterializedTuple` that represents a tuple of objects. It has a constructor that takes a list of values as input and stores them in a field called `values`. The class also provides a method called `from` that creates a new instance of the class based on a given list of values. Overall, the functionality of the code appears to be related</t>
        </is>
      </c>
      <c r="M1435" t="n">
        <v>0.0033</v>
      </c>
      <c r="N1435" t="n">
        <v>0.027</v>
      </c>
      <c r="O1435" t="n">
        <v>0.0725</v>
      </c>
    </row>
    <row r="1436">
      <c r="A1436" t="inlineStr">
        <is>
          <t>presto</t>
        </is>
      </c>
      <c r="B1436" t="inlineStr">
        <is>
          <t>presto-tests/src/main/java/com/facebook/presto/tests/tpch/TpchIndexSpec.java</t>
        </is>
      </c>
      <c r="C1436">
        <f>HYPERLINK("https://github.com/prestodb/presto/blob/master/presto-tests/src/main/java/com/facebook/presto/tests/tpch/TpchIndexSpec.java")</f>
        <v/>
      </c>
      <c r="D1436" t="inlineStr">
        <is>
          <t>The `TpchIndexSpec` class provides a way to specify indexes for tables in the TPC-H benchmark suite. It takes a set multimap as input, where each key represents a table and its corresponding value is a set of columns that should be indexed. The class has one method, `getIndexes`, which returns a set of index definitions for all the specified tables</t>
        </is>
      </c>
      <c r="E1436" t="n">
        <v>0.003</v>
      </c>
      <c r="F1436" t="n">
        <v>0.029</v>
      </c>
      <c r="G1436" t="n">
        <v>0.0379</v>
      </c>
      <c r="H1436" t="inlineStr">
        <is>
          <t>This code defines a data structure called `TpchIndexSpec` that represents a set of indexes for a database. The `spec` field is a map from scaled tables (i.e., tables with certain characteristics) to sets of index names. The `NO_INDEXES` constant is defined as an instance of `TpchIndexSpec` with an empty `spec`.</t>
        </is>
      </c>
      <c r="I1436" t="n">
        <v>0.0037</v>
      </c>
      <c r="J1436" t="n">
        <v>0.0333</v>
      </c>
      <c r="K1436" t="n">
        <v>0.082</v>
      </c>
      <c r="L1436" t="inlineStr">
        <is>
          <t>The `TpchIndexSpec` class represents a set of indexes that can be used to optimize queries against the TPC-H benchmark dataset. It provides methods for creating and manipulating these index specifications, as well as querying whether certain tables have any associated indexes.</t>
        </is>
      </c>
      <c r="M1436" t="n">
        <v>0.0045</v>
      </c>
      <c r="N1436" t="n">
        <v>0.04</v>
      </c>
      <c r="O1436" t="n">
        <v>0.0885</v>
      </c>
    </row>
    <row r="1437">
      <c r="A1437" t="inlineStr">
        <is>
          <t>presto</t>
        </is>
      </c>
      <c r="B1437" t="inlineStr">
        <is>
          <t>presto-tests/src/main/java/com/facebook/presto/tests/tpch/TpchScaledTable.java</t>
        </is>
      </c>
      <c r="C1437">
        <f>HYPERLINK("https://github.com/prestodb/presto/blob/master/presto-tests/src/main/java/com/facebook/presto/tests/tpch/TpchScaledTable.java")</f>
        <v/>
      </c>
      <c r="D1437" t="inlineStr">
        <is>
          <t>The `TpchScaledTable` class represents a scaled version of a TPC-H table, where the data has been multiplied by a given factor. It takes two parameters upon construction: the name of the original table and the scaling factor. The class provides methods for accessing the scaled data, such as `getTableName()` and `getScaleFactor()`.</t>
        </is>
      </c>
      <c r="E1437" t="n">
        <v>0.0036</v>
      </c>
      <c r="F1437" t="n">
        <v>0.0333</v>
      </c>
      <c r="G1437" t="n">
        <v>0.0407</v>
      </c>
      <c r="H1437" t="inlineStr">
        <is>
          <t>The provided code defines a Java class called `TpchScaledTable` that represents a scaled version of a TPC-H table. It has three fields: `tableName`, which stores the name of the original table, `scaleFactor`, which stores the scaling factor used to create the scaled table, and `table`. This field is initialized lazily when it</t>
        </is>
      </c>
      <c r="I1437" t="n">
        <v>0.0042</v>
      </c>
      <c r="J1437" t="n">
        <v>0.0328</v>
      </c>
      <c r="K1437" t="n">
        <v>0.121</v>
      </c>
      <c r="L1437" t="inlineStr">
        <is>
          <t>The provided code defines a `TpchScaledTable` class that represents a Presto database table used for testing purposes. It has two attributes: `tableName`, which specifies the name of the table, and `scaleFactor`, which determines how much the data should be scaled up or down. The constructor takes these values as input parameters and initializes them accordingly.</t>
        </is>
      </c>
      <c r="M1437" t="n">
        <v>0.0033</v>
      </c>
      <c r="N1437" t="n">
        <v>0.0317</v>
      </c>
      <c r="O1437" t="n">
        <v>0.07870000000000001</v>
      </c>
    </row>
    <row r="1438">
      <c r="A1438" t="inlineStr">
        <is>
          <t>presto</t>
        </is>
      </c>
      <c r="B1438" t="inlineStr">
        <is>
          <t>presto-tests/src/main/java/com/facebook/presto/tests/tpch/TpchIndexMetadata.java</t>
        </is>
      </c>
      <c r="C1438">
        <f>HYPERLINK("https://github.com/prestodb/presto/blob/master/presto-tests/src/main/java/com/facebook/presto/tests/tpch/TpchIndexMetadata.java")</f>
        <v/>
      </c>
      <c r="D1438" t="inlineStr">
        <is>
          <t>The provided code defines a `TpchIndex` class that implements the `ConnectorResolvedIndex` interface from Presto's connector API. It provides methods for creating and managing indexes for TPC-H data sets.
The `TpchIndex` class has several important methods:
* `createIndex`: Creates an index for a given table</t>
        </is>
      </c>
      <c r="E1438" t="n">
        <v>0.005</v>
      </c>
      <c r="F1438" t="n">
        <v>0.0755</v>
      </c>
      <c r="G1438" t="n">
        <v>0.0862</v>
      </c>
      <c r="H1438" t="inlineStr">
        <is>
          <t>This code defines a package called `com.facebook.presto.tests.tpch` that provides various classes and methods related to Presto's TPC-H benchmarking suite. The package includes several classes such as `TPCHBenchmark`, `TPCHTable`, and `TPCHData`. These classes provide functionalities for generating data sets, running queries, and analyzing</t>
        </is>
      </c>
      <c r="I1438" t="n">
        <v>0.0052</v>
      </c>
      <c r="J1438" t="n">
        <v>0.1071</v>
      </c>
      <c r="K1438" t="n">
        <v>0.1316</v>
      </c>
      <c r="L1438" t="inlineStr">
        <is>
          <t>The provided code implements a Presto connector that provides access to data from the TPC-H benchmark dataset. It defines several classes and methods related to indexing, querying, and manipulating data. The main purpose of the code appears to be to provide a way to execute queries against the TPC-H dataset using Presto's SQL interface.</t>
        </is>
      </c>
      <c r="M1438" t="n">
        <v>0.004</v>
      </c>
      <c r="N1438" t="n">
        <v>0.0615</v>
      </c>
      <c r="O1438" t="n">
        <v>0.119</v>
      </c>
    </row>
    <row r="1439">
      <c r="A1439" t="inlineStr">
        <is>
          <t>presto</t>
        </is>
      </c>
      <c r="B1439" t="inlineStr">
        <is>
          <t>presto-tests/src/main/java/com/facebook/presto/tests/tpch/AppendingRecordSet.java</t>
        </is>
      </c>
      <c r="C1439">
        <f>HYPERLINK("https://github.com/prestodb/presto/blob/master/presto-tests/src/main/java/com/facebook/presto/tests/tpch/AppendingRecordSet.java")</f>
        <v/>
      </c>
      <c r="D1439" t="inlineStr">
        <is>
          <t>The provided code defines a class called `TpchRecordSet` that implements the `RecordSet` interface from Presto's SPI. It provides a way to access TPC-H data as a set of records, where each record represents a row in a table.
The constructor takes two parameters:
* A list of column types (`types`) representing the schema</t>
        </is>
      </c>
      <c r="E1439" t="n">
        <v>0.0035</v>
      </c>
      <c r="F1439" t="n">
        <v>0.0323</v>
      </c>
      <c r="G1439" t="n">
        <v>0.04</v>
      </c>
      <c r="H1439" t="inlineStr">
        <is>
          <t>This code implements a RecordSet class that provides access to data stored in a TPC-H database. The class has several methods, including `getColumnTypes()`, which returns a list of column types, `cursor()` which returns a cursor object that can be used to iterate over the records, and `close()` which closes the record set. The class also defines several inner classes, such</t>
        </is>
      </c>
      <c r="I1439" t="n">
        <v>0.004</v>
      </c>
      <c r="J1439" t="n">
        <v>0.08699999999999999</v>
      </c>
      <c r="K1439" t="n">
        <v>0.1515</v>
      </c>
      <c r="L1439" t="inlineStr">
        <is>
          <t>The provided code defines a class called `TpchRecordSet` that implements the `RecordSet` interface from Presto. It takes a list of columns as input and generates a record set based on those columns. The generated record set can be used to represent data from the TPC-H benchmark dataset.
The class has several methods, including `getColumnTypes`, which returns</t>
        </is>
      </c>
      <c r="M1439" t="n">
        <v>0.0039</v>
      </c>
      <c r="N1439" t="n">
        <v>0.0615</v>
      </c>
      <c r="O1439" t="n">
        <v>0.1172</v>
      </c>
    </row>
    <row r="1440">
      <c r="A1440" t="inlineStr">
        <is>
          <t>presto</t>
        </is>
      </c>
      <c r="B1440" t="inlineStr">
        <is>
          <t>presto-tests/src/main/java/com/facebook/presto/tests/tpch/TpchIndexedData.java</t>
        </is>
      </c>
      <c r="C1440">
        <f>HYPERLINK("https://github.com/prestodb/presto/blob/master/presto-tests/src/main/java/com/facebook/presto/tests/tpch/TpchIndexedData.java")</f>
        <v/>
      </c>
      <c r="D1440" t="inlineStr">
        <is>
          <t>This code defines a `TpchRecordSet` class that extends the `RecordSet` interface from Presto's SPI. It provides a way to access TPC-H data stored in a relational database using Presto's API. The class takes a `TpchMetadata` object as input, which represents the metadata of the TPC-H schema, and</t>
        </is>
      </c>
      <c r="E1440" t="n">
        <v>0.0046</v>
      </c>
      <c r="F1440" t="n">
        <v>0.0678</v>
      </c>
      <c r="G1440" t="n">
        <v>0.1261</v>
      </c>
      <c r="H1440" t="inlineStr">
        <is>
          <t>This code defines a `TpchRecordSet` class that implements the `RecordSet` interface from Presto's SPI. It provides methods for retrieving data from TPC-H tables using the TPC-H schema. The class has several fields, including a `TpchMetadata` object, which provides metadata about the TPC-H schema, and a `</t>
        </is>
      </c>
      <c r="I1440" t="n">
        <v>0.0053</v>
      </c>
      <c r="J1440" t="n">
        <v>0.1053</v>
      </c>
      <c r="K1440" t="n">
        <v>0.1695</v>
      </c>
      <c r="L1440" t="inlineStr">
        <is>
          <t>The provided code defines a class called `TpchRecordSet` that extends the `RecordSet` interface from Presto. It provides a way to access TPC-H data stored in a database using SQL queries. The class takes several parameters such as a connection URL, username, password, and schema name. Once initialized, it can be used to retrieve records from the specified table in</t>
        </is>
      </c>
      <c r="M1440" t="n">
        <v>0.0031</v>
      </c>
      <c r="N1440" t="n">
        <v>0.0294</v>
      </c>
      <c r="O1440" t="n">
        <v>0.07630000000000001</v>
      </c>
    </row>
    <row r="1441">
      <c r="A1441" t="inlineStr">
        <is>
          <t>presto</t>
        </is>
      </c>
      <c r="B1441" t="inlineStr">
        <is>
          <t>presto-tests/src/main/java/com/facebook/presto/tests/tpch/ConcatRecordSet.java</t>
        </is>
      </c>
      <c r="C1441">
        <f>HYPERLINK("https://github.com/prestodb/presto/blob/master/presto-tests/src/main/java/com/facebook/presto/tests/tpch/ConcatRecordSet.java")</f>
        <v/>
      </c>
      <c r="D1441" t="inlineStr">
        <is>
          <t>The code defines a class called `TpchRecordSet` that implements the `RecordSet` interface from Presto. It takes a list of columns as input and returns a record set object that can be used to iterate over the data. The class also has methods for getting the number of rows and columns in the record set, as well as accessing individual columns by name or index. Additionally</t>
        </is>
      </c>
      <c r="E1441" t="n">
        <v>0.0033</v>
      </c>
      <c r="F1441" t="n">
        <v>0.0548</v>
      </c>
      <c r="G1441" t="n">
        <v>0.1095</v>
      </c>
      <c r="H1441" t="inlineStr">
        <is>
          <t>This code defines a RecordSet class that implements the RecordSet interface from Presto's SPI package. It provides a way to iterate over a set of records, which can be used to implement various data processing tasks such as query execution and data analysis. The RecordSet class has several methods, including getTypes(), getColumnHandles(), and recordCursor(). These methods allow users to access</t>
        </is>
      </c>
      <c r="I1441" t="n">
        <v>0.004</v>
      </c>
      <c r="J1441" t="n">
        <v>0.08699999999999999</v>
      </c>
      <c r="K1441" t="n">
        <v>0.1515</v>
      </c>
      <c r="L1441" t="inlineStr">
        <is>
          <t>The provided code defines a class called `TpchRecordSet` that implements the `RecordSet` interface from Presto's SPI. It provides a record cursor over a set of TPC-H data files, which are used as input for various tests in the Presto project.
The `TpchRecordSet` constructor takes two arguments: a list of `</t>
        </is>
      </c>
      <c r="M1441" t="n">
        <v>0.0037</v>
      </c>
      <c r="N1441" t="n">
        <v>0.0339</v>
      </c>
      <c r="O1441" t="n">
        <v>0.082</v>
      </c>
    </row>
    <row r="1442">
      <c r="A1442" t="inlineStr">
        <is>
          <t>presto</t>
        </is>
      </c>
      <c r="B1442" t="inlineStr">
        <is>
          <t>presto-tests/src/main/java/com/facebook/presto/tests/tpch/TpchConnectorIndex.java</t>
        </is>
      </c>
      <c r="C1442">
        <f>HYPERLINK("https://github.com/prestodb/presto/blob/master/presto-tests/src/main/java/com/facebook/presto/tests/tpch/TpchConnectorIndex.java")</f>
        <v/>
      </c>
      <c r="D1442" t="inlineStr">
        <is>
          <t>This Java class `TpchConnectorIndex` implements the `ConnectorIndex` interface from Presto's SPI (Service Provider Interface). It provides methods for creating a new `ConnectorPageSource` object that reads data from a table in the TPC-H benchmark dataset. The `TpchConnectorIndex` class takes two parameters in its constructor:</t>
        </is>
      </c>
      <c r="E1442" t="n">
        <v>0.0051</v>
      </c>
      <c r="F1442" t="n">
        <v>0.0755</v>
      </c>
      <c r="G1442" t="n">
        <v>0.08699999999999999</v>
      </c>
      <c r="H1442" t="inlineStr">
        <is>
          <t>This Java class `TpchConnectorIndex` implements the `ConnectorIndex` interface from Presto's SPI (Service Provider Interface). It provides methods for accessing data stored in the TPC-H benchmark dataset. The class has several responsibilities, including:
* Loading the TPC-H dataset into memory using the `TpchIndexed</t>
        </is>
      </c>
      <c r="I1442" t="n">
        <v>0.0052</v>
      </c>
      <c r="J1442" t="n">
        <v>0.0769</v>
      </c>
      <c r="K1442" t="n">
        <v>0.1316</v>
      </c>
      <c r="L1442" t="inlineStr">
        <is>
          <t>The `TpchConnectorIndex` class provides an implementation of the `ConnectorIndex` interface from Presto's SPI (Service Provider Interface). It is used to provide indexing capabilities for data stored in the TPC-H benchmark dataset.
The class takes an instance of `TpchIndexedData` as input during construction, which represents the indexed data</t>
        </is>
      </c>
      <c r="M1442" t="n">
        <v>0</v>
      </c>
      <c r="N1442" t="n">
        <v>0.0351</v>
      </c>
      <c r="O1442" t="n">
        <v>0.08400000000000001</v>
      </c>
    </row>
    <row r="1443">
      <c r="A1443" t="inlineStr">
        <is>
          <t>presto</t>
        </is>
      </c>
      <c r="B1443" t="inlineStr">
        <is>
          <t>presto-tests/src/main/java/com/facebook/presto/tests/tpch/TpchIndexHandleResolver.java</t>
        </is>
      </c>
      <c r="C1443">
        <f>HYPERLINK("https://github.com/prestodb/presto/blob/master/presto-tests/src/main/java/com/facebook/presto/tests/tpch/TpchIndexHandleResolver.java")</f>
        <v/>
      </c>
      <c r="D1443" t="inlineStr">
        <is>
          <t>This Java class `TpchIndexHandleResolver` is a child class of `TpchHandleResolver`. It overrides the method `getIndexHandleClass()` from its parent class, returning `TpchIndexHandle.class`. The purpose of this class is likely to provide a way to handle index handles for the TPC-H benchmarking framework.</t>
        </is>
      </c>
      <c r="E1443" t="n">
        <v>0.0045</v>
      </c>
      <c r="F1443" t="n">
        <v>0.0392</v>
      </c>
      <c r="G1443" t="n">
        <v>0.0442</v>
      </c>
      <c r="H1443" t="inlineStr">
        <is>
          <t>This code defines a custom implementation of the `ConnectorIndexHandle` interface from Presto's connector API. The `getIndexHandleClass()` method returns the `TpchIndexHandle` class, which represents an index handle used in Presto's TPC-H benchmarking framework. This class is defined in the same package as the `TpchHandleResolver`</t>
        </is>
      </c>
      <c r="I1443" t="n">
        <v>0.0043</v>
      </c>
      <c r="J1443" t="n">
        <v>0.0741</v>
      </c>
      <c r="K1443" t="n">
        <v>0.1304</v>
      </c>
      <c r="L1443" t="inlineStr">
        <is>
          <t>The code defines a custom implementation of the `TpchHandleResolver` interface from Presto's connector API. It overrides the `getIndexHandleClass()` method to return the `TpchIndexHandle` class, which represents an index handle used in the TPC-H benchmark.</t>
        </is>
      </c>
      <c r="M1443" t="n">
        <v>0</v>
      </c>
      <c r="N1443" t="n">
        <v>0.0455</v>
      </c>
      <c r="O1443" t="n">
        <v>0.09429999999999999</v>
      </c>
    </row>
    <row r="1444">
      <c r="A1444" t="inlineStr">
        <is>
          <t>presto</t>
        </is>
      </c>
      <c r="B1444" t="inlineStr">
        <is>
          <t>presto-tests/src/main/java/com/facebook/presto/tests/tpch/IndexedTpchConnectorFactory.java</t>
        </is>
      </c>
      <c r="C1444">
        <f>HYPERLINK("https://github.com/prestodb/presto/blob/master/presto-tests/src/main/java/com/facebook/presto/tests/tpch/IndexedTpchConnectorFactory.java")</f>
        <v/>
      </c>
      <c r="D1444" t="inlineStr">
        <is>
          <t>This code defines a Presto connector factory that creates instances of the TPC-H connector class. The TPC-H connector provides access to the TPC-H benchmark dataset through the Presto SQL engine. It also implements several interfaces, including Connector, ConnectorFactory, ConnectorHandleResolver, SystemTable, and ConnectorIndexProvider.</t>
        </is>
      </c>
      <c r="E1444" t="n">
        <v>0.0058</v>
      </c>
      <c r="F1444" t="n">
        <v>0.1132</v>
      </c>
      <c r="G1444" t="n">
        <v>0.1316</v>
      </c>
      <c r="H1444" t="inlineStr">
        <is>
          <t>This code defines a Presto connector factory that creates instances of the TPCH system table connector. The connector provides access to the TPC-H benchmark data sets. The factory implements the ConnectorFactory interface from the Presto SPI package and returns a new instance of the TpchConnector class whenever it is called. The TpchConnector class implements</t>
        </is>
      </c>
      <c r="I1444" t="n">
        <v>0.0045</v>
      </c>
      <c r="J1444" t="n">
        <v>0.09520000000000001</v>
      </c>
      <c r="K1444" t="n">
        <v>0.119</v>
      </c>
      <c r="L1444" t="inlineStr">
        <is>
          <t>The provided code defines a Presto connector factory that creates connectors for the TPC-H benchmark suite. The connector provides access to system tables and implements various interfaces from the Presto SPI (Service Provider Interface). The factory takes several parameters during construction, including a handle resolver, node manager, and system table provider.</t>
        </is>
      </c>
      <c r="M1444" t="n">
        <v>0.0043</v>
      </c>
      <c r="N1444" t="n">
        <v>0.0667</v>
      </c>
      <c r="O1444" t="n">
        <v>0.0813</v>
      </c>
    </row>
    <row r="1445">
      <c r="A1445" t="inlineStr">
        <is>
          <t>presto</t>
        </is>
      </c>
      <c r="B1445" t="inlineStr">
        <is>
          <t>presto-tests/src/main/java/com/facebook/presto/tests/tpch/IndexedTpchPlugin.java</t>
        </is>
      </c>
      <c r="C1445">
        <f>HYPERLINK("https://github.com/prestodb/presto/blob/master/presto-tests/src/main/java/com/facebook/presto/tests/tpch/IndexedTpchPlugin.java")</f>
        <v/>
      </c>
      <c r="D1445" t="inlineStr">
        <is>
          <t>This code defines a plugin called `IndexedTpchPlugin` that provides a Presto connector for accessing data from the TPC-H benchmark dataset. The plugin uses an indexed implementation of the TPC-H schema, which allows for faster query execution. The plugin also includes a `TpchIndexSpec` object that specifies the parameters for the indexing process.</t>
        </is>
      </c>
      <c r="E1445" t="n">
        <v>0.0036</v>
      </c>
      <c r="F1445" t="n">
        <v>0.06560000000000001</v>
      </c>
      <c r="G1445" t="n">
        <v>0.122</v>
      </c>
      <c r="H1445" t="inlineStr">
        <is>
          <t>This Java package `com.facebook.presto.tests.tpch` defines a Presto plugin called `IndexedTpchPlugin`. The plugin provides a connector that allows users to access data from the TPC-H benchmarking suite using Presto's SQL interface. The connector uses an indexing mechanism to improve query performance. The plugin also includes a set of unit</t>
        </is>
      </c>
      <c r="I1445" t="n">
        <v>0.0038</v>
      </c>
      <c r="J1445" t="n">
        <v>0.0323</v>
      </c>
      <c r="K1445" t="n">
        <v>0.0833</v>
      </c>
      <c r="L1445" t="inlineStr">
        <is>
          <t>The `IndexedTpchPlugin` class provides a Presto plugin that enables the use of indexed data from the TPC-H benchmark suite. It takes a `TpchIndexSpec` object as input and uses it to configure the indexing process. Once the indexes have been built, the plugin can be used to query the indexed data using the standard Presto SQL syntax.</t>
        </is>
      </c>
      <c r="M1445" t="n">
        <v>0.0033</v>
      </c>
      <c r="N1445" t="n">
        <v>0.0308</v>
      </c>
      <c r="O1445" t="n">
        <v>0.0781</v>
      </c>
    </row>
    <row r="1446">
      <c r="A1446" t="inlineStr">
        <is>
          <t>presto</t>
        </is>
      </c>
      <c r="B1446" t="inlineStr">
        <is>
          <t>presto-tests/src/test/java/com/facebook/presto/tests/TestProcedureCall.java</t>
        </is>
      </c>
      <c r="C1446">
        <f>HYPERLINK("https://github.com/prestodb/presto/blob/master/presto-tests/src/test/java/com/facebook/presto/tests/TestProcedureCall.java")</f>
        <v/>
      </c>
      <c r="D1446" t="inlineStr">
        <is>
          <t>This code appears to be part of a Presto SQL database management system. It defines several classes related to testing procedures, which are functions that can be executed within the system. The main class `ProcedureTester` provides a way to execute procedures and test their behavior. Other classes include `BaseProcedure`, which represents a procedure, and `ProcedureRegistry`, which manages the set</t>
        </is>
      </c>
      <c r="E1446" t="n">
        <v>0.0037</v>
      </c>
      <c r="F1446" t="n">
        <v>0.0896</v>
      </c>
      <c r="G1446" t="n">
        <v>0.1145</v>
      </c>
      <c r="H1446" t="inlineStr">
        <is>
          <t>This code defines a Java package called `com.facebook.presto.tests` that contains various classes related to testing Presto's functionality. The package includes a class called `TestingPrestoServer`, which extends the `TestingPrestoServer` class from the `com.facebook.presto.server.testing` package. It also includes a class called `Procedure</t>
        </is>
      </c>
      <c r="I1446" t="n">
        <v>0.0046</v>
      </c>
      <c r="J1446" t="n">
        <v>0.07140000000000001</v>
      </c>
      <c r="K1446" t="n">
        <v>0.0446</v>
      </c>
      <c r="L1446" t="inlineStr">
        <is>
          <t>The provided code defines a test suite for Presto's procedure system using JUnit. It sets up a testing environment using TestingPrestoServer and ProcedureTester, and then executes various procedures defined in TpchQ.java. The code also includes comments explaining the license and dependencies used, as well as some basic configuration options. Overall, the code appears to be responsible</t>
        </is>
      </c>
      <c r="M1446" t="n">
        <v>0.0033</v>
      </c>
      <c r="N1446" t="n">
        <v>0.0303</v>
      </c>
      <c r="O1446" t="n">
        <v>0.0781</v>
      </c>
    </row>
    <row r="1447">
      <c r="A1447" t="inlineStr">
        <is>
          <t>presto</t>
        </is>
      </c>
      <c r="B1447" t="inlineStr">
        <is>
          <t>presto-tests/src/test/java/com/facebook/presto/tests/TestDistributedQueriesIndexed.java</t>
        </is>
      </c>
      <c r="C1447">
        <f>HYPERLINK("https://github.com/prestodb/presto/blob/master/presto-tests/src/test/java/com/facebook/presto/tests/TestDistributedQueriesIndexed.java")</f>
        <v/>
      </c>
      <c r="D1447" t="inlineStr">
        <is>
          <t>This code appears to be part of a Presto database management system, specifically the `com.facebook.presto` package. It defines several classes related to query execution and testing, including the `QueryRunner`, `Session`, and `MaterializedResult` classes. The code also includes some utility functions for working with SQL queries and data structures.
The main entry point into the code</t>
        </is>
      </c>
      <c r="E1447" t="n">
        <v>0.004</v>
      </c>
      <c r="F1447" t="n">
        <v>0.09229999999999999</v>
      </c>
      <c r="G1447" t="n">
        <v>0.1181</v>
      </c>
      <c r="H1447" t="inlineStr">
        <is>
          <t>This code defines a Java package called `com.facebook.presto.tests` that provides various utility classes and functions for testing Presto's query engine. The package includes several files, including:
* A class named `Session` that represents a session in Presto, which encapsulates information about the current user, their access rights, and other contextual data.</t>
        </is>
      </c>
      <c r="I1447" t="n">
        <v>0.0043</v>
      </c>
      <c r="J1447" t="n">
        <v>0.0968</v>
      </c>
      <c r="K1447" t="n">
        <v>0.122</v>
      </c>
      <c r="L1447" t="inlineStr">
        <is>
          <t>The provided code defines a Presto query runner that runs queries against a TPC-H dataset. It uses the `com.facebook.presto` package and imports several classes from the `com.facebook.presto.spi`, `com.facebook.presto.sql.planner.planPrinter`, and `com.facebook.presto.testing` packages.</t>
        </is>
      </c>
      <c r="M1447" t="n">
        <v>0.006</v>
      </c>
      <c r="N1447" t="n">
        <v>0.0377</v>
      </c>
      <c r="O1447" t="n">
        <v>0.09710000000000001</v>
      </c>
    </row>
    <row r="1448">
      <c r="A1448" t="inlineStr">
        <is>
          <t>presto</t>
        </is>
      </c>
      <c r="B1448" t="inlineStr">
        <is>
          <t>presto-tests/src/test/java/com/facebook/presto/tests/TestTpchDistributedQueries.java</t>
        </is>
      </c>
      <c r="C1448">
        <f>HYPERLINK("https://github.com/prestodb/presto/blob/master/presto-tests/src/test/java/com/facebook/presto/tests/TestTpchDistributedQueries.java")</f>
        <v/>
      </c>
      <c r="D1448" t="inlineStr">
        <is>
          <t>The provided code defines a Java class called `TestTpchDistributedQueries` that extends the `AbstractTestQueries` class from the Presto project. It appears to be a test suite for executing TPC-H queries against a Presto cluster.
The class has several methods that perform various tasks related to query execution, such as setting up the query runner, running</t>
        </is>
      </c>
      <c r="E1448" t="n">
        <v>0</v>
      </c>
      <c r="F1448" t="n">
        <v>0</v>
      </c>
      <c r="G1448" t="n">
        <v>0.0397</v>
      </c>
      <c r="H1448" t="inlineStr">
        <is>
          <t>This Java package `com.facebook.presto.tests` contains test cases for PrestoDB's query engine. The tests are written using TestNG framework and implement various features such as data types, operators, functions, and optimizations. The package includes several classes that define queries, which are executed against a mocked up database environment. It also includes a builder class called `T</t>
        </is>
      </c>
      <c r="I1448" t="n">
        <v>0.004</v>
      </c>
      <c r="J1448" t="n">
        <v>0.1194</v>
      </c>
      <c r="K1448" t="n">
        <v>0.1575</v>
      </c>
      <c r="L1448" t="inlineStr">
        <is>
          <t>The code defines a test suite for running TPC-H queries against a Presto query runner. It uses the `AbstractTestQueries` class as a base and overrides the `create` method to provide custom initialization logic. The test cases run various TPC-H queries using the `QueryRunner` interface and assert that they produce expected results.</t>
        </is>
      </c>
      <c r="M1448" t="n">
        <v>0.0043</v>
      </c>
      <c r="N1448" t="n">
        <v>0.06560000000000001</v>
      </c>
      <c r="O1448" t="n">
        <v>0.122</v>
      </c>
    </row>
    <row r="1449">
      <c r="A1449" t="inlineStr">
        <is>
          <t>presto</t>
        </is>
      </c>
      <c r="B1449" t="inlineStr">
        <is>
          <t>presto-tests/src/test/java/com/facebook/presto/tests/TestSpilledWindowQueries.java</t>
        </is>
      </c>
      <c r="C1449">
        <f>HYPERLINK("https://github.com/prestodb/presto/blob/master/presto-tests/src/test/java/com/facebook/presto/tests/TestSpilledWindowQueries.java")</f>
        <v/>
      </c>
      <c r="D1449" t="inlineStr">
        <is>
          <t>The code defines a Java test suite that tests spilling window queries in Presto. It uses the `AbstractTestWind` class as a base and overrides its `createQueryRunner()` method to create a custom QueryRunner instance with additional configuration options set. Specifically, it sets two system session properties:
* `QUERY_MAX_REVOCABLE_MEMORY</t>
        </is>
      </c>
      <c r="E1449" t="n">
        <v>0.0039</v>
      </c>
      <c r="F1449" t="n">
        <v>0.0351</v>
      </c>
      <c r="G1449" t="n">
        <v>0.08400000000000001</v>
      </c>
      <c r="H1449" t="inlineStr">
        <is>
          <t>This code is part of the Presto SQL database management system, specifically the `com.facebook.presto.tests` package. It defines a test case named `TestSpilledWindowQueries`, which tests spilling behavior when running window queries. The test uses the `AbstractTestWind` base class, which provides common functionality for testing window functions.
The test sets up</t>
        </is>
      </c>
      <c r="I1449" t="n">
        <v>0.0045</v>
      </c>
      <c r="J1449" t="n">
        <v>0.0667</v>
      </c>
      <c r="K1449" t="n">
        <v>0.08260000000000001</v>
      </c>
      <c r="L1449" t="inlineStr">
        <is>
          <t>The provided code is part of a Presto SQL query testing framework. It defines a test case that tests spilling of window queries when the memory limit per node is reached. The test case uses the `AbstractTestWind` class from the same package as a base class, which provides common functionality for running Presto SQL queries.
The test case sets up a session object with two</t>
        </is>
      </c>
      <c r="M1449" t="n">
        <v>0.0028</v>
      </c>
      <c r="N1449" t="n">
        <v>0.0274</v>
      </c>
      <c r="O1449" t="n">
        <v>0.0365</v>
      </c>
    </row>
    <row r="1450">
      <c r="A1450" t="inlineStr">
        <is>
          <t>presto</t>
        </is>
      </c>
      <c r="B1450" t="inlineStr">
        <is>
          <t>presto-tests/src/test/java/com/facebook/presto/tests/TestRepartitionQueriesWithSmallPages.java</t>
        </is>
      </c>
      <c r="C1450">
        <f>HYPERLINK("https://github.com/prestodb/presto/blob/master/presto-tests/src/test/java/com/facebook/presto/tests/TestRepartitionQueriesWithSmallPages.java")</f>
        <v/>
      </c>
      <c r="D1450" t="inlineStr">
        <is>
          <t>The `com.facebook.presto.tests` package contains test classes for Presto, a distributed SQL query engine. The `TestRepartitionQueriesWithSmallPages` class is a unit test that verifies the correctness of repartitioning queries when using small pages. It uses the `AbstractTestRepartitionQueries` base class to define the tests and provides</t>
        </is>
      </c>
      <c r="E1450" t="n">
        <v>0.0043</v>
      </c>
      <c r="F1450" t="n">
        <v>0.037</v>
      </c>
      <c r="G1450" t="n">
        <v>0.08699999999999999</v>
      </c>
      <c r="H1450" t="inlineStr">
        <is>
          <t>This code defines a test suite that runs queries from the TPC-H benchmark on a Presto query runner with small pages enabled. The test suite uses the `AbstractTestRepartitionQueries` base class to run a set of predefined queries against the query runner. The `createQueryRunner()` method returns a new instance of the `QueryRunner` interface, which is used to</t>
        </is>
      </c>
      <c r="I1450" t="n">
        <v>0.0033</v>
      </c>
      <c r="J1450" t="n">
        <v>0.0308</v>
      </c>
      <c r="K1450" t="n">
        <v>0.0781</v>
      </c>
      <c r="L1450" t="inlineStr">
        <is>
          <t>The provided code defines a Java class called `TestRepartitionQueriesWithSmallPages` that extends `AbstractTestRepartitionQueries`. It appears to be part of a Presto database management system.
The class's primary function is to run queries against a Presto database using a custom query runner. The query runner is built using the `TpchQuery</t>
        </is>
      </c>
      <c r="M1450" t="n">
        <v>0</v>
      </c>
      <c r="N1450" t="n">
        <v>0.0351</v>
      </c>
      <c r="O1450" t="n">
        <v>0.0417</v>
      </c>
    </row>
    <row r="1451">
      <c r="A1451" t="inlineStr">
        <is>
          <t>presto</t>
        </is>
      </c>
      <c r="B1451" t="inlineStr">
        <is>
          <t>presto-tests/src/test/java/com/facebook/presto/tests/TestSpilledAggregations.java</t>
        </is>
      </c>
      <c r="C1451">
        <f>HYPERLINK("https://github.com/prestodb/presto/blob/master/presto-tests/src/test/java/com/facebook/presto/tests/TestSpilledAggregations.java")</f>
        <v/>
      </c>
      <c r="D1451" t="inlineStr">
        <is>
          <t>The provided code defines a Java class named `PrestoTests` that implements the `com.facebook.presto.tests.AbstractTestQueries` interface. It appears to be a test suite for Presto, which is a distributed SQL query engine.
The `PrestoTests` class has several methods, including `setup`, `tearDown`, and `run`. These</t>
        </is>
      </c>
      <c r="E1451" t="n">
        <v>0.0052</v>
      </c>
      <c r="F1451" t="n">
        <v>0.0741</v>
      </c>
      <c r="G1451" t="n">
        <v>0.0877</v>
      </c>
      <c r="H1451" t="inlineStr">
        <is>
          <t>This code defines a Java package called `com.facebook.presto.tests` that contains test classes for Presto's query engine. The package includes several test classes, each of which tests a different aspect of Presto's behavior. The tests are written using JUnit and TestNG frameworks, respectively.
The code also includes some utility methods for setting up and tearing</t>
        </is>
      </c>
      <c r="I1451" t="n">
        <v>0.004</v>
      </c>
      <c r="J1451" t="n">
        <v>0.0597</v>
      </c>
      <c r="K1451" t="n">
        <v>0.119</v>
      </c>
      <c r="L1451" t="inlineStr">
        <is>
          <t>The provided code defines a test class named `TestDistributedQueries` that tests various aspects of Presto's query execution engine. It uses the `QueryRunner` class from the Presto testing framework to execute queries against a local instance of Presto. The test class sets up a session object with some default properties, such as enabling spilling of aggregation results if necessary and</t>
        </is>
      </c>
      <c r="M1451" t="n">
        <v>0.0031</v>
      </c>
      <c r="N1451" t="n">
        <v>0.0294</v>
      </c>
      <c r="O1451" t="n">
        <v>0.07630000000000001</v>
      </c>
    </row>
    <row r="1452">
      <c r="A1452" t="inlineStr">
        <is>
          <t>presto</t>
        </is>
      </c>
      <c r="B1452" t="inlineStr">
        <is>
          <t>presto-tests/src/test/java/com/facebook/presto/tests/TestOptimizeMixedDistinctAggregations.java</t>
        </is>
      </c>
      <c r="C1452">
        <f>HYPERLINK("https://github.com/prestodb/presto/blob/master/presto-tests/src/test/java/com/facebook/presto/tests/TestOptimizeMixedDistinctAggregations.java")</f>
        <v/>
      </c>
      <c r="D1452" t="inlineStr">
        <is>
          <t>This code defines a test case for optimizing mixed distinct aggregation queries using Presto's query runner. The `createQueryRunner` method creates a new query runner instance that uses the TPC-H benchmark data set and sets various properties related to optimization. The `AbstractTestAggregations` abstract class provides a base implementation for running tests against different types of aggregation queries. The</t>
        </is>
      </c>
      <c r="E1452" t="n">
        <v>0.0038</v>
      </c>
      <c r="F1452" t="n">
        <v>0.0597</v>
      </c>
      <c r="G1452" t="n">
        <v>0.155</v>
      </c>
      <c r="H1452" t="inlineStr">
        <is>
          <t>The provided code defines a Java class named `TestOptimizeMixedDistinctAggregations` that inherits from the abstract class `AbstractTestAggregations`. It appears to be a test suite for optimizing aggregation queries using PrestoDB's query engine.
The class has one method called `createQueryRunner()` which returns a `QueryRunner` object.</t>
        </is>
      </c>
      <c r="I1452" t="n">
        <v>0</v>
      </c>
      <c r="J1452" t="n">
        <v>0</v>
      </c>
      <c r="K1452" t="n">
        <v>0.0435</v>
      </c>
      <c r="L1452" t="inlineStr">
        <is>
          <t>The provided code is part of a Presto test suite for optimizing queries that contain mixed distinct aggregations. It appears to be a Java package containing classes related to testing these types of queries. The `createQueryRunner` method returns a `QueryRunner` instance, which is used to execute SQL queries against a database. The `AbstractTestAggregations` class provides a base implementation for</t>
        </is>
      </c>
      <c r="M1452" t="n">
        <v>0</v>
      </c>
      <c r="N1452" t="n">
        <v>0.0299</v>
      </c>
      <c r="O1452" t="n">
        <v>0.07630000000000001</v>
      </c>
    </row>
    <row r="1453">
      <c r="A1453" t="inlineStr">
        <is>
          <t>presto</t>
        </is>
      </c>
      <c r="B1453" t="inlineStr">
        <is>
          <t>presto-tests/src/test/java/com/facebook/presto/tests/TestBrutalShutdown.java</t>
        </is>
      </c>
      <c r="C1453">
        <f>HYPERLINK("https://github.com/prestodb/presto/blob/master/presto-tests/src/test/java/com/facebook/presto/tests/TestBrutalShutdown.java")</f>
        <v/>
      </c>
      <c r="D1453" t="inlineStr">
        <is>
          <t>This Java code defines a Presto test suite that uses the `com.facebook.presto` package to run queries against a local instance of Presto. The code sets up a testing environment using the `TestingPrestoServer` class, which creates a new Presto server instance with the TPC-H plugin enabled. It then runs a series of tests using the `runTests</t>
        </is>
      </c>
      <c r="E1453" t="n">
        <v>0.0033</v>
      </c>
      <c r="F1453" t="n">
        <v>0.0303</v>
      </c>
      <c r="G1453" t="n">
        <v>0.07870000000000001</v>
      </c>
      <c r="H1453" t="inlineStr">
        <is>
          <t>This repository contains source code for a Presto server that provides a testing framework for Presto's query engine. The code includes classes and methods related to session management, task execution, error handling, and logging. It also includes a TpchPlugin class that provides access to the TPC-H benchmark data set. Overall, the code appears to be well-structured and follows</t>
        </is>
      </c>
      <c r="I1453" t="n">
        <v>0.0037</v>
      </c>
      <c r="J1453" t="n">
        <v>0.058</v>
      </c>
      <c r="K1453" t="n">
        <v>0.0769</v>
      </c>
      <c r="L1453" t="inlineStr">
        <is>
          <t>The provided code defines a test suite for Presto, which is a distributed SQL query engine. It includes various tests that verify the correctness of Presto's functionality, such as parsing queries, executing them against a sample dataset, and retrieving results. The code also includes support for multiple plugins, including the TPC-H benchmark plugin.</t>
        </is>
      </c>
      <c r="M1453" t="n">
        <v>0.0035</v>
      </c>
      <c r="N1453" t="n">
        <v>0.0635</v>
      </c>
      <c r="O1453" t="n">
        <v>0.04</v>
      </c>
    </row>
    <row r="1454">
      <c r="A1454" t="inlineStr">
        <is>
          <t>presto</t>
        </is>
      </c>
      <c r="B1454" t="inlineStr">
        <is>
          <t>presto-tests/src/test/java/com/facebook/presto/tests/TestCheckAccessPermissionsForQueryTypes.java</t>
        </is>
      </c>
      <c r="C1454">
        <f>HYPERLINK("https://github.com/prestodb/presto/blob/master/presto-tests/src/test/java/com/facebook/presto/tests/TestCheckAccessPermissionsForQueryTypes.java")</f>
        <v/>
      </c>
      <c r="D1454" t="inlineStr">
        <is>
          <t>The code defines a test suite that checks access permissions for different query types using Presto's security system. It uses the `AbstractTestQueryFramework` class from the Presto testing framework to execute queries against a Presto server instance. The test cases verify that certain query types are allowed or denied based on the user's access rights.
The test suite sets up a QueryRunner</t>
        </is>
      </c>
      <c r="E1454" t="n">
        <v>0</v>
      </c>
      <c r="F1454" t="n">
        <v>0</v>
      </c>
      <c r="G1454" t="n">
        <v>0.0376</v>
      </c>
      <c r="H1454" t="inlineStr">
        <is>
          <t>This code implements a test suite for checking access permissions for different query types in Presto. It uses the `AbstractTestQueryFramework` class from the `com.facebook.presto.tests` package and defines a new test method called `testCheckAccessPermissionsForQueryTypes`. The method creates a `QueryRunner` instance using the `TpchQueryRunnerBuilder`, which sets</t>
        </is>
      </c>
      <c r="I1454" t="n">
        <v>0.0055</v>
      </c>
      <c r="J1454" t="n">
        <v>0.1091</v>
      </c>
      <c r="K1454" t="n">
        <v>0.1724</v>
      </c>
      <c r="L1454" t="inlineStr">
        <is>
          <t>The provided code defines a test case for checking access permissions for different query types using Presto's security framework. It uses the `DenyQueryIntegrityCheckSystemAccessControl` system access control implementation to deny access to certain queries based on their type. The test case creates a new QueryRunner instance using the TPC-H query runner builder and sets up a map of query types</t>
        </is>
      </c>
      <c r="M1454" t="n">
        <v>0.0031</v>
      </c>
      <c r="N1454" t="n">
        <v>0.058</v>
      </c>
      <c r="O1454" t="n">
        <v>0.1145</v>
      </c>
    </row>
    <row r="1455">
      <c r="A1455" t="inlineStr">
        <is>
          <t>presto</t>
        </is>
      </c>
      <c r="B1455" t="inlineStr">
        <is>
          <t>presto-tests/src/test/java/com/facebook/presto/tests/TestSpilledAggregationsWithTemporaryStorage.java</t>
        </is>
      </c>
      <c r="C1455">
        <f>HYPERLINK("https://github.com/prestodb/presto/blob/master/presto-tests/src/test/java/com/facebook/presto/tests/TestSpilledAggregationsWithTemporaryStorage.java")</f>
        <v/>
      </c>
      <c r="D1455" t="inlineStr">
        <is>
          <t>This Java code defines a test case for spilling aggregation results when using temporary storage. The `TestSpilledAggregationsWithTemporaryStorage` class inherits from the `TestSpilledAggregations` class and overrides the `createQueryRunner()` method to create a query runner that uses local storage for temporary data. The `TestDistributedSpilledQueriesWith</t>
        </is>
      </c>
      <c r="E1455" t="n">
        <v>0.0052</v>
      </c>
      <c r="F1455" t="n">
        <v>0.08</v>
      </c>
      <c r="G1455" t="n">
        <v>0.1316</v>
      </c>
      <c r="H1455" t="inlineStr">
        <is>
          <t>This code defines a test suite for spilled aggregations using temporary storage. It imports the necessary packages from the Presto testing framework and overrides the `createQueryRunner()` method to use a local query runner that uses temporary storage for spilling. The test suite inherits from the `TestSpilledAggregations` class and provides additional functionality to test the implementation of spilled aggregations</t>
        </is>
      </c>
      <c r="I1455" t="n">
        <v>0.0041</v>
      </c>
      <c r="J1455" t="n">
        <v>0.0606</v>
      </c>
      <c r="K1455" t="n">
        <v>0.1538</v>
      </c>
      <c r="L1455" t="inlineStr">
        <is>
          <t>The provided code defines a Java class named `TestSpilledAggregationsWithTemporaryStorage` that extends the `TestSpilledAggregations` class. It overrides the `createQueryRunner()` method to provide a custom implementation that uses temporary storage for spilled aggregation queries.</t>
        </is>
      </c>
      <c r="M1455" t="n">
        <v>0</v>
      </c>
      <c r="N1455" t="n">
        <v>0.05</v>
      </c>
      <c r="O1455" t="n">
        <v>0.09619999999999999</v>
      </c>
    </row>
    <row r="1456">
      <c r="A1456" t="inlineStr">
        <is>
          <t>presto</t>
        </is>
      </c>
      <c r="B1456" t="inlineStr">
        <is>
          <t>presto-tests/src/test/java/com/facebook/presto/tests/TestNativeIndexJoinLogicalPlanner.java</t>
        </is>
      </c>
      <c r="C1456">
        <f>HYPERLINK("https://github.com/prestodb/presto/blob/master/presto-tests/src/test/java/com/facebook/presto/tests/TestNativeIndexJoinLogicalPlanner.java")</f>
        <v/>
      </c>
      <c r="D1456" t="inlineStr">
        <is>
          <t>This Java code appears to be part of a Presto SQL query optimizer test suite. It defines several classes and methods related to plan matching and testing, including `IndexJoinNode`, `IndexSourceNode`, `PlanMatchPattern`, and `Testing`. The code also imports various other packages from the Presto project, such as `com.facebook.presto.spi` and</t>
        </is>
      </c>
      <c r="E1456" t="n">
        <v>0.0045</v>
      </c>
      <c r="F1456" t="n">
        <v>0.0678</v>
      </c>
      <c r="G1456" t="n">
        <v>0.125</v>
      </c>
      <c r="H1456" t="inlineStr">
        <is>
          <t>This code appears to be part of a Presto database management system. It defines several classes and interfaces related to query planning and execution, including `Session`, `ColumnHandle`, `PlanNode`, `IndexJoinNode`, `IndexSourceNode`, `VariableReferenceExpression`, and `PlanMatchPattern`. The code also includes some test cases using the testing library from the same package. The READ</t>
        </is>
      </c>
      <c r="I1456" t="n">
        <v>0.0044</v>
      </c>
      <c r="J1456" t="n">
        <v>0.06900000000000001</v>
      </c>
      <c r="K1456" t="n">
        <v>0.123</v>
      </c>
      <c r="L1456" t="inlineStr">
        <is>
          <t>The provided code defines a test suite for Presto's query optimizer using JUnit tests. It includes several classes that define test cases and assertions about the expected output of the optimizer. The code also includes comments explaining the purpose of each class and method, as well as the license and copyright information for the project. Overall, the code appears to be well-structured</t>
        </is>
      </c>
      <c r="M1456" t="n">
        <v>0.0029</v>
      </c>
      <c r="N1456" t="n">
        <v>0.0278</v>
      </c>
      <c r="O1456" t="n">
        <v>0.0746</v>
      </c>
    </row>
    <row r="1457">
      <c r="A1457" t="inlineStr">
        <is>
          <t>presto</t>
        </is>
      </c>
      <c r="B1457" t="inlineStr">
        <is>
          <t>presto-tests/src/test/java/com/facebook/presto/tests/TestLocalQueries.java</t>
        </is>
      </c>
      <c r="C1457">
        <f>HYPERLINK("https://github.com/prestodb/presto/blob/master/presto-tests/src/test/java/com/facebook/presto/tests/TestLocalQueries.java")</f>
        <v/>
      </c>
      <c r="D1457" t="inlineStr">
        <is>
          <t>This code appears to be part of a Presto database management system. It defines several classes related to session handling, catalog schema table names, connector IDs, column constraints, and SQL invoked functions. The code also includes comments describing its purpose and complexity, as well as a README file that provides information about the project's overall goals and structure.</t>
        </is>
      </c>
      <c r="E1457" t="n">
        <v>0.0037</v>
      </c>
      <c r="F1457" t="n">
        <v>0.0896</v>
      </c>
      <c r="G1457" t="n">
        <v>0.1154</v>
      </c>
      <c r="H1457" t="inlineStr">
        <is>
          <t>This code repository contains the source code for Presto, a distributed SQL query engine that allows users to run queries against data stored in various storage systems such as Hive, Cassandra, and S3. The code is written in Java and uses the Maven build system.
The main class, `com.facebook.presto.tests.TestRunner`, is responsible for running tests against</t>
        </is>
      </c>
      <c r="I1457" t="n">
        <v>0.004</v>
      </c>
      <c r="J1457" t="n">
        <v>0.0597</v>
      </c>
      <c r="K1457" t="n">
        <v>0.1181</v>
      </c>
      <c r="L1457" t="inlineStr">
        <is>
          <t>The provided code defines a class named `TestQueryRunner` that extends the `AbstractTestQueryRunner` class from the Presto framework. It overrides several methods to customize the test environment and execute queries.
The constructor initializes the `Session` object with default properties and creates a new instance of the `SessionPropertyManager`. It then sets up the catalog schema table name and</t>
        </is>
      </c>
      <c r="M1457" t="n">
        <v>0.0033</v>
      </c>
      <c r="N1457" t="n">
        <v>0.0312</v>
      </c>
      <c r="O1457" t="n">
        <v>0.0391</v>
      </c>
    </row>
    <row r="1458">
      <c r="A1458" t="inlineStr">
        <is>
          <t>presto</t>
        </is>
      </c>
      <c r="B1458" t="inlineStr">
        <is>
          <t>presto-tests/src/test/java/com/facebook/presto/tests/TestTransactionManagerIntegration.java</t>
        </is>
      </c>
      <c r="C1458">
        <f>HYPERLINK("https://github.com/prestodb/presto/blob/master/presto-tests/src/test/java/com/facebook/presto/tests/TestTransactionManagerIntegration.java")</f>
        <v/>
      </c>
      <c r="D1458" t="inlineStr">
        <is>
          <t>This code appears to be part of a Presto database management system test suite. It defines several classes and methods related to testing transactions in Presto. The main class, `PrestoTests`, has a method called `runQueries` that takes a list of queries as input and runs them using the `TpchQueryRunnerBuilder`. The `TpchQueryRunnerBuilder` is</t>
        </is>
      </c>
      <c r="E1458" t="n">
        <v>0.0042</v>
      </c>
      <c r="F1458" t="n">
        <v>0.0667</v>
      </c>
      <c r="G1458" t="n">
        <v>0.121</v>
      </c>
      <c r="H1458" t="inlineStr">
        <is>
          <t>This code defines a class named `PrestoTests` that extends TestNG's `@Test` annotation. The class imports several packages, including `com.facebook.airlift.log`, `com.facebook.presto.tests.tpch`, `com.facebook.presto.transaction`, and `java.util.concurrent`.
The `main()` method creates</t>
        </is>
      </c>
      <c r="I1458" t="n">
        <v>0.0083</v>
      </c>
      <c r="J1458" t="n">
        <v>0.0833</v>
      </c>
      <c r="K1458" t="n">
        <v>0.101</v>
      </c>
      <c r="L1458" t="inlineStr">
        <is>
          <t>The provided code is part of a Java project that uses Presto as a database management system. It appears to be a test suite for Presto, specifically testing the TPC-H queries. The code imports various classes from the Presto library, including `com.facebook.airlift.log.Logger`, `com.facebook.presto.tests.tpch.Tp</t>
        </is>
      </c>
      <c r="M1458" t="n">
        <v>0</v>
      </c>
      <c r="N1458" t="n">
        <v>0</v>
      </c>
      <c r="O1458" t="n">
        <v>0.0435</v>
      </c>
    </row>
    <row r="1459">
      <c r="A1459" t="inlineStr">
        <is>
          <t>presto</t>
        </is>
      </c>
      <c r="B1459" t="inlineStr">
        <is>
          <t>presto-tests/src/test/java/com/facebook/presto/tests/TestSpilledAggregationWithPreprocessingEnabled.java</t>
        </is>
      </c>
      <c r="C1459">
        <f>HYPERLINK("https://github.com/prestodb/presto/blob/master/presto-tests/src/test/java/com/facebook/presto/tests/TestSpilledAggregationWithPreprocessingEnabled.java")</f>
        <v/>
      </c>
      <c r="D1459" t="inlineStr">
        <is>
          <t>This code defines a `QueryRunner` class that creates a Presto query runner instance using the TPC-H plugin. It also sets some session properties and provides a method to run a SQL query against the created query runner. The code uses Guava's `ImmutableMap` to create a map of session property keys and values, which are then passed as arguments to the `create</t>
        </is>
      </c>
      <c r="E1459" t="n">
        <v>0.0036</v>
      </c>
      <c r="F1459" t="n">
        <v>0.0563</v>
      </c>
      <c r="G1459" t="n">
        <v>0.1128</v>
      </c>
      <c r="H1459" t="inlineStr">
        <is>
          <t>This code defines a Java package named `com.facebook.presto.tests` that provides various utility classes and functions for testing Presto's query engine. The package includes several classes, including `QueryRunner`, which is used to execute queries against a Presto server, and `TpchPlugin`, which provides access to TPC-H data sets. Additionally, there are several</t>
        </is>
      </c>
      <c r="I1459" t="n">
        <v>0.0044</v>
      </c>
      <c r="J1459" t="n">
        <v>0.09520000000000001</v>
      </c>
      <c r="K1459" t="n">
        <v>0.123</v>
      </c>
      <c r="L1459" t="inlineStr">
        <is>
          <t>The provided code defines a `main` method that initializes a Presto query runner using TPC-H data. It sets up various session properties, including enabling aggregation operator unspilling, which allows for more efficient execution of certain queries. Additionally, it creates a new session object with default system properties and executes a SQL query using the query runner.</t>
        </is>
      </c>
      <c r="M1459" t="n">
        <v>0.0033</v>
      </c>
      <c r="N1459" t="n">
        <v>0.0308</v>
      </c>
      <c r="O1459" t="n">
        <v>0.0781</v>
      </c>
    </row>
    <row r="1460">
      <c r="A1460" t="inlineStr">
        <is>
          <t>presto</t>
        </is>
      </c>
      <c r="B1460" t="inlineStr">
        <is>
          <t>presto-tests/src/test/java/com/facebook/presto/tests/TestThriftSupport.java</t>
        </is>
      </c>
      <c r="C1460">
        <f>HYPERLINK("https://github.com/prestodb/presto/blob/master/presto-tests/src/test/java/com/facebook/presto/tests/TestThriftSupport.java")</f>
        <v/>
      </c>
      <c r="D1460" t="inlineStr">
        <is>
          <t>The `TestThriftSupport` class provides a simple smoke test for Thrift support in Presto. It creates a new DistributedQueryRunner instance using the TpchQueryRunnerBuilder, which enables Thrift support. Then, it runs the TPCH Q6 query using the Thrift protocol to verify that Thrift support works correctly.</t>
        </is>
      </c>
      <c r="E1460" t="n">
        <v>0</v>
      </c>
      <c r="F1460" t="n">
        <v>0</v>
      </c>
      <c r="G1460" t="n">
        <v>0.0431</v>
      </c>
      <c r="H1460" t="inlineStr">
        <is>
          <t>This code is part of a Presto database management system that provides a set of tools for running SQL queries against data stored in various sources such as Hive, Parquet, and other formats. The `TestThriftSupport` class is a unit test that verifies the correctness of Thrift support in Presto. It does so by executing a predefined SQL query using Thrift</t>
        </is>
      </c>
      <c r="I1460" t="n">
        <v>0.0036</v>
      </c>
      <c r="J1460" t="n">
        <v>0.0588</v>
      </c>
      <c r="K1460" t="n">
        <v>0.1136</v>
      </c>
      <c r="L1460" t="inlineStr">
        <is>
          <t>The provided code is a Java file that defines a `TestThriftSupport` class with a single method called `smokeTestThriftSupport`. The method runs a Presto query using the Thrift protocol to test the functionality of the Thrift support feature.
The code imports several packages, including `com.facebook.presto.tests`, `com.facebook.</t>
        </is>
      </c>
      <c r="M1460" t="n">
        <v>0.0041</v>
      </c>
      <c r="N1460" t="n">
        <v>0.0351</v>
      </c>
      <c r="O1460" t="n">
        <v>0.0427</v>
      </c>
    </row>
    <row r="1461">
      <c r="A1461" t="inlineStr">
        <is>
          <t>presto</t>
        </is>
      </c>
      <c r="B1461" t="inlineStr">
        <is>
          <t>presto-tests/src/test/java/com/facebook/presto/tests/TestSqlInvokedFunctions.java</t>
        </is>
      </c>
      <c r="C1461">
        <f>HYPERLINK("https://github.com/prestodb/presto/blob/master/presto-tests/src/test/java/com/facebook/presto/tests/TestSqlInvokedFunctions.java")</f>
        <v/>
      </c>
      <c r="D1461" t="inlineStr">
        <is>
          <t>The provided code defines a Java class called `TestSqlInvokedFunctions` that subclasses `AbstractTestSqlInvokedFunctions`. It appears to be a test suite for SQL invoked functions in PrestoDB.
The class imports several packages, including `com.facebook.presto.scalar.sql.SqlInvokedFunctionsPlugin`, which suggests that it is related</t>
        </is>
      </c>
      <c r="E1461" t="n">
        <v>0</v>
      </c>
      <c r="F1461" t="n">
        <v>0.0392</v>
      </c>
      <c r="G1461" t="n">
        <v>0.0455</v>
      </c>
      <c r="H1461" t="inlineStr">
        <is>
          <t>This code defines a test suite for SQL invoked functions in PrestoDB, which is a distributed SQL query engine. The `TestSqlInvokedFunctions` class inherits from `AbstractTestSqlInvokedFunctions`, which provides some common functionality for testing SQL invoked functions. The `createQueryRunner()` method creates a new instance of the `QueryRunner` class, which is used to</t>
        </is>
      </c>
      <c r="I1461" t="n">
        <v>0.0044</v>
      </c>
      <c r="J1461" t="n">
        <v>0.06900000000000001</v>
      </c>
      <c r="K1461" t="n">
        <v>0.082</v>
      </c>
      <c r="L1461" t="inlineStr">
        <is>
          <t>The code defines a test suite for SQL invoked functions in PrestoDB. It imports necessary classes from other packages and overrides the `createQueryRunner` method to return a customized instance of `QueryRunner`. The overridden method creates a new instance of `TpchQueryRunnerBuilder`, which sets up a PrestoDB server with a custom configuration that includes support for SQL invoked functions</t>
        </is>
      </c>
      <c r="M1461" t="n">
        <v>0.0032</v>
      </c>
      <c r="N1461" t="n">
        <v>0.0615</v>
      </c>
      <c r="O1461" t="n">
        <v>0.0775</v>
      </c>
    </row>
    <row r="1462">
      <c r="A1462" t="inlineStr">
        <is>
          <t>presto</t>
        </is>
      </c>
      <c r="B1462" t="inlineStr">
        <is>
          <t>presto-tests/src/test/java/com/facebook/presto/tests/TestSpilledOrderByQueries.java</t>
        </is>
      </c>
      <c r="C1462">
        <f>HYPERLINK("https://github.com/prestodb/presto/blob/master/presto-tests/src/test/java/com/facebook/presto/tests/TestSpilledOrderByQueries.java")</f>
        <v/>
      </c>
      <c r="D1462" t="inlineStr">
        <is>
          <t>This Java code defines a test suite for Presto's query engine that tests spilling behavior when using the ORDER BY clause. The test uses the `AbstractTest` class from the `com.facebook.presto.tests` package and extends it to add new tests related to spilling.
The `TestSpilledOrderByQueries` class has several methods that define different</t>
        </is>
      </c>
      <c r="E1462" t="n">
        <v>0.0044</v>
      </c>
      <c r="F1462" t="n">
        <v>0.0645</v>
      </c>
      <c r="G1462" t="n">
        <v>0.123</v>
      </c>
      <c r="H1462" t="inlineStr">
        <is>
          <t>This code defines a test suite for Presto's spilling behavior during ORDER BY queries. It uses the JUnit testing framework to run tests that verify the expected behavior of Presto when it encounters out-of-memory errors while executing ORDER BY operations. The test cases set up different scenarios where Presto needs to spill data to disk, and then verify that the correct amount</t>
        </is>
      </c>
      <c r="I1462" t="n">
        <v>0.0035</v>
      </c>
      <c r="J1462" t="n">
        <v>0.0548</v>
      </c>
      <c r="K1462" t="n">
        <v>0.1119</v>
      </c>
      <c r="L1462" t="inlineStr">
        <is>
          <t>The provided code defines a test suite for spilled order by queries in Presto. It imports necessary classes from the Presto framework and creates a new instance of the QueryRunner class. The test then sets up a session object that enables the ORDER BY SPILL feature and sets the maximum revocable memory per node to a specified value. Finally, the test runs several queries using the query</t>
        </is>
      </c>
      <c r="M1462" t="n">
        <v>0.0027</v>
      </c>
      <c r="N1462" t="n">
        <v>0.0267</v>
      </c>
      <c r="O1462" t="n">
        <v>0.07190000000000001</v>
      </c>
    </row>
    <row r="1463">
      <c r="A1463" t="inlineStr">
        <is>
          <t>presto</t>
        </is>
      </c>
      <c r="B1463" t="inlineStr">
        <is>
          <t>presto-tests/src/test/java/com/facebook/presto/tests/TestBlackHoleSmoke.java</t>
        </is>
      </c>
      <c r="C1463">
        <f>HYPERLINK("https://github.com/prestodb/presto/blob/master/presto-tests/src/test/java/com/facebook/presto/tests/TestBlackHoleSmoke.java")</f>
        <v/>
      </c>
      <c r="D1463" t="inlineStr">
        <is>
          <t>This Java code appears to be part of a Presto database management system. It defines several classes and methods related to testing and querying the system. The main class, `TestQueryRunner`, is responsible for running queries against a Presto instance and returning the results as a `MaterializedResult`. Other relevant classes include `Session` and `MaterializedRow`, which represent a session and a</t>
        </is>
      </c>
      <c r="E1463" t="n">
        <v>0.0037</v>
      </c>
      <c r="F1463" t="n">
        <v>0.0597</v>
      </c>
      <c r="G1463" t="n">
        <v>0.1145</v>
      </c>
      <c r="H1463" t="inlineStr">
        <is>
          <t>The code defines a package called `com.facebook.presto.tests` that contains classes related to testing Presto's backend software components. The package imports several other packages from Facebook's Airlift library and Presto's own common and testing libraries. It also includes a class called `TestingPrestoServer`, which extends Presto's `QueryRunner` class</t>
        </is>
      </c>
      <c r="I1463" t="n">
        <v>0.0048</v>
      </c>
      <c r="J1463" t="n">
        <v>0.06560000000000001</v>
      </c>
      <c r="K1463" t="n">
        <v>0.0847</v>
      </c>
      <c r="L1463" t="inlineStr">
        <is>
          <t>The provided code defines a test suite for Presto SQL queries using TestNG annotations. It includes various functions that perform setup, execution, and validation of queries against a QueryRunner instance. The code also includes comments describing the license, imports, and package structure.
The main functionality of the code appears to be related to querying data from a database using Presto's SQL interface.</t>
        </is>
      </c>
      <c r="M1463" t="n">
        <v>0.0035</v>
      </c>
      <c r="N1463" t="n">
        <v>0.0563</v>
      </c>
      <c r="O1463" t="n">
        <v>0.0746</v>
      </c>
    </row>
    <row r="1464">
      <c r="A1464" t="inlineStr">
        <is>
          <t>presto</t>
        </is>
      </c>
      <c r="B1464" t="inlineStr">
        <is>
          <t>presto-tests/src/test/java/com/facebook/presto/tests/TestRepartitionQueries.java</t>
        </is>
      </c>
      <c r="C1464">
        <f>HYPERLINK("https://github.com/prestodb/presto/blob/master/presto-tests/src/test/java/com/facebook/presto/tests/TestRepartitionQueries.java")</f>
        <v/>
      </c>
      <c r="D1464" t="inlineStr">
        <is>
          <t>The `com.facebook.presto.tests` package provides a set of test cases for PrestoDB's query engine. It includes classes that define tests for various aspects of the database, such as SQL parsing, optimization, execution, and data processing. The `TestRepartitionQueries` class is one such test case that checks whether queries can be repartitioned correctly based</t>
        </is>
      </c>
      <c r="E1464" t="n">
        <v>0.0036</v>
      </c>
      <c r="F1464" t="n">
        <v>0.0317</v>
      </c>
      <c r="G1464" t="n">
        <v>0.0407</v>
      </c>
      <c r="H1464" t="inlineStr">
        <is>
          <t>This code defines a Java package named `com.facebook.presto.tests` that contains a class called `TestRepartitionQueries`. The class inherits from `AbstractTestRepartitionQueries`, which is an abstract base class that provides common functionality for testing repartitioning queries.
The `createQueryRunner()` method is overridden to create a new instance of</t>
        </is>
      </c>
      <c r="I1464" t="n">
        <v>0.005</v>
      </c>
      <c r="J1464" t="n">
        <v>0.0727</v>
      </c>
      <c r="K1464" t="n">
        <v>0.0862</v>
      </c>
      <c r="L1464" t="inlineStr">
        <is>
          <t>The provided code is part of a Presto database management system. It defines a test suite for repartitioning queries using the `AbstractTestRepartitionQueries` class.
The `createQueryRunner()` method returns a `QueryRunner` object that can be used to execute SQL queries against the Presto database. The method uses the `TpchQueryRunnerBuilder` class</t>
        </is>
      </c>
      <c r="M1464" t="n">
        <v>0</v>
      </c>
      <c r="N1464" t="n">
        <v>0</v>
      </c>
      <c r="O1464" t="n">
        <v>0.0417</v>
      </c>
    </row>
    <row r="1465">
      <c r="A1465" t="inlineStr">
        <is>
          <t>presto</t>
        </is>
      </c>
      <c r="B1465" t="inlineStr">
        <is>
          <t>presto-tests/src/test/java/com/facebook/presto/tests/TestDistributedVerboseMemoryExceededErrors.java</t>
        </is>
      </c>
      <c r="C1465">
        <f>HYPERLINK("https://github.com/prestodb/presto/blob/master/presto-tests/src/test/java/com/facebook/presto/tests/TestDistributedVerboseMemoryExceededErrors.java")</f>
        <v/>
      </c>
      <c r="D1465" t="inlineStr">
        <is>
          <t>The provided code defines a test suite for verifying that Presto queries do not exceed their memory limits when executed in a distributed environment. It does this by creating a `QueryRunner` object using the `TpchQueryRunnerBuilder`, which sets up a query runner with the necessary configuration settings for running TPC-H benchmark queries.
The test then creates a session with a maximum</t>
        </is>
      </c>
      <c r="E1465" t="n">
        <v>0</v>
      </c>
      <c r="F1465" t="n">
        <v>0.029</v>
      </c>
      <c r="G1465" t="n">
        <v>0.07580000000000001</v>
      </c>
      <c r="H1465" t="inlineStr">
        <is>
          <t>This code defines a test suite for verifying that Presto's memory management behaves correctly when running queries that exceed available memory. The test uses the `AbstractTestVerboseMemoryExceededErrors` class from the `com.facebook.presto.tests` package, which provides a base implementation for testing memory errors. The `createQueryRunner()` method creates a new instance of</t>
        </is>
      </c>
      <c r="I1465" t="n">
        <v>0.0038</v>
      </c>
      <c r="J1465" t="n">
        <v>0.0667</v>
      </c>
      <c r="K1465" t="n">
        <v>0.125</v>
      </c>
      <c r="L1465" t="inlineStr">
        <is>
          <t>The provided code defines a Java class called `TestDistributedVerboseMemoryExceededErrors` that inherits from `AbstractTestVerboseMemoryExceededErrors`. It appears to be related to PrestoDB, as it references classes and methods within the PrestoDB ecosystem.
The class's primary responsibility is to test the error handling mechanism when a query exceed</t>
        </is>
      </c>
      <c r="M1465" t="n">
        <v>0.0041</v>
      </c>
      <c r="N1465" t="n">
        <v>0.037</v>
      </c>
      <c r="O1465" t="n">
        <v>0.0427</v>
      </c>
    </row>
    <row r="1466">
      <c r="A1466" t="inlineStr">
        <is>
          <t>presto</t>
        </is>
      </c>
      <c r="B1466" t="inlineStr">
        <is>
          <t>presto-tests/src/test/java/com/facebook/presto/tests/TestServerInfoResource.java</t>
        </is>
      </c>
      <c r="C1466">
        <f>HYPERLINK("https://github.com/prestodb/presto/blob/master/presto-tests/src/test/java/com/facebook/presto/tests/TestServerInfoResource.java")</f>
        <v/>
      </c>
      <c r="D1466" t="inlineStr">
        <is>
          <t>The provided code appears to be a Java class that implements various functionalities related to Presto, a data processing engine. It includes several imports from other packages, including `com.facebook.presto`, `com.facebook.presto.server`, and `com.facebook.presto.spi`.
The class defines several fields and methods, but it does not contain any</t>
        </is>
      </c>
      <c r="E1466" t="n">
        <v>0.0049</v>
      </c>
      <c r="F1466" t="n">
        <v>0.0984</v>
      </c>
      <c r="G1466" t="n">
        <v>0.1282</v>
      </c>
      <c r="H1466" t="inlineStr">
        <is>
          <t>This code defines a Presto server that can be used for testing purposes. It includes several components such as a session manager, a resource endpoint, and a plugin for accessing the TPC-H dataset. The code also uses Guava's ListenableFuture and MoreExecutors libraries for asynchronous programming.</t>
        </is>
      </c>
      <c r="I1466" t="n">
        <v>0.0049</v>
      </c>
      <c r="J1466" t="n">
        <v>0.0727</v>
      </c>
      <c r="K1466" t="n">
        <v>0.1282</v>
      </c>
      <c r="L1466" t="inlineStr">
        <is>
          <t>The provided code defines a test suite for Presto, a distributed SQL query engine. It includes several classes that provide different functionalities, such as Session, ServerInfoResource, TestingPrestoServer, TpchPlugin, and ListeningExecutorService. These classes work together to enable testing of various aspects of the Presto system, including node state management and TPC-H data loading</t>
        </is>
      </c>
      <c r="M1466" t="n">
        <v>0.0035</v>
      </c>
      <c r="N1466" t="n">
        <v>0.06560000000000001</v>
      </c>
      <c r="O1466" t="n">
        <v>0.0806</v>
      </c>
    </row>
    <row r="1467">
      <c r="A1467" t="inlineStr">
        <is>
          <t>presto</t>
        </is>
      </c>
      <c r="B1467" t="inlineStr">
        <is>
          <t>presto-tests/src/test/java/com/facebook/presto/tests/TestNonIterativeDistributedQueries.java</t>
        </is>
      </c>
      <c r="C1467">
        <f>HYPERLINK("https://github.com/prestodb/presto/blob/master/presto-tests/src/test/java/com/facebook/presto/tests/TestNonIterativeDistributedQueries.java")</f>
        <v/>
      </c>
      <c r="D1467" t="inlineStr">
        <is>
          <t>The code defines a test suite for testing non-iterative distributed queries using Presto. It creates a `QueryRunner` instance using the `TpchQueryRunnerBuilder` builder class, which sets up a query runner with TPC-H data and disables iterative optimization. The test then runs various SQL queries against the query runner and asserts their correctness.</t>
        </is>
      </c>
      <c r="E1467" t="n">
        <v>0.0036</v>
      </c>
      <c r="F1467" t="n">
        <v>0.0328</v>
      </c>
      <c r="G1467" t="n">
        <v>0.0813</v>
      </c>
      <c r="H1467" t="inlineStr">
        <is>
          <t>This code defines a test suite for verifying the behavior of Presto when the iterative optimizer is disabled. It uses the TPC-H benchmark queries as input and runs them through the Presto query engine. The test ensures that the results produced by Presto match those expected based on the TPC-H benchmark.</t>
        </is>
      </c>
      <c r="I1467" t="n">
        <v>0.0043</v>
      </c>
      <c r="J1467" t="n">
        <v>0.06560000000000001</v>
      </c>
      <c r="K1467" t="n">
        <v>0.122</v>
      </c>
      <c r="L1467" t="inlineStr">
        <is>
          <t>The provided code defines a test suite for verifying the functionality of Presto when the iterative optimizer is disabled. It creates a query runner instance using the TpchQueryRunnerBuilder and overrides the `createQueryRunner` method from the abstract base class AbstractTestQueries. The test queries various scenarios related to distributed queries and verifies their correctness.</t>
        </is>
      </c>
      <c r="M1467" t="n">
        <v>0.0042</v>
      </c>
      <c r="N1467" t="n">
        <v>0.0667</v>
      </c>
      <c r="O1467" t="n">
        <v>0.0806</v>
      </c>
    </row>
    <row r="1468">
      <c r="A1468" t="inlineStr">
        <is>
          <t>presto</t>
        </is>
      </c>
      <c r="B1468" t="inlineStr">
        <is>
          <t>presto-tests/src/test/java/com/facebook/presto/tests/TestUserDefinedTypes.java</t>
        </is>
      </c>
      <c r="C1468">
        <f>HYPERLINK("https://github.com/prestodb/presto/blob/master/presto-tests/src/test/java/com/facebook/presto/tests/TestUserDefinedTypes.java")</f>
        <v/>
      </c>
      <c r="D1468" t="inlineStr">
        <is>
          <t>The `TestUserDefinedTypes` class provides a test suite for user-defined types (UDTs) in Presto. It defines several tests that verify the behavior of UDTs in various scenarios. These tests include:
* Creating and dropping UDTs
* Using UDTs as column types in tables
* Inserting and retrieving data from tables</t>
        </is>
      </c>
      <c r="E1468" t="n">
        <v>0.0037</v>
      </c>
      <c r="F1468" t="n">
        <v>0.0364</v>
      </c>
      <c r="G1468" t="n">
        <v>0.08260000000000001</v>
      </c>
      <c r="H1468" t="inlineStr">
        <is>
          <t>This is a Java test suite that uses Presto's QueryRunner to execute queries against a local instance of Presto. The test suite includes several tests that demonstrate the usage of user-defined types (UDTs) in Presto. These tests cover various aspects of UDTs, such as creating and using custom UDTs, casting between different types, and querying data stored</t>
        </is>
      </c>
      <c r="I1468" t="n">
        <v>0.0038</v>
      </c>
      <c r="J1468" t="n">
        <v>0.0597</v>
      </c>
      <c r="K1468" t="n">
        <v>0.1163</v>
      </c>
      <c r="L1468" t="inlineStr">
        <is>
          <t>The provided code defines a test suite for user-defined types (UDTs) in Presto. It uses the `AbstractTestQueryFramework` class from the `com.facebook.presto.testing` package to set up a query runner and execute queries against a Presto instance. The test suite includes several tests that verify the correctness of UDT serialization, deserialization</t>
        </is>
      </c>
      <c r="M1468" t="n">
        <v>0.0037</v>
      </c>
      <c r="N1468" t="n">
        <v>0.0328</v>
      </c>
      <c r="O1468" t="n">
        <v>0.08260000000000001</v>
      </c>
    </row>
    <row r="1469">
      <c r="A1469" t="inlineStr">
        <is>
          <t>presto</t>
        </is>
      </c>
      <c r="B1469" t="inlineStr">
        <is>
          <t>presto-tests/src/test/java/com/facebook/presto/tests/TestTpchDistributedStats.java</t>
        </is>
      </c>
      <c r="C1469">
        <f>HYPERLINK("https://github.com/prestodb/presto/blob/master/presto-tests/src/test/java/com/facebook/presto/tests/TestTpchDistributedStats.java")</f>
        <v/>
      </c>
      <c r="D1469" t="inlineStr">
        <is>
          <t>This code appears to be part of a Presto test suite for verifying the correctness of statistical queries against a TPC-H database. The code defines several classes and methods related to testing statistics, including `StatisticsAssertion`, which provides a way to compare expected and actual query results based on statistical measures such as mean, variance, and standard deviation.
The main class,</t>
        </is>
      </c>
      <c r="E1469" t="n">
        <v>0.0036</v>
      </c>
      <c r="F1469" t="n">
        <v>0.058</v>
      </c>
      <c r="G1469" t="n">
        <v>0.1136</v>
      </c>
      <c r="H1469" t="inlineStr">
        <is>
          <t>This codebase contains a suite of tests for Presto's query engine using TestNG. The tests cover various aspects of the engine's performance, including statistics assertion and column naming. The codebase also includes a TpchQueryRunnerBuilder class that provides a convenient way to run queries against the TPC-H benchmark dataset. Overall, this codebase appears to be focused on</t>
        </is>
      </c>
      <c r="I1469" t="n">
        <v>0.0039</v>
      </c>
      <c r="J1469" t="n">
        <v>0.0597</v>
      </c>
      <c r="K1469" t="n">
        <v>0.1172</v>
      </c>
      <c r="L1469" t="inlineStr">
        <is>
          <t>The provided code defines a test suite for Presto using TestNG framework. It includes several tests that verify the correctness of various statistical assertions made against TPC-H data sets. The code also provides a `TpchQueryRunnerBuilder` class that helps build a query runner instance for running queries against TPC-H tables. Additionally, there are some utility classes such as `</t>
        </is>
      </c>
      <c r="M1469" t="n">
        <v>0</v>
      </c>
      <c r="N1469" t="n">
        <v>0</v>
      </c>
      <c r="O1469" t="n">
        <v>0.0385</v>
      </c>
    </row>
    <row r="1470">
      <c r="A1470" t="inlineStr">
        <is>
          <t>presto</t>
        </is>
      </c>
      <c r="B1470" t="inlineStr">
        <is>
          <t>presto-tests/src/test/java/com/facebook/presto/tests/TestSpilledAggregationWithLargeBlockSpillingEnabled.java</t>
        </is>
      </c>
      <c r="C1470">
        <f>HYPERLINK("https://github.com/prestodb/presto/blob/master/presto-tests/src/test/java/com/facebook/presto/tests/TestSpilledAggregationWithLargeBlockSpillingEnabled.java")</f>
        <v/>
      </c>
      <c r="D1470" t="inlineStr">
        <is>
          <t>The provided code defines a `TestingPrestoServer` class that sets up a Presto server instance for testing purposes. It creates a new session using the `Session` class from the Presto API, and then adds several plugins to it, including the TPC-H plugin. Finally, it starts the server and returns a reference to the created query runner.</t>
        </is>
      </c>
      <c r="E1470" t="n">
        <v>0.0033</v>
      </c>
      <c r="F1470" t="n">
        <v>0.0312</v>
      </c>
      <c r="G1470" t="n">
        <v>0.07870000000000001</v>
      </c>
      <c r="H1470" t="inlineStr">
        <is>
          <t>This code defines a Java package called `com.facebook.presto.tests` that provides various classes and methods related to testing Presto's SQL query engine. The package includes a class called `QueryRunner`, which is used to run queries against a Presto cluster. It also includes other utility classes such as `Session`, `SystemSessionProperties`, and `TpchPlugin`.</t>
        </is>
      </c>
      <c r="I1470" t="n">
        <v>0.0044</v>
      </c>
      <c r="J1470" t="n">
        <v>0.0645</v>
      </c>
      <c r="K1470" t="n">
        <v>0.123</v>
      </c>
      <c r="L1470" t="inlineStr">
        <is>
          <t>The code defines a `TestingPrestoServer` class that provides a Presto server instance for testing purposes. It sets up a new session with default properties and adds the TPCH plugin. The `start()` method starts the server and returns a `QueryRunner` object that can be used to run queries against the server. The `stop()` method stops the server and cleans up</t>
        </is>
      </c>
      <c r="M1470" t="n">
        <v>0.0031</v>
      </c>
      <c r="N1470" t="n">
        <v>0.0299</v>
      </c>
      <c r="O1470" t="n">
        <v>0.07630000000000001</v>
      </c>
    </row>
    <row r="1471">
      <c r="A1471" t="inlineStr">
        <is>
          <t>presto</t>
        </is>
      </c>
      <c r="B1471" t="inlineStr">
        <is>
          <t>presto-tests/src/test/java/com/facebook/presto/tests/TestLocalEngineOnlyQueries.java</t>
        </is>
      </c>
      <c r="C1471">
        <f>HYPERLINK("https://github.com/prestodb/presto/blob/master/presto-tests/src/test/java/com/facebook/presto/tests/TestLocalEngineOnlyQueries.java")</f>
        <v/>
      </c>
      <c r="D1471" t="inlineStr">
        <is>
          <t>This Java code defines a test suite for running engine-only queries against a local Presto instance. The `TestLocalEngineOnlyQueries` class inherits from `AbstractTestEngineOnlyQueries`, which provides a base implementation for testing engine-only queries. The `createQueryRunner()` method returns a `QueryRunner` object that can be used to execute SQL queries against the local Pr</t>
        </is>
      </c>
      <c r="E1471" t="n">
        <v>0.0037</v>
      </c>
      <c r="F1471" t="n">
        <v>0.0667</v>
      </c>
      <c r="G1471" t="n">
        <v>0.123</v>
      </c>
      <c r="H1471" t="inlineStr">
        <is>
          <t>This Java package `com.facebook.presto.tests` contains test cases for Presto's query engine. The tests are implemented using JUnit and can be run locally using Maven. The package includes a single class called `TestLocalEngineOnlyQueries`, which inherits from `AbstractTestEngineOnlyQueries`. The `createQueryRunner()` method returns a new instance of `</t>
        </is>
      </c>
      <c r="I1471" t="n">
        <v>0.0049</v>
      </c>
      <c r="J1471" t="n">
        <v>0.1071</v>
      </c>
      <c r="K1471" t="n">
        <v>0.1709</v>
      </c>
      <c r="L1471" t="inlineStr">
        <is>
          <t>The code defines a test suite that runs queries using Presto's local query runner. It inherits from `AbstractTestEngineOnlyQueries` and overrides the `createQueryRunner()` method to return a `TestLocalQueries.createLocalQueryRunner()`.</t>
        </is>
      </c>
      <c r="M1471" t="n">
        <v>0.007</v>
      </c>
      <c r="N1471" t="n">
        <v>0.0541</v>
      </c>
      <c r="O1471" t="n">
        <v>0.101</v>
      </c>
    </row>
    <row r="1472">
      <c r="A1472" t="inlineStr">
        <is>
          <t>presto</t>
        </is>
      </c>
      <c r="B1472" t="inlineStr">
        <is>
          <t>presto-tests/src/test/java/com/facebook/presto/tests/TestWindowQueries.java</t>
        </is>
      </c>
      <c r="C1472">
        <f>HYPERLINK("https://github.com/prestodb/presto/blob/master/presto-tests/src/test/java/com/facebook/presto/tests/TestWindowQueries.java")</f>
        <v/>
      </c>
      <c r="D1472" t="inlineStr">
        <is>
          <t>The provided Java code defines a test suite for window queries using PrestoDB's query runner. It creates a new instance of `TpchQueryRunnerBuilder` and uses it to build a query runner that can execute SQL queries against a PrestoDB database. The `AbstractTestWindowQueries` class provides a base implementation for testing window queries, which is extended by the `Test</t>
        </is>
      </c>
      <c r="E1472" t="n">
        <v>0.0033</v>
      </c>
      <c r="F1472" t="n">
        <v>0.0308</v>
      </c>
      <c r="G1472" t="n">
        <v>0.1172</v>
      </c>
      <c r="H1472" t="inlineStr">
        <is>
          <t>This code defines a Java class called `TestWindowQueries` that inherits from `AbstractTestWindowQueries`. The class provides a method called `createQueryRunner()` which returns a `QueryRunner` object. The `QueryRunner` object is used to execute SQL queries against a Presto database. The class also imports several other classes, including `com.facebook.presto.</t>
        </is>
      </c>
      <c r="I1472" t="n">
        <v>0.004</v>
      </c>
      <c r="J1472" t="n">
        <v>0.0357</v>
      </c>
      <c r="K1472" t="n">
        <v>0.0847</v>
      </c>
      <c r="L1472" t="inlineStr">
        <is>
          <t>The provided code defines a Java class named `TestWindowQueries` that implements the interface `AbstractTestWindowQueries`. It appears to be part of a Presto database testing framework. The class overrides the method `createQueryRunner()` from the abstract parent class and uses the `TpchQueryRunnerBuilder` to build a query runner instance.</t>
        </is>
      </c>
      <c r="M1472" t="n">
        <v>0.0048</v>
      </c>
      <c r="N1472" t="n">
        <v>0.0741</v>
      </c>
      <c r="O1472" t="n">
        <v>0.1271</v>
      </c>
    </row>
    <row r="1473">
      <c r="A1473" t="inlineStr">
        <is>
          <t>presto</t>
        </is>
      </c>
      <c r="B1473" t="inlineStr">
        <is>
          <t>presto-tests/src/test/java/com/facebook/presto/tests/TestRestSqlFunctionExecutor.java</t>
        </is>
      </c>
      <c r="C1473">
        <f>HYPERLINK("https://github.com/prestodb/presto/blob/master/presto-tests/src/test/java/com/facebook/presto/tests/TestRestSqlFunctionExecutor.java")</f>
        <v/>
      </c>
      <c r="D1473" t="inlineStr">
        <is>
          <t>This code appears to be part of a Presto project, which is an open source distributed SQL query engine for big data analytics. The code defines several classes related to testing the Presto server, including `PrestoTests` and `TestingPrestoServer`.
The `PrestoTests` class seems to be a test suite that includes various tests for the Presto server.</t>
        </is>
      </c>
      <c r="E1473" t="n">
        <v>0.004</v>
      </c>
      <c r="F1473" t="n">
        <v>0.0635</v>
      </c>
      <c r="G1473" t="n">
        <v>0.1181</v>
      </c>
      <c r="H1473" t="inlineStr">
        <is>
          <t>This code appears to be part of a Presto database management system, specifically the tests package. It includes several classes that define HTTP clients and processors used in testing, as well as some utility classes for working with JSON data. The main class, `PrestoTests`, seems to be responsible for setting up and running tests using these components.</t>
        </is>
      </c>
      <c r="I1473" t="n">
        <v>0.0038</v>
      </c>
      <c r="J1473" t="n">
        <v>0.0615</v>
      </c>
      <c r="K1473" t="n">
        <v>0.1163</v>
      </c>
      <c r="L1473" t="inlineStr">
        <is>
          <t>The provided code is a Java class that implements a test suite for Presto's HTTP client. It uses the JUnit testing framework and the Airlift library for dependency injection and configuration management. The class initializes a TestingHttpClient instance using the Bootstrap module, which provides a simple way to configure and manage dependencies. The HttpClient instance is then used to send requests to a Pr</t>
        </is>
      </c>
      <c r="M1473" t="n">
        <v>0.0034</v>
      </c>
      <c r="N1473" t="n">
        <v>0.0548</v>
      </c>
      <c r="O1473" t="n">
        <v>0.1103</v>
      </c>
    </row>
    <row r="1474">
      <c r="A1474" t="inlineStr">
        <is>
          <t>presto</t>
        </is>
      </c>
      <c r="B1474" t="inlineStr">
        <is>
          <t>presto-tests/src/test/java/com/facebook/presto/tests/TestQuerySpillLimits.java</t>
        </is>
      </c>
      <c r="C1474">
        <f>HYPERLINK("https://github.com/prestodb/presto/blob/master/presto-tests/src/test/java/com/facebook/presto/tests/TestQuerySpillLimits.java")</f>
        <v/>
      </c>
      <c r="D1474" t="inlineStr">
        <is>
          <t>The code defines a `LocalQueryRunner` class that extends the `QueryRunner` interface from Presto's testing module. It provides a simple way to run queries against a local instance of Presto without having to set up a full cluster. The constructor takes a `Session` object as an argument, which represents the session context for the query execution.
The `run()` method</t>
        </is>
      </c>
      <c r="E1474" t="n">
        <v>0</v>
      </c>
      <c r="F1474" t="n">
        <v>0.0299</v>
      </c>
      <c r="G1474" t="n">
        <v>0.0385</v>
      </c>
      <c r="H1474" t="inlineStr">
        <is>
          <t>This code defines a Java package called `com.facebook.presto.tests` that provides various test cases for PrestoDB. The package includes classes such as `LocalQueryRunner`, which allows running queries locally, and `QueryRunner`, which provides a more general interface for query execution. Additionally, it includes configuration files for different features, functions, and spilling behavior. The package also</t>
        </is>
      </c>
      <c r="I1474" t="n">
        <v>0.0041</v>
      </c>
      <c r="J1474" t="n">
        <v>0.09379999999999999</v>
      </c>
      <c r="K1474" t="n">
        <v>0.12</v>
      </c>
      <c r="L1474" t="inlineStr">
        <is>
          <t>The provided code defines a `LocalQueryRunner` class that sets up a Presto query runner using the TPC-H connector factory. It also configures various features such as spilling, caching, and function support. The class provides methods for running queries and accessing results.</t>
        </is>
      </c>
      <c r="M1474" t="n">
        <v>0.0045</v>
      </c>
      <c r="N1474" t="n">
        <v>0.08</v>
      </c>
      <c r="O1474" t="n">
        <v>0.0885</v>
      </c>
    </row>
    <row r="1475">
      <c r="A1475" t="inlineStr">
        <is>
          <t>presto</t>
        </is>
      </c>
      <c r="B1475" t="inlineStr">
        <is>
          <t>presto-tests/src/test/java/com/facebook/presto/tests/TestSortWithPartitionQueries.java</t>
        </is>
      </c>
      <c r="C1475">
        <f>HYPERLINK("https://github.com/prestodb/presto/blob/master/presto-tests/src/test/java/com/facebook/presto/tests/TestSortWithPartitionQueries.java")</f>
        <v/>
      </c>
      <c r="D1475" t="inlineStr">
        <is>
          <t>This code appears to be part of a Presto database management system, specifically the test suite for the iterative optimizer component. The code defines several classes and methods related to testing the performance of the iterative optimizer, which is responsible for applying optimization rules to queries in order to improve their execution plan.
The main class, `IterativeOptimizerTests`, contains a number</t>
        </is>
      </c>
      <c r="E1475" t="n">
        <v>0.0036</v>
      </c>
      <c r="F1475" t="n">
        <v>0.0588</v>
      </c>
      <c r="G1475" t="n">
        <v>0.1136</v>
      </c>
      <c r="H1475" t="inlineStr">
        <is>
          <t>This code implements a Presto query runner that runs queries against a local Presto instance. It includes several classes and methods related to optimizing queries using iterative optimization techniques, such as adding partitioning to sorts. The code also includes comments explaining the purpose and usage of each class and method. Overall, this code appears to be part of a larger Presto project, possibly used for testing</t>
        </is>
      </c>
      <c r="I1475" t="n">
        <v>0.0036</v>
      </c>
      <c r="J1475" t="n">
        <v>0.08110000000000001</v>
      </c>
      <c r="K1475" t="n">
        <v>0.1449</v>
      </c>
      <c r="L1475" t="inlineStr">
        <is>
          <t>The provided code defines a test suite for Presto's query optimizer using JUnit. It includes several tests that exercise different aspects of the optimizer's behavior, such as partition pruning and sorting.
The test suite uses a local QueryRunner instance to execute queries against a mocked out Presto cluster. Each test method sets up a session object with appropriate configuration options and</t>
        </is>
      </c>
      <c r="M1475" t="n">
        <v>0.003</v>
      </c>
      <c r="N1475" t="n">
        <v>0.0282</v>
      </c>
      <c r="O1475" t="n">
        <v>0.0752</v>
      </c>
    </row>
    <row r="1476">
      <c r="A1476" t="inlineStr">
        <is>
          <t>presto</t>
        </is>
      </c>
      <c r="B1476" t="inlineStr">
        <is>
          <t>presto-tests/src/test/java/com/facebook/presto/tests/TestLegacyLogFunction.java</t>
        </is>
      </c>
      <c r="C1476">
        <f>HYPERLINK("https://github.com/prestodb/presto/blob/master/presto-tests/src/test/java/com/facebook/presto/tests/TestLegacyLogFunction.java")</f>
        <v/>
      </c>
      <c r="D1476" t="inlineStr">
        <is>
          <t>This code appears to be part of a Presto SQL query engine test suite. It defines several classes and methods related to testing the engine's ability to analyze queries and execute them against a local data source. The main class `PrestoTests` has several tests that define various scenarios for running queries using the LocalQueryRunner class, which provides a mock implementation of the Presto engine. The</t>
        </is>
      </c>
      <c r="E1476" t="n">
        <v>0.0033</v>
      </c>
      <c r="F1476" t="n">
        <v>0.0541</v>
      </c>
      <c r="G1476" t="n">
        <v>0.146</v>
      </c>
      <c r="H1476" t="inlineStr">
        <is>
          <t>This repository contains the source code for Presto, a distributed SQL query engine that allows users to perform complex queries across large datasets stored in various data sources such as Hive, PostgreSQL, and more. The code is written in Java and uses the TestNG framework for testing. It includes several packages, including `com.facebook.presto`, which contains the main classes for the project</t>
        </is>
      </c>
      <c r="I1476" t="n">
        <v>0.0036</v>
      </c>
      <c r="J1476" t="n">
        <v>0.0563</v>
      </c>
      <c r="K1476" t="n">
        <v>0.1128</v>
      </c>
      <c r="L1476" t="inlineStr">
        <is>
          <t>The provided code defines a test case for Presto SQL queries using TestNG annotations. It imports necessary classes from the Presto project, including `LocalQueryRunner`, `MaterializedResult`, and `SemanticException`. The test case sets up a `LocalQueryRunner` instance and uses it to execute a query against a local Presto cluster. The query is defined as a string literal,</t>
        </is>
      </c>
      <c r="M1476" t="n">
        <v>0.0033</v>
      </c>
      <c r="N1476" t="n">
        <v>0.0317</v>
      </c>
      <c r="O1476" t="n">
        <v>0.07870000000000001</v>
      </c>
    </row>
    <row r="1477">
      <c r="A1477" t="inlineStr">
        <is>
          <t>presto</t>
        </is>
      </c>
      <c r="B1477" t="inlineStr">
        <is>
          <t>presto-tests/src/test/java/com/facebook/presto/tests/TestAggregations.java</t>
        </is>
      </c>
      <c r="C1477">
        <f>HYPERLINK("https://github.com/prestodb/presto/blob/master/presto-tests/src/test/java/com/facebook/presto/tests/TestAggregations.java")</f>
        <v/>
      </c>
      <c r="D1477" t="inlineStr">
        <is>
          <t>The code defines a Java class called `TestAggregations` that inherits from `AbstractTestAggregations`. It overrides the `createQueryRunner()` method to build a query runner using the `TpchQueryRunnerBuilder`. This builder creates a new instance of `QueryRunner` based on the TPC-H benchmark suite. The `TestAggregations` class then</t>
        </is>
      </c>
      <c r="E1477" t="n">
        <v>0.0043</v>
      </c>
      <c r="F1477" t="n">
        <v>0.0385</v>
      </c>
      <c r="G1477" t="n">
        <v>0.08699999999999999</v>
      </c>
      <c r="H1477" t="inlineStr">
        <is>
          <t>This code defines a Java class called `TestAggregations` that inherits from another class called `AbstractTestAggregations`. The class has one method called `createQueryRunner()` which returns a `QueryRunner` object. It also includes some comments and a license header.</t>
        </is>
      </c>
      <c r="I1477" t="n">
        <v>0.0061</v>
      </c>
      <c r="J1477" t="n">
        <v>0.09089999999999999</v>
      </c>
      <c r="K1477" t="n">
        <v>0.0926</v>
      </c>
      <c r="L1477" t="inlineStr">
        <is>
          <t>The provided code defines a Java class called `TestAggregations` that inherits from `AbstractTestAggregations`. It appears to be a test suite for aggregation queries using Presto's testing framework. The class overrides the `createQueryRunner()` method to build a query runner instance using the `TpchQueryRunnerBuilder`, which is used to run queries against a</t>
        </is>
      </c>
      <c r="M1477" t="n">
        <v>0</v>
      </c>
      <c r="N1477" t="n">
        <v>0</v>
      </c>
      <c r="O1477" t="n">
        <v>0.041</v>
      </c>
    </row>
    <row r="1478">
      <c r="A1478" t="inlineStr">
        <is>
          <t>presto</t>
        </is>
      </c>
      <c r="B1478" t="inlineStr">
        <is>
          <t>presto-tests/src/test/java/com/facebook/presto/tests/TestSpilledAggregationWithHighMemoryRevokingThreshold.java</t>
        </is>
      </c>
      <c r="C1478">
        <f>HYPERLINK("https://github.com/prestodb/presto/blob/master/presto-tests/src/test/java/com/facebook/presto/tests/TestSpilledAggregationWithHighMemoryRevokingThreshold.java")</f>
        <v/>
      </c>
      <c r="D1478" t="inlineStr">
        <is>
          <t>This code defines a `QueryRunner` class that creates a Presto query runner instance using the TPC-H plugin. The `QueryRunner` class provides methods for running queries against a Presto cluster, such as `executeQuery()` and `getTableNames()`. It also includes support for setting session properties, which can be used to configure the behavior of the query execution engine.</t>
        </is>
      </c>
      <c r="E1478" t="n">
        <v>0.004</v>
      </c>
      <c r="F1478" t="n">
        <v>0.0625</v>
      </c>
      <c r="G1478" t="n">
        <v>0.1181</v>
      </c>
      <c r="H1478" t="inlineStr">
        <is>
          <t>This Java package `com.facebook.presto.tests` appears to contain test cases for PrestoDB, a data management system that allows users to query large datasets stored in various formats such as CSV, JSON, and Parquet. The package includes classes related to session handling, query execution, and worker node configuration. It also defines constants and utility methods used throughout the project.</t>
        </is>
      </c>
      <c r="I1478" t="n">
        <v>0.0038</v>
      </c>
      <c r="J1478" t="n">
        <v>0.0588</v>
      </c>
      <c r="K1478" t="n">
        <v>0.1163</v>
      </c>
      <c r="L1478" t="inlineStr">
        <is>
          <t>The provided code defines a `main` method that creates a Presto query runner using the TPC-H plugin. It then sets up a session with some default properties and runs a query against a local data directory. The query retrieves all orders from the "orders" table in the TPC-H dataset and prints them to the console.
The code also includes some comments describing</t>
        </is>
      </c>
      <c r="M1478" t="n">
        <v>0.0029</v>
      </c>
      <c r="N1478" t="n">
        <v>0.0278</v>
      </c>
      <c r="O1478" t="n">
        <v>0.0746</v>
      </c>
    </row>
    <row r="1479">
      <c r="A1479" t="inlineStr">
        <is>
          <t>presto</t>
        </is>
      </c>
      <c r="B1479" t="inlineStr">
        <is>
          <t>presto-tests/src/test/java/com/facebook/presto/tests/TestGracefulShutdown.java</t>
        </is>
      </c>
      <c r="C1479">
        <f>HYPERLINK("https://github.com/prestodb/presto/blob/master/presto-tests/src/test/java/com/facebook/presto/tests/TestGracefulShutdown.java")</f>
        <v/>
      </c>
      <c r="D1479" t="inlineStr">
        <is>
          <t>The code defines a `TestingPrestoServer` class that extends the `TestingPrestoServer` class from Presto's testing framework. It provides a simple way to start up a Presto server instance for testing purposes.
The constructor takes a `Session` object as input, which represents the session configuration for the test. It also takes a `TaskManager` object</t>
        </is>
      </c>
      <c r="E1479" t="n">
        <v>0</v>
      </c>
      <c r="F1479" t="n">
        <v>0</v>
      </c>
      <c r="G1479" t="n">
        <v>0</v>
      </c>
      <c r="H1479" t="inlineStr">
        <is>
          <t>This code defines a Presto server that can be used to run queries against a TPC-H database. It includes several components such as a session manager, task manager, and query executor. The code also includes a custom plugin for the TPC-H dataset.
The `main` method starts up the server and creates a new instance of the `TestingPrestoServer</t>
        </is>
      </c>
      <c r="I1479" t="n">
        <v>0.0038</v>
      </c>
      <c r="J1479" t="n">
        <v>0.0597</v>
      </c>
      <c r="K1479" t="n">
        <v>0.1163</v>
      </c>
      <c r="L1479" t="inlineStr">
        <is>
          <t>The provided code defines a test suite for Presto, a data processing engine. It sets up a testing environment using the TestingPrestoServer class, which provides a basic query execution framework. The code also includes several utility methods for interacting with the server and running queries.
The main functionality of the code appears to be related to executing SQL queries against a Presto instance and ver</t>
        </is>
      </c>
      <c r="M1479" t="n">
        <v>0.0033</v>
      </c>
      <c r="N1479" t="n">
        <v>0.0548</v>
      </c>
      <c r="O1479" t="n">
        <v>0.073</v>
      </c>
    </row>
    <row r="1480">
      <c r="A1480" t="inlineStr">
        <is>
          <t>presto</t>
        </is>
      </c>
      <c r="B1480" t="inlineStr">
        <is>
          <t>presto-tests/src/test/java/com/facebook/presto/tests/TestAfterburnerSupport.java</t>
        </is>
      </c>
      <c r="C1480">
        <f>HYPERLINK("https://github.com/prestodb/presto/blob/master/presto-tests/src/test/java/com/facebook/presto/tests/TestAfterburnerSupport.java")</f>
        <v/>
      </c>
      <c r="D1480" t="inlineStr">
        <is>
          <t>The code defines a test case that verifies support for Afterburner optimization in Presto. It uses the `TpchQueryRunnerBuilder` class from the `com.facebook.presto.tests.tpch` package to create a DistributedQueryRunner instance with Afterburner enabled. The test then runs a simple query against the query runner and asserts that the results</t>
        </is>
      </c>
      <c r="E1480" t="n">
        <v>0.0039</v>
      </c>
      <c r="F1480" t="n">
        <v>0.0339</v>
      </c>
      <c r="G1480" t="n">
        <v>0.08400000000000001</v>
      </c>
      <c r="H1480" t="inlineStr">
        <is>
          <t>The provided code defines a Java test suite that uses Presto's Afterburner support to perform various tests on the Presto engine. The test suite is defined using the `TestNG` framework and includes a single test method called `smokeTestAfterburnerSupport`. This method sets up a Distributed Query Runner instance using the `TpchQueryRunnerBuilder`, which is</t>
        </is>
      </c>
      <c r="I1480" t="n">
        <v>0.0042</v>
      </c>
      <c r="J1480" t="n">
        <v>0.0328</v>
      </c>
      <c r="K1480" t="n">
        <v>0.121</v>
      </c>
      <c r="L1480" t="inlineStr">
        <is>
          <t>The code defines a test suite for Presto's Afterburner support. It imports classes from the `com.facebook.presto.tests` package and uses the `TpchQueryRunnerBuilder` class to create a DistributedQueryRunner instance that enables JSON serialization and deserialization using Afterburner. The `smokeTestAfterburnerSupport()` method runs a</t>
        </is>
      </c>
      <c r="M1480" t="n">
        <v>0.0046</v>
      </c>
      <c r="N1480" t="n">
        <v>0.0385</v>
      </c>
      <c r="O1480" t="n">
        <v>0.0893</v>
      </c>
    </row>
    <row r="1481">
      <c r="A1481" t="inlineStr">
        <is>
          <t>presto</t>
        </is>
      </c>
      <c r="B1481" t="inlineStr">
        <is>
          <t>presto-tests/src/test/java/com/facebook/presto/tests/TestDistributedSpilledQueries.java</t>
        </is>
      </c>
      <c r="C1481">
        <f>HYPERLINK("https://github.com/prestodb/presto/blob/master/presto-tests/src/test/java/com/facebook/presto/tests/TestDistributedSpilledQueries.java")</f>
        <v/>
      </c>
      <c r="D1481" t="inlineStr">
        <is>
          <t>This code defines a test suite for PrestoDB, a distributed SQL query engine. It includes several classes and methods that work together to set up and execute queries against a PrestoDB instance. The main entry point is the `main` method, which creates a new QueryRunner object and sets up the necessary plugins and session properties. The `QueryRunner` class is responsible for managing the</t>
        </is>
      </c>
      <c r="E1481" t="n">
        <v>0.0034</v>
      </c>
      <c r="F1481" t="n">
        <v>0.0563</v>
      </c>
      <c r="G1481" t="n">
        <v>0.1111</v>
      </c>
      <c r="H1481" t="inlineStr">
        <is>
          <t>This code defines a Java package named `com.facebook.presto.tests` that provides various classes and methods for testing Presto's query engine. The package includes several classes such as `QueryRunner`, `Session`, `SystemSessionProperties`, `SqlInvokedFunctionsPlugin`, and `TpchPlugin`. These classes provide different functionalities related to query execution, session management</t>
        </is>
      </c>
      <c r="I1481" t="n">
        <v>0.0051</v>
      </c>
      <c r="J1481" t="n">
        <v>0.0727</v>
      </c>
      <c r="K1481" t="n">
        <v>0.1304</v>
      </c>
      <c r="L1481" t="inlineStr">
        <is>
          <t>The provided Java code defines a test class named `PrestoTests` that uses Presto's QueryRunner API to execute SQL queries against a remote Presto server. The test case sets up a session object with system properties defined in the `SystemSessionProperties` class and adds two plugins to the query runner: the TPC-H plugin and the SQL invoked functions plugin. The test then</t>
        </is>
      </c>
      <c r="M1481" t="n">
        <v>0.003</v>
      </c>
      <c r="N1481" t="n">
        <v>0.0286</v>
      </c>
      <c r="O1481" t="n">
        <v>0.07580000000000001</v>
      </c>
    </row>
    <row r="1482">
      <c r="A1482" t="inlineStr">
        <is>
          <t>presto</t>
        </is>
      </c>
      <c r="B1482" t="inlineStr">
        <is>
          <t>presto-tests/src/test/java/com/facebook/presto/tests/TestTpchLocalStats.java</t>
        </is>
      </c>
      <c r="C1482">
        <f>HYPERLINK("https://github.com/prestodb/presto/blob/master/presto-tests/src/test/java/com/facebook/presto/tests/TestTpchLocalStats.java")</f>
        <v/>
      </c>
      <c r="D1482" t="inlineStr">
        <is>
          <t>The code defines a test suite for Presto, a distributed SQL query engine. It includes classes for testing various aspects of the system, such as statistics and column naming. The main class `TestPresto` sets up a local query runner and runs tests using the `assertions` method. The `StatisticsAssertion` class provides methods for checking statistical properties of queries, while the `</t>
        </is>
      </c>
      <c r="E1482" t="n">
        <v>0.003</v>
      </c>
      <c r="F1482" t="n">
        <v>0.0299</v>
      </c>
      <c r="G1482" t="n">
        <v>0.07580000000000001</v>
      </c>
      <c r="H1482" t="inlineStr">
        <is>
          <t>The code defines a Java package named `com.facebook.presto.tests` that provides various test classes and methods for testing Presto's query engine. It includes classes for setting up and tearing down local query runners, running queries, and asserting statistics. The package also includes a class called `StatisticsAssertion` that provides utility methods for checking statistical properties of</t>
        </is>
      </c>
      <c r="I1482" t="n">
        <v>0.0034</v>
      </c>
      <c r="J1482" t="n">
        <v>0.0303</v>
      </c>
      <c r="K1482" t="n">
        <v>0.0794</v>
      </c>
      <c r="L1482" t="inlineStr">
        <is>
          <t>The provided code implements a test suite for Presto, a popular open-source distributed SQL query engine. It defines several tests that verify the correctness of various aspects of the system, such as query execution, data types, and statistics.
The tests are executed using the LocalQueryRunner class, which provides a simple way to run queries against a local instance of Presto. The tests</t>
        </is>
      </c>
      <c r="M1482" t="n">
        <v>0.0035</v>
      </c>
      <c r="N1482" t="n">
        <v>0.0563</v>
      </c>
      <c r="O1482" t="n">
        <v>0.1119</v>
      </c>
    </row>
    <row r="1483">
      <c r="A1483" t="inlineStr">
        <is>
          <t>presto</t>
        </is>
      </c>
      <c r="B1483" t="inlineStr">
        <is>
          <t>presto-tests/src/test/java/com/facebook/presto/tests/TestSpilledWindowQueriesWithTemporaryStorage.java</t>
        </is>
      </c>
      <c r="C1483">
        <f>HYPERLINK("https://github.com/prestodb/presto/blob/master/presto-tests/src/test/java/com/facebook/presto/tests/TestSpilledWindowQueriesWithTemporaryStorage.java")</f>
        <v/>
      </c>
      <c r="D1483" t="inlineStr">
        <is>
          <t>This code defines a test case for spilled window queries using temporary storage. The `TestSpilledWindowQueriesWithTemporaryStorage` class inherits from the `TestSpilledWindowQueries` class and overrides the `createQueryRunner()` method to use a local query runner created by the `TestDistributedSpilledQueriesWithTempStorage` class.</t>
        </is>
      </c>
      <c r="E1483" t="n">
        <v>0.006</v>
      </c>
      <c r="F1483" t="n">
        <v>0.08890000000000001</v>
      </c>
      <c r="G1483" t="n">
        <v>0.1376</v>
      </c>
      <c r="H1483" t="inlineStr">
        <is>
          <t>This code defines a Java class called `TestSpilledWindowQueriesWithTemporaryStorage` that inherits from another class called `TestSpilledWindowQueries`. The class overrides the method `createQueryRunner()` which creates a query runner object using a local query runner factory. The purpose of this class is to provide a test suite for spilled window queries with temporary storage.</t>
        </is>
      </c>
      <c r="I1483" t="n">
        <v>0.0036</v>
      </c>
      <c r="J1483" t="n">
        <v>0.0339</v>
      </c>
      <c r="K1483" t="n">
        <v>0.0813</v>
      </c>
      <c r="L1483" t="inlineStr">
        <is>
          <t>The code defines a test class named `TestSpilledWindowQueriesWithTemporaryStorage` that inherits from `TestSpilledWindowQueries`. It overrides the `createQueryRunner()` method to create a query runner using the local create query runner method defined in the `TestDistributedSpilledQueriesWithTempStorage` class.</t>
        </is>
      </c>
      <c r="M1483" t="n">
        <v>0</v>
      </c>
      <c r="N1483" t="n">
        <v>0</v>
      </c>
      <c r="O1483" t="n">
        <v>0.0472</v>
      </c>
    </row>
    <row r="1484">
      <c r="A1484" t="inlineStr">
        <is>
          <t>presto</t>
        </is>
      </c>
      <c r="B1484" t="inlineStr">
        <is>
          <t>presto-tests/src/test/java/com/facebook/presto/tests/TestDistinctType.java</t>
        </is>
      </c>
      <c r="C1484">
        <f>HYPERLINK("https://github.com/prestodb/presto/blob/master/presto-tests/src/test/java/com/facebook/presto/tests/TestDistinctType.java")</f>
        <v/>
      </c>
      <c r="D1484" t="inlineStr">
        <is>
          <t>This code defines a class named `PrestoTests` that provides various methods for testing Presto's functionality. The class imports several other classes from the `com.facebook.presto` package, including `Session`, `QualifiedObjectName`, `DistinctType`, `DistinctTypeInfo`, `UserDefinedType`, `MaterializedResult`, and `M`. It also</t>
        </is>
      </c>
      <c r="E1484" t="n">
        <v>0.0061</v>
      </c>
      <c r="F1484" t="n">
        <v>0.1277</v>
      </c>
      <c r="G1484" t="n">
        <v>0.0926</v>
      </c>
      <c r="H1484" t="inlineStr">
        <is>
          <t>This repository contains source code for Presto, a distributed SQL query engine. The code defines classes and methods related to the implementation of various features and functionalities of the system, including data types, session management, testing, and materialization of results. The README provides information about the license used and the complexity of the code, while comments provide additional context and explanations for the code'</t>
        </is>
      </c>
      <c r="I1484" t="n">
        <v>0.0034</v>
      </c>
      <c r="J1484" t="n">
        <v>0.1111</v>
      </c>
      <c r="K1484" t="n">
        <v>0.1471</v>
      </c>
      <c r="L1484" t="inlineStr">
        <is>
          <t>The provided code defines a class named `TestingPresto` that extends `AbstractTestQueryFramework`. It appears to be a test suite for Presto, a data processing engine. The class includes several methods that perform various tests, such as testing the correctness of queries, checking the output of queries, and validating the performance of queries. The class also includes a method called `create</t>
        </is>
      </c>
      <c r="M1484" t="n">
        <v>0.0031</v>
      </c>
      <c r="N1484" t="n">
        <v>0.0299</v>
      </c>
      <c r="O1484" t="n">
        <v>0.0382</v>
      </c>
    </row>
    <row r="1485">
      <c r="A1485" t="inlineStr">
        <is>
          <t>presto</t>
        </is>
      </c>
      <c r="B1485" t="inlineStr">
        <is>
          <t>presto-tests/src/test/java/com/facebook/presto/tests/TestMetadataManager.java</t>
        </is>
      </c>
      <c r="C1485">
        <f>HYPERLINK("https://github.com/prestodb/presto/blob/master/presto-tests/src/test/java/com/facebook/presto/tests/TestMetadataManager.java")</f>
        <v/>
      </c>
      <c r="D1485" t="inlineStr">
        <is>
          <t>This code defines several classes related to Presto's testing framework. The main class is `PrestoTests`, which provides a simple way to create a new test session and execute queries against it. It also includes a number of utility methods for working with sessions, such as creating a new session from a configuration file or getting the current time zone.
The `MockConnectorFactory`</t>
        </is>
      </c>
      <c r="E1485" t="n">
        <v>0.0036</v>
      </c>
      <c r="F1485" t="n">
        <v>0.0571</v>
      </c>
      <c r="G1485" t="n">
        <v>0.1128</v>
      </c>
      <c r="H1485" t="inlineStr">
        <is>
          <t>This Java package `com.facebook.presto.tests` contains unit tests for Presto's query execution engine. The package includes classes for testing various aspects of the engine, such as session management, connector handling, and query planning. It also includes mock implementations of connectors and other dependencies that can be used to test the engine without requiring real data sources.
The package</t>
        </is>
      </c>
      <c r="I1485" t="n">
        <v>0.0038</v>
      </c>
      <c r="J1485" t="n">
        <v>0.08699999999999999</v>
      </c>
      <c r="K1485" t="n">
        <v>0.155</v>
      </c>
      <c r="L1485" t="inlineStr">
        <is>
          <t>The code defines a test suite for Presto's query execution engine. It imports various classes from the Presto framework and sets up a mock connector factory, metadata manager, dispatch manager, and session context. The code then creates a new session object and executes a simple query using the DispatchManager class. Finally, the code retrieves basic query information about the executed query.</t>
        </is>
      </c>
      <c r="M1485" t="n">
        <v>0.003</v>
      </c>
      <c r="N1485" t="n">
        <v>0.0286</v>
      </c>
      <c r="O1485" t="n">
        <v>0.0752</v>
      </c>
    </row>
    <row r="1486">
      <c r="A1486" t="inlineStr">
        <is>
          <t>presto</t>
        </is>
      </c>
      <c r="B1486" t="inlineStr">
        <is>
          <t>presto-tests/src/test/java/com/facebook/presto/tests/TestDistributedQueriesNoHashGeneration.java</t>
        </is>
      </c>
      <c r="C1486">
        <f>HYPERLINK("https://github.com/prestodb/presto/blob/master/presto-tests/src/test/java/com/facebook/presto/tests/TestDistributedQueriesNoHashGeneration.java")</f>
        <v/>
      </c>
      <c r="D1486" t="inlineStr">
        <is>
          <t>This code defines a test suite for Presto's query engine that runs queries against a distributed system without hashing generation. It uses the `AbstractTestQueries` class as a base class and overrides its `createQueryRunner()` method to create a new instance of the `QueryRunner` class using the `TpchQueryRunnerBuilder`. The `TpchQueryRunnerBuilder</t>
        </is>
      </c>
      <c r="E1486" t="n">
        <v>0.0045</v>
      </c>
      <c r="F1486" t="n">
        <v>0.0702</v>
      </c>
      <c r="G1486" t="n">
        <v>0.125</v>
      </c>
      <c r="H1486" t="inlineStr">
        <is>
          <t>This Java package `com.facebook.presto.tests` contains test cases for PrestoDB's query engine. The package includes classes that define various tests for different types of queries, such as SELECT statements, INSERT statements, and more. These tests are designed to ensure that the query engine functions correctly and produces expected results.
The package also includes a `QueryRunner` interface</t>
        </is>
      </c>
      <c r="I1486" t="n">
        <v>0.004</v>
      </c>
      <c r="J1486" t="n">
        <v>0.0896</v>
      </c>
      <c r="K1486" t="n">
        <v>0.1181</v>
      </c>
      <c r="L1486" t="inlineStr">
        <is>
          <t>The provided code is part of a Presto SQL database management system. It defines a Java class called `TestDistributedQueriesNoHashGeneration` that extends the `AbstractTestQueries` class. The class implements a method called `createQueryRunner()` which returns a `QueryRunner` object. The `QueryRunner` object is used to execute queries against a Presto cluster.</t>
        </is>
      </c>
      <c r="M1486" t="n">
        <v>0.0038</v>
      </c>
      <c r="N1486" t="n">
        <v>0.0357</v>
      </c>
      <c r="O1486" t="n">
        <v>0.0833</v>
      </c>
    </row>
    <row r="1487">
      <c r="A1487" t="inlineStr">
        <is>
          <t>presto</t>
        </is>
      </c>
      <c r="B1487" t="inlineStr">
        <is>
          <t>presto-tests/src/test/java/com/facebook/presto/tests/TestDistributedSpilledQueriesWithTempStorage.java</t>
        </is>
      </c>
      <c r="C1487">
        <f>HYPERLINK("https://github.com/prestodb/presto/blob/master/presto-tests/src/test/java/com/facebook/presto/tests/TestDistributedSpilledQueriesWithTempStorage.java")</f>
        <v/>
      </c>
      <c r="D1487" t="inlineStr">
        <is>
          <t>This code defines a `QueryRunner` class that creates a Presto query runner instance with various plugins enabled. The `QueryRunner` class takes a `Session` object as input and returns a new `QueryRunner` instance with the specified session properties set.
The `Session` object is used to configure the behavior of the query runner, such as enabling certain features like aggregation</t>
        </is>
      </c>
      <c r="E1487" t="n">
        <v>0.0037</v>
      </c>
      <c r="F1487" t="n">
        <v>0.0606</v>
      </c>
      <c r="G1487" t="n">
        <v>0.1154</v>
      </c>
      <c r="H1487" t="inlineStr">
        <is>
          <t>This code defines a Java package called `com.facebook.presto.tests` that provides various classes and functions used for testing Presto's SQL engine. The package includes the following classes:
* `Session`: A class representing a session in which queries can be executed. It has several methods for setting and getting properties related to the session, such as the current catalog, schema</t>
        </is>
      </c>
      <c r="I1487" t="n">
        <v>0.0037</v>
      </c>
      <c r="J1487" t="n">
        <v>0.08699999999999999</v>
      </c>
      <c r="K1487" t="n">
        <v>0.1154</v>
      </c>
      <c r="L1487" t="inlineStr">
        <is>
          <t>The provided code defines a Java class that sets up a Presto query runner for testing purposes. It imports various Presto plugins such as TPC-H, SQL invoked functions, and session properties. The class initializes a QueryRunner instance using a Session object and adds several system properties to it. The code also creates a map of aggregation operators and passes it to the QueryRunner constructor.</t>
        </is>
      </c>
      <c r="M1487" t="n">
        <v>0.0028</v>
      </c>
      <c r="N1487" t="n">
        <v>0.0548</v>
      </c>
      <c r="O1487" t="n">
        <v>0.0735</v>
      </c>
    </row>
    <row r="1488">
      <c r="A1488" t="inlineStr">
        <is>
          <t>presto</t>
        </is>
      </c>
      <c r="B1488" t="inlineStr">
        <is>
          <t>presto-tests/src/test/java/com/facebook/presto/tests/TestSpilledTopNQueries.java</t>
        </is>
      </c>
      <c r="C1488">
        <f>HYPERLINK("https://github.com/prestodb/presto/blob/master/presto-tests/src/test/java/com/facebook/presto/tests/TestSpilledTopNQueries.java")</f>
        <v/>
      </c>
      <c r="D1488" t="inlineStr">
        <is>
          <t>The code defines a test suite for PrestoDB's query engine using TestNG. It includes several tests that verify the correctness of various aspects of the system, such as parsing SQL queries, optimizing them, and executing them against sample data sets. The tests also ensure that the system can handle large queries and that it does not exceed memory limits set by the `QUERY_MAX</t>
        </is>
      </c>
      <c r="E1488" t="n">
        <v>0.0029</v>
      </c>
      <c r="F1488" t="n">
        <v>0.0274</v>
      </c>
      <c r="G1488" t="n">
        <v>0.0741</v>
      </c>
      <c r="H1488" t="inlineStr">
        <is>
          <t>This code defines a Java package called `com.facebook.presto.tests` that provides a test suite for PrestoDB, a distributed SQL query engine. The package includes several classes, including `PrestoTests`, which represents a set of tests that can be run against a PrestoDB instance. It also includes a class called `QueryRunner` that provides a way to execute queries</t>
        </is>
      </c>
      <c r="I1488" t="n">
        <v>0.0033</v>
      </c>
      <c r="J1488" t="n">
        <v>0.0303</v>
      </c>
      <c r="K1488" t="n">
        <v>0.07870000000000001</v>
      </c>
      <c r="L1488" t="inlineStr">
        <is>
          <t>The code defines a test suite for Presto, a data processing engine. It imports various dependencies such as Session, QueryRunner, TpchPlugin, and UUID from the com.facebook.presto package. The code also specifies that the query runner should be created using the default session properties, which includes setting the maximum total memory per node to 10 GB. The test</t>
        </is>
      </c>
      <c r="M1488" t="n">
        <v>0.0032</v>
      </c>
      <c r="N1488" t="n">
        <v>0.0299</v>
      </c>
      <c r="O1488" t="n">
        <v>0.0775</v>
      </c>
    </row>
    <row r="1489">
      <c r="A1489" t="inlineStr">
        <is>
          <t>presto</t>
        </is>
      </c>
      <c r="B1489" t="inlineStr">
        <is>
          <t>presto-tests/src/test/java/com/facebook/presto/tests/TestH2QueryRunner.java</t>
        </is>
      </c>
      <c r="C1489">
        <f>HYPERLINK("https://github.com/prestodb/presto/blob/master/presto-tests/src/test/java/com/facebook/presto/tests/TestH2QueryRunner.java")</f>
        <v/>
      </c>
      <c r="D1489" t="inlineStr">
        <is>
          <t>This code appears to be part of a Presto database management system. It defines several classes related to testing, including `PrestoTest` and `MaterializedResult`. The `PrestoTest` class provides methods for setting up and tearing down test environments, while the `MaterializedResult` class represents the results of running queries against a Presto instance.
The code also includes</t>
        </is>
      </c>
      <c r="E1489" t="n">
        <v>0.004</v>
      </c>
      <c r="F1489" t="n">
        <v>0.0645</v>
      </c>
      <c r="G1489" t="n">
        <v>0.119</v>
      </c>
      <c r="H1489" t="inlineStr">
        <is>
          <t>This code defines a Java package called `com.facebook.presto.tests` that provides unit tests for Presto's SQL engine. The package includes several classes, each of which represents a test case. Each class has a single method annotated with `@Test`, which runs the test.
The package also includes a few utility methods, such as `getQueryRunner()` and</t>
        </is>
      </c>
      <c r="I1489" t="n">
        <v>0.0041</v>
      </c>
      <c r="J1489" t="n">
        <v>0.0615</v>
      </c>
      <c r="K1489" t="n">
        <v>0.12</v>
      </c>
      <c r="L1489" t="inlineStr">
        <is>
          <t>The provided code defines a test suite for Presto's date functions using TestNG annotations. It includes three tests that verify the correctness of several date-related functions, including `date_trunc`, `extract`, and `to_char`. Each test case uses a predefined session object, which provides access to the database schema and configuration. The tests also make use of various utility</t>
        </is>
      </c>
      <c r="M1489" t="n">
        <v>0.0033</v>
      </c>
      <c r="N1489" t="n">
        <v>0.0588</v>
      </c>
      <c r="O1489" t="n">
        <v>0.0781</v>
      </c>
    </row>
    <row r="1490">
      <c r="A1490" t="inlineStr">
        <is>
          <t>presto</t>
        </is>
      </c>
      <c r="B1490" t="inlineStr">
        <is>
          <t>presto-tests/src/test/java/com/facebook/presto/tests/TestDistributedEngineOnlyQueries.java</t>
        </is>
      </c>
      <c r="C1490">
        <f>HYPERLINK("https://github.com/prestodb/presto/blob/master/presto-tests/src/test/java/com/facebook/presto/tests/TestDistributedEngineOnlyQueries.java")</f>
        <v/>
      </c>
      <c r="D1490" t="inlineStr">
        <is>
          <t>This code defines a test suite that runs engine-only queries against a Presto query runner. The `createQueryRunner` method returns a `QueryRunner` instance that can be used to run queries. The `AbstractTestEngineOnlyQueries` class provides a base implementation for running these tests. The `TestDistributedEngineOnlyQueries` class extends `AbstractTestEngineOnlyQueries</t>
        </is>
      </c>
      <c r="E1490" t="n">
        <v>0.0041</v>
      </c>
      <c r="F1490" t="n">
        <v>0.0741</v>
      </c>
      <c r="G1490" t="n">
        <v>0.1282</v>
      </c>
      <c r="H1490" t="inlineStr">
        <is>
          <t>This code defines a Java class called `TestDistributedEngineOnlyQueries` that inherits from the abstract class `AbstractTestEngineOnlyQueries`. The class provides a method called `createQueryRunner()` which returns a `QueryRunner` object. The `QueryRunner` object is used to execute queries against a Presto database. The class also includes some comments and a README</t>
        </is>
      </c>
      <c r="I1490" t="n">
        <v>0.0045</v>
      </c>
      <c r="J1490" t="n">
        <v>0.07140000000000001</v>
      </c>
      <c r="K1490" t="n">
        <v>0.125</v>
      </c>
      <c r="L1490" t="inlineStr">
        <is>
          <t>The provided code defines a Java class called `TestDistributedEngineOnlyQueries` that inherits from `AbstractTestEngineOnlyQueries`. It uses the Presto testing framework to run queries against a distributed engine. The `createQueryRunner()` method returns a `QueryRunner` instance built using the `TpchQueryRunnerBuilder`. This class is used to test the performance of Pr</t>
        </is>
      </c>
      <c r="M1490" t="n">
        <v>0.0039</v>
      </c>
      <c r="N1490" t="n">
        <v>0.0364</v>
      </c>
      <c r="O1490" t="n">
        <v>0.08400000000000001</v>
      </c>
    </row>
    <row r="1491">
      <c r="A1491" t="inlineStr">
        <is>
          <t>presto</t>
        </is>
      </c>
      <c r="B1491" t="inlineStr">
        <is>
          <t>presto-tests/src/test/java/com/facebook/presto/tests/TestOrderByQueries.java</t>
        </is>
      </c>
      <c r="C1491">
        <f>HYPERLINK("https://github.com/prestodb/presto/blob/master/presto-tests/src/test/java/com/facebook/presto/tests/TestOrderByQueries.java")</f>
        <v/>
      </c>
      <c r="D1491" t="inlineStr">
        <is>
          <t>This Java code defines a test suite for testing the ORDER BY clause in PrestoDB, which is a columnar query engine. The `TestOrderByQueries` class inherits from `AbstractTestOrderByQueries`, which provides a base implementation for running tests related to the ORDER BY clause. The `createQueryRunner()` method returns a `QueryRunner` object that is used to</t>
        </is>
      </c>
      <c r="E1491" t="n">
        <v>0.0035</v>
      </c>
      <c r="F1491" t="n">
        <v>0.0667</v>
      </c>
      <c r="G1491" t="n">
        <v>0.121</v>
      </c>
      <c r="H1491" t="inlineStr">
        <is>
          <t>This code defines a Java class named `TestOrderByQueries` that inherits from `AbstractTestOrderByQueries`. The class provides an implementation of a query runner using the Presto testing framework. It also includes a license header and package declaration.</t>
        </is>
      </c>
      <c r="I1491" t="n">
        <v>0.0063</v>
      </c>
      <c r="J1491" t="n">
        <v>0.1395</v>
      </c>
      <c r="K1491" t="n">
        <v>0.1869</v>
      </c>
      <c r="L1491" t="inlineStr">
        <is>
          <t>The code defines a Java class called `TestOrderByQueries` that inherits from `AbstractTestOrderByQueries`. It uses the `TpchQueryRunnerBuilder` to build a query runner, which is then used to run tests related to order-by queries.</t>
        </is>
      </c>
      <c r="M1491" t="n">
        <v>0</v>
      </c>
      <c r="N1491" t="n">
        <v>0</v>
      </c>
      <c r="O1491" t="n">
        <v>0.0481</v>
      </c>
    </row>
    <row r="1492">
      <c r="A1492" t="inlineStr">
        <is>
          <t>presto</t>
        </is>
      </c>
      <c r="B1492" t="inlineStr">
        <is>
          <t>presto-tests/src/test/java/com/facebook/presto/tests/TestQueryPlanDeterminism.java</t>
        </is>
      </c>
      <c r="C1492">
        <f>HYPERLINK("https://github.com/prestodb/presto/blob/master/presto-tests/src/test/java/com/facebook/presto/tests/TestQueryPlanDeterminism.java")</f>
        <v/>
      </c>
      <c r="D1492" t="inlineStr">
        <is>
          <t>The code defines a `LocalQueryRunner` class that provides a simple way to run SQL queries against a Presto server. It includes several methods for setting up the query runner, such as `withSystemProperty`, which sets a system property for the query runner, and `withSchema`, which sets the schema for the query runner. The `runQuery` method runs a given SQL query and</t>
        </is>
      </c>
      <c r="E1492" t="n">
        <v>0.003</v>
      </c>
      <c r="F1492" t="n">
        <v>0.0294</v>
      </c>
      <c r="G1492" t="n">
        <v>0.07580000000000001</v>
      </c>
      <c r="H1492" t="inlineStr">
        <is>
          <t>This codebase implements various components needed for Presto's backend, including session management, type handling, function invocation, and query execution. The package `com.facebook.presto.tests` is used for testing purposes, while the package `com.facebook.presto.common.type` provides common data types used throughout the system. The class `LocalQueryRunner` is</t>
        </is>
      </c>
      <c r="I1492" t="n">
        <v>0.0056</v>
      </c>
      <c r="J1492" t="n">
        <v>0.1356</v>
      </c>
      <c r="K1492" t="n">
        <v>0.1739</v>
      </c>
      <c r="L1492" t="inlineStr">
        <is>
          <t>The provided code defines a LocalQueryRunner class that creates a new query runner instance with a specified session and connector ID. It also initializes several plugins, including the SessionPropertyManager, SqlInvokedFunctionsPlugin, and MaterializedResult. The class provides methods for running queries and returning results as materialized objects.</t>
        </is>
      </c>
      <c r="M1492" t="n">
        <v>0.0041</v>
      </c>
      <c r="N1492" t="n">
        <v>0.0377</v>
      </c>
      <c r="O1492" t="n">
        <v>0.08550000000000001</v>
      </c>
    </row>
    <row r="1493">
      <c r="A1493" t="inlineStr">
        <is>
          <t>presto</t>
        </is>
      </c>
      <c r="B1493" t="inlineStr">
        <is>
          <t>presto-tests/src/test/java/com/facebook/presto/tests/TestLocalVerboseMemoryExceededErrors.java</t>
        </is>
      </c>
      <c r="C1493">
        <f>HYPERLINK("https://github.com/prestodb/presto/blob/master/presto-tests/src/test/java/com/facebook/presto/tests/TestLocalVerboseMemoryExceededErrors.java")</f>
        <v/>
      </c>
      <c r="D1493" t="inlineStr">
        <is>
          <t>This Java code defines a test suite for verifying that Presto queries produce verbose error messages when they exceed their memory limits. The `TestLocalVerboseMemoryExceededErrors` class is a subclass of `AbstractTestVerboseMemoryExceededErrors`, which provides a base implementation for testing the behavior of Presto's query execution engine.
The `TestLocalVerbose</t>
        </is>
      </c>
      <c r="E1493" t="n">
        <v>0.004</v>
      </c>
      <c r="F1493" t="n">
        <v>0.0727</v>
      </c>
      <c r="G1493" t="n">
        <v>0.0847</v>
      </c>
      <c r="H1493" t="inlineStr">
        <is>
          <t>This code defines a test suite that verifies whether Presto's memory management behaves correctly when running queries. The test uses a local query runner to execute various queries and checks if they exceed the maximum allowed memory usage per node. The code imports necessary classes from the Presto testing framework and sets up a session object with custom properties such as QUERY_MAX_TOTAL_</t>
        </is>
      </c>
      <c r="I1493" t="n">
        <v>0.0035</v>
      </c>
      <c r="J1493" t="n">
        <v>0.0548</v>
      </c>
      <c r="K1493" t="n">
        <v>0.1119</v>
      </c>
      <c r="L1493" t="inlineStr">
        <is>
          <t>The code defines a test suite for verifying that queries running on Presto's local execution engine produce appropriate error messages when they exceed their memory limits. It imports necessary classes from the Presto framework and sets up a query runner using `createLocalQueryRunner()`. The `AbstractTestVerboseMemoryExceededErrors` abstract class provides common functionality for testing these errors. The `test()`</t>
        </is>
      </c>
      <c r="M1493" t="n">
        <v>0.004</v>
      </c>
      <c r="N1493" t="n">
        <v>0.0312</v>
      </c>
      <c r="O1493" t="n">
        <v>0.07870000000000001</v>
      </c>
    </row>
    <row r="1494">
      <c r="A1494" t="inlineStr">
        <is>
          <t>presto</t>
        </is>
      </c>
      <c r="B1494" t="inlineStr">
        <is>
          <t>presto-tests/src/test/java/com/facebook/presto/tests/TestQueryTaskLimit.java</t>
        </is>
      </c>
      <c r="C1494">
        <f>HYPERLINK("https://github.com/prestodb/presto/blob/master/presto-tests/src/test/java/com/facebook/presto/tests/TestQueryTaskLimit.java")</f>
        <v/>
      </c>
      <c r="D1494" t="inlineStr">
        <is>
          <t>This code appears to be a Java test suite for Presto, a SQL query engine. The `PrestoTests` class defines several tests that exercise various aspects of the Presto system, including parsing queries, optimizing plans, and executing queries. It also includes some utility methods for working with Presto sessions and query IDs.
The `setup()` method creates a new instance of the</t>
        </is>
      </c>
      <c r="E1494" t="n">
        <v>0.0036</v>
      </c>
      <c r="F1494" t="n">
        <v>0.0588</v>
      </c>
      <c r="G1494" t="n">
        <v>0.1136</v>
      </c>
      <c r="H1494" t="inlineStr">
        <is>
          <t>This code appears to be part of a Java project that implements various tests for a Presto database management system. The code defines several classes and methods related to testing, including `com.facebook.presto.tests.PrestoTests`, which appears to contain test cases for the Presto database. The code also includes a number of other classes and methods related to query execution and data retrieval</t>
        </is>
      </c>
      <c r="I1494" t="n">
        <v>0.004</v>
      </c>
      <c r="J1494" t="n">
        <v>0.0833</v>
      </c>
      <c r="K1494" t="n">
        <v>0.1515</v>
      </c>
      <c r="L1494" t="inlineStr">
        <is>
          <t>The provided code defines a test suite for Presto, a distributed SQL query engine. It includes various tests that verify the correctness of Presto's query execution and performance.
The code imports several packages, including `com.facebook.presto`, which provides the base classes for Presto, and `com.google.common`, which provides utility functions for working with collections and</t>
        </is>
      </c>
      <c r="M1494" t="n">
        <v>0.0035</v>
      </c>
      <c r="N1494" t="n">
        <v>0.0606</v>
      </c>
      <c r="O1494" t="n">
        <v>0.08</v>
      </c>
    </row>
    <row r="1495">
      <c r="A1495" t="inlineStr">
        <is>
          <t>presto</t>
        </is>
      </c>
      <c r="B1495" t="inlineStr">
        <is>
          <t>presto-tests/src/test/java/com/facebook/presto/tests/TestSetWorkerSessionPropertiesIncludingInvalidProperties.java</t>
        </is>
      </c>
      <c r="C1495">
        <f>HYPERLINK("https://github.com/prestodb/presto/blob/master/presto-tests/src/test/java/com/facebook/presto/tests/TestSetWorkerSessionPropertiesIncludingInvalidProperties.java")</f>
        <v/>
      </c>
      <c r="D1495" t="inlineStr">
        <is>
          <t>The code defines a test case that verifies the behavior of setting worker session properties in Presto using the `setSystemProperty` method. It creates a new QueryRunner instance with a custom configuration, sets some valid and invalid worker session properties, and then executes a query using the modified QueryRunner instance. Finally, it asserts that the expected results were returned from the query execution.</t>
        </is>
      </c>
      <c r="E1495" t="n">
        <v>0.0029</v>
      </c>
      <c r="F1495" t="n">
        <v>0.0286</v>
      </c>
      <c r="G1495" t="n">
        <v>0.0746</v>
      </c>
      <c r="H1495" t="inlineStr">
        <is>
          <t>This Java code defines a test suite that verifies the behavior of setting worker session properties using the Presto query engine. The `TestSetWorkerSessionPropertiesIncludingInvalidProperties` class contains several tests that set various worker session properties and verify their effects on the query execution. It also includes some invalid property values that should be rejected by the system.
The `add()` function takes two</t>
        </is>
      </c>
      <c r="I1495" t="n">
        <v>0.0036</v>
      </c>
      <c r="J1495" t="n">
        <v>0.0588</v>
      </c>
      <c r="K1495" t="n">
        <v>0.1515</v>
      </c>
      <c r="L1495" t="inlineStr">
        <is>
          <t>The provided Java code sets worker session properties using the `setSystemProperty` method of the `QueryRunner` class. It also includes invalid properties that should be ignored during execution. The code uses the `TestNG` framework for testing purposes.</t>
        </is>
      </c>
      <c r="M1495" t="n">
        <v>0</v>
      </c>
      <c r="N1495" t="n">
        <v>0</v>
      </c>
      <c r="O1495" t="n">
        <v>0.0463</v>
      </c>
    </row>
    <row r="1496">
      <c r="A1496" t="inlineStr">
        <is>
          <t>presto</t>
        </is>
      </c>
      <c r="B1496" t="inlineStr">
        <is>
          <t>presto-tests/src/test/java/com/facebook/presto/tests/TestDistributedQueriesWithDynamicFilter.java</t>
        </is>
      </c>
      <c r="C1496">
        <f>HYPERLINK("https://github.com/prestodb/presto/blob/master/presto-tests/src/test/java/com/facebook/presto/tests/TestDistributedQueriesWithDynamicFilter.java")</f>
        <v/>
      </c>
      <c r="D1496" t="inlineStr">
        <is>
          <t>This Java code defines a test suite for PrestoDB's query engine using JUnit testing framework. The `TestDistributedQueriesWithDynamicFilter` class provides a set of tests that execute various queries against a PrestoDB cluster. The `createQueryRunner()` method creates a new instance of the `QueryRunner` class, which is responsible for executing SQL queries against a database.</t>
        </is>
      </c>
      <c r="E1496" t="n">
        <v>0.0035</v>
      </c>
      <c r="F1496" t="n">
        <v>0.0328</v>
      </c>
      <c r="G1496" t="n">
        <v>0.0806</v>
      </c>
      <c r="H1496" t="inlineStr">
        <is>
          <t>This code defines a Java package named `com.facebook.presto.tests` that contains a class called `TestDistributedQueriesWithDynamicFilter`. The class inherits from `AbstractTestQueries`, which is likely a base test class used to run various queries against a Presto database.
The `createQueryRunner()` method creates a new instance of `QueryRunner`</t>
        </is>
      </c>
      <c r="I1496" t="n">
        <v>0.0042</v>
      </c>
      <c r="J1496" t="n">
        <v>0.0364</v>
      </c>
      <c r="K1496" t="n">
        <v>0.0862</v>
      </c>
      <c r="L1496" t="inlineStr">
        <is>
          <t>The code defines a test suite for querying Presto using dynamic filtering. It imports necessary classes from the `com.facebook.presto` package and creates a new instance of the `QueryRunner` class, which is used to execute SQL queries against a database. The `createQueryRunner()` method sets up a new session that enables dynamic filtering, as indicated by the `ENABLE_</t>
        </is>
      </c>
      <c r="M1496" t="n">
        <v>0.0033</v>
      </c>
      <c r="N1496" t="n">
        <v>0.0303</v>
      </c>
      <c r="O1496" t="n">
        <v>0.0781</v>
      </c>
    </row>
    <row r="1497">
      <c r="A1497" t="inlineStr">
        <is>
          <t>presto</t>
        </is>
      </c>
      <c r="B1497" t="inlineStr">
        <is>
          <t>presto-tests/src/test/java/com/facebook/presto/tests/TestSpilledJoinQueries.java</t>
        </is>
      </c>
      <c r="C1497">
        <f>HYPERLINK("https://github.com/prestodb/presto/blob/master/presto-tests/src/test/java/com/facebook/presto/tests/TestSpilledJoinQueries.java")</f>
        <v/>
      </c>
      <c r="D1497" t="inlineStr">
        <is>
          <t>This Java file defines a test suite for testing join queries using Presto's query engine. The `TestSpilledJoinQueries` class inherits from `AbstractTestJoinQueries` and overrides the `createQueryRunner()` method to create a local query runner instance. It then uses this query runner to run various tests against the join queries.</t>
        </is>
      </c>
      <c r="E1497" t="n">
        <v>0.0046</v>
      </c>
      <c r="F1497" t="n">
        <v>0.07140000000000001</v>
      </c>
      <c r="G1497" t="n">
        <v>0.1261</v>
      </c>
      <c r="H1497" t="inlineStr">
        <is>
          <t>This code defines a test suite for Presto's join queries using a spillable query runner. The `createQueryRunner` method returns a query runner that can be used to execute SQL queries. The `AbstractTestJoinQueries` class provides common functionality for testing joins, while the `TestSpilledJoinQueries` class overrides it to use a spillable query runner</t>
        </is>
      </c>
      <c r="I1497" t="n">
        <v>0.0043</v>
      </c>
      <c r="J1497" t="n">
        <v>0.0667</v>
      </c>
      <c r="K1497" t="n">
        <v>0.0813</v>
      </c>
      <c r="L1497" t="inlineStr">
        <is>
          <t>The provided code defines a test suite for spilled join queries using Presto's testing framework. It imports the necessary classes from the `com.facebook.presto` package and overrides the `createQueryRunner()` method to create a query runner that uses a local instance of Presto configured for spilling.</t>
        </is>
      </c>
      <c r="M1497" t="n">
        <v>0.0042</v>
      </c>
      <c r="N1497" t="n">
        <v>0.0364</v>
      </c>
      <c r="O1497" t="n">
        <v>0.0862</v>
      </c>
    </row>
    <row r="1498">
      <c r="A1498" t="inlineStr">
        <is>
          <t>presto</t>
        </is>
      </c>
      <c r="B1498" t="inlineStr">
        <is>
          <t>presto-tests/src/test/java/com/facebook/presto/tests/TestHistoryBasedRetry.java</t>
        </is>
      </c>
      <c r="C1498">
        <f>HYPERLINK("https://github.com/prestodb/presto/blob/master/presto-tests/src/test/java/com/facebook/presto/tests/TestHistoryBasedRetry.java")</f>
        <v/>
      </c>
      <c r="D1498" t="inlineStr">
        <is>
          <t>This code defines a Presto query runner that uses an in-memory history-based plan statistics provider to provide information about past queries. The code also includes a TPCH plugin for loading TPC-H data sets into Presto.</t>
        </is>
      </c>
      <c r="E1498" t="n">
        <v>0.0053</v>
      </c>
      <c r="F1498" t="n">
        <v>0.0435</v>
      </c>
      <c r="G1498" t="n">
        <v>0.0935</v>
      </c>
      <c r="H1498" t="inlineStr">
        <is>
          <t>This code is part of a Presto database management system that provides a set of tools for running SQL queries against data stored in various sources such as databases, HDFS, S3, etc. The code defines several classes and interfaces that make up the Presto framework, including the `Presto` class which represents the main entry point for interacting with the system, the `Session`</t>
        </is>
      </c>
      <c r="I1498" t="n">
        <v>0.0035</v>
      </c>
      <c r="J1498" t="n">
        <v>0.0571</v>
      </c>
      <c r="K1498" t="n">
        <v>0.1119</v>
      </c>
      <c r="L1498" t="inlineStr">
        <is>
          <t>The code defines a Presto Query Runner that uses the TPC-H plugin to execute queries against a remote Presto server. It also includes a History Based Plan Statistics Provider to collect query execution statistics and a basic query info object to store query metadata.</t>
        </is>
      </c>
      <c r="M1498" t="n">
        <v>0.0042</v>
      </c>
      <c r="N1498" t="n">
        <v>0.0377</v>
      </c>
      <c r="O1498" t="n">
        <v>0.0862</v>
      </c>
    </row>
    <row r="1499">
      <c r="A1499" t="inlineStr">
        <is>
          <t>presto</t>
        </is>
      </c>
      <c r="B1499" t="inlineStr">
        <is>
          <t>presto-tests/src/test/java/com/facebook/presto/tests/TestTupleDomainFilterUtils.java</t>
        </is>
      </c>
      <c r="C1499">
        <f>HYPERLINK("https://github.com/prestodb/presto/blob/master/presto-tests/src/test/java/com/facebook/presto/tests/TestTupleDomainFilterUtils.java")</f>
        <v/>
      </c>
      <c r="D1499" t="inlineStr">
        <is>
          <t>This code appears to be part of a Presto database management system, specifically the `com.facebook.presto` package. It defines several classes related to filtering data based on predicates, such as `TupleDomainFilter`, which represents a filter that can be applied to a tuple domain. The class also includes subclasses like `BigintMultiRange`, `BigintRange`,</t>
        </is>
      </c>
      <c r="E1499" t="n">
        <v>0.0037</v>
      </c>
      <c r="F1499" t="n">
        <v>0.0333</v>
      </c>
      <c r="G1499" t="n">
        <v>0.082</v>
      </c>
      <c r="H1499" t="inlineStr">
        <is>
          <t>This code appears to be part of a Presto database management system implementation. It defines several classes that implement different types of filters used in the system's query optimization process. The `TupleDomainFilter` class is the base class for all filter implementations, while its subclasses provide more specialized filtering capabilities based on the type of data being filtered.
The `BigintMultiRange</t>
        </is>
      </c>
      <c r="I1499" t="n">
        <v>0.0031</v>
      </c>
      <c r="J1499" t="n">
        <v>0.0588</v>
      </c>
      <c r="K1499" t="n">
        <v>0.1145</v>
      </c>
      <c r="L1499" t="inlineStr">
        <is>
          <t>The provided code defines a class named `PrestoTest` that extends the `AbstractTestQueryFramework` class from the Presto project. It appears to be a test suite for Presto, which is a data processing engine designed for interactive analytics.
The class has several methods that define various tests for different aspects of Presto's functionality. These tests seem to involve querying</t>
        </is>
      </c>
      <c r="M1499" t="n">
        <v>0</v>
      </c>
      <c r="N1499" t="n">
        <v>0.0303</v>
      </c>
      <c r="O1499" t="n">
        <v>0</v>
      </c>
    </row>
    <row r="1500">
      <c r="A1500" t="inlineStr">
        <is>
          <t>presto</t>
        </is>
      </c>
      <c r="B1500" t="inlineStr">
        <is>
          <t>presto-tests/src/test/java/com/facebook/presto/tests/TestSslContextProvider.java</t>
        </is>
      </c>
      <c r="C1500">
        <f>HYPERLINK("https://github.com/prestodb/presto/blob/master/presto-tests/src/test/java/com/facebook/presto/tests/TestSslContextProvider.java")</f>
        <v/>
      </c>
      <c r="D1500" t="inlineStr">
        <is>
          <t>The provided code is part of a Presto test suite for verifying SSL/TLS connections. It provides a way to configure SSL/TLS settings for testing purposes using a `SslContext` object. The `SslContext` object is created based on a keystore file that is specified as a parameter to the constructor. The `SslContext` object can be used</t>
        </is>
      </c>
      <c r="E1500" t="n">
        <v>0</v>
      </c>
      <c r="F1500" t="n">
        <v>0</v>
      </c>
      <c r="G1500" t="n">
        <v>0.0397</v>
      </c>
      <c r="H1500" t="inlineStr">
        <is>
          <t>This code defines a Java package named `com.facebook.presto.tests` that provides various test classes and methods for testing Presto's backend software components. The package includes several classes and interfaces related to security, such as `SslContextProvider`, which provides SSL context objects used for secure communication between Presto nodes. It also includes a class called `SslKeystore</t>
        </is>
      </c>
      <c r="I1500" t="n">
        <v>0.0045</v>
      </c>
      <c r="J1500" t="n">
        <v>0.09229999999999999</v>
      </c>
      <c r="K1500" t="n">
        <v>0.16</v>
      </c>
      <c r="L1500" t="inlineStr">
        <is>
          <t>The provided code defines a test suite for SSL/TLS connections using Presto's SPI. It includes a class named `SslTests` that has several methods annotated with `@Test`. These tests verify the correctness of various aspects of SSL/TLS connections, such as certificate validation, cipher suites, and keystores.
The `SslTests</t>
        </is>
      </c>
      <c r="M1500" t="n">
        <v>0.0039</v>
      </c>
      <c r="N1500" t="n">
        <v>0.0345</v>
      </c>
      <c r="O1500" t="n">
        <v>0.08400000000000001</v>
      </c>
    </row>
    <row r="1501">
      <c r="A1501" t="inlineStr">
        <is>
          <t>presto</t>
        </is>
      </c>
      <c r="B1501" t="inlineStr">
        <is>
          <t>presto-tests/src/test/java/com/facebook/presto/tests/TestSetWorkerSessionPropertiesExcludingInvalidProperties.java</t>
        </is>
      </c>
      <c r="C1501">
        <f>HYPERLINK("https://github.com/prestodb/presto/blob/master/presto-tests/src/test/java/com/facebook/presto/tests/TestSetWorkerSessionPropertiesExcludingInvalidProperties.java")</f>
        <v/>
      </c>
      <c r="D1501" t="inlineStr">
        <is>
          <t>The code defines a test case that verifies that setting worker session properties excludes invalid properties. It does this by creating a `QueryRunner` object using `testSessionBuilder()` from the Presto testing framework, and then calling its `setSystemProperty()` method to set various worker session properties. Finally, it calls the `getCurrentSession()` method to retrieve the current session and checks that</t>
        </is>
      </c>
      <c r="E1501" t="n">
        <v>0.0032</v>
      </c>
      <c r="F1501" t="n">
        <v>0.0615</v>
      </c>
      <c r="G1501" t="n">
        <v>0.1163</v>
      </c>
      <c r="H1501" t="inlineStr">
        <is>
          <t>This Java package `com.facebook.presto.tests` contains test cases for PrestoDB's query engine. The tests are written using JUnit framework and are designed to verify the correctness of various aspects of the query engine, such as its ability to execute queries correctly and handle errors gracefully.
The package includes several classes that define different types of tests, including integration</t>
        </is>
      </c>
      <c r="I1501" t="n">
        <v>0.0038</v>
      </c>
      <c r="J1501" t="n">
        <v>0.058</v>
      </c>
      <c r="K1501" t="n">
        <v>0.1163</v>
      </c>
      <c r="L1501" t="inlineStr">
        <is>
          <t>The provided code defines a test case that verifies that setting worker session properties excludes invalid properties from being set. It uses the Presto testing framework to execute queries against a Presto server instance. The test case sets various worker session properties using the `setSystemProperty` method and then retrieves their values using the `getSystemProperty` method. Finally, the test asserts that</t>
        </is>
      </c>
      <c r="M1501" t="n">
        <v>0.003</v>
      </c>
      <c r="N1501" t="n">
        <v>0.0294</v>
      </c>
      <c r="O1501" t="n">
        <v>0.07580000000000001</v>
      </c>
    </row>
    <row r="1502">
      <c r="A1502" t="inlineStr">
        <is>
          <t>presto</t>
        </is>
      </c>
      <c r="B1502" t="inlineStr">
        <is>
          <t>presto-tests/src/test/java/com/facebook/presto/tests/TestNoisyAggregations.java</t>
        </is>
      </c>
      <c r="C1502">
        <f>HYPERLINK("https://github.com/prestodb/presto/blob/master/presto-tests/src/test/java/com/facebook/presto/tests/TestNoisyAggregations.java")</f>
        <v/>
      </c>
      <c r="D1502" t="inlineStr">
        <is>
          <t>The provided code is part of a Presto test suite that tests the performance of certain aggregation queries on a TPC-H dataset. It defines a `TestNoisyAggregations` class that contains several methods for testing different types of aggregation queries.
The main method of the class, `runBenchmark`, takes a query string as input and runs it against the T</t>
        </is>
      </c>
      <c r="E1502" t="n">
        <v>0.0032</v>
      </c>
      <c r="F1502" t="n">
        <v>0.0303</v>
      </c>
      <c r="G1502" t="n">
        <v>0.0775</v>
      </c>
      <c r="H1502" t="inlineStr">
        <is>
          <t>This code implements unit tests for Presto's query engine using the JUnit testing framework. It includes a test class called `TestNoisyAggregations` that defines several test methods for different aggregation queries. The code also includes a number of utility classes and functions for setting up and running the tests, as well as some configuration files for defining the database schema and data used in the</t>
        </is>
      </c>
      <c r="I1502" t="n">
        <v>0.0037</v>
      </c>
      <c r="J1502" t="n">
        <v>0.1096</v>
      </c>
      <c r="K1502" t="n">
        <v>0.1471</v>
      </c>
      <c r="L1502" t="inlineStr">
        <is>
          <t>The provided code defines a test case for Presto's query engine. It uses the TPC-H benchmark dataset and executes various queries using the `QueryRunner` class from the Presto testing framework. The test checks that the results returned by the queries match the expected values.
The code imports several classes from the Presto project, including `MaterializedResult`, which represents the</t>
        </is>
      </c>
      <c r="M1502" t="n">
        <v>0.0031</v>
      </c>
      <c r="N1502" t="n">
        <v>0.0294</v>
      </c>
      <c r="O1502" t="n">
        <v>0.0769</v>
      </c>
    </row>
    <row r="1503">
      <c r="A1503" t="inlineStr">
        <is>
          <t>presto</t>
        </is>
      </c>
      <c r="B1503" t="inlineStr">
        <is>
          <t>presto-tests/src/test/java/com/facebook/presto/tests/TestSpilledOrderByQueriesWithTemporaryStorage.java</t>
        </is>
      </c>
      <c r="C1503">
        <f>HYPERLINK("https://github.com/prestodb/presto/blob/master/presto-tests/src/test/java/com/facebook/presto/tests/TestSpilledOrderByQueriesWithTemporaryStorage.java")</f>
        <v/>
      </c>
      <c r="D1503" t="inlineStr">
        <is>
          <t>The code defines a new test suite called `TestSpilledOrderByQueriesWithTemporaryStorage` that inherits from `TestSpilledOrderByQueries`. It overrides the `createQueryRunner()` method to create a query runner using the `TestDistributedSpilledQueriesWithTempStorage` utility. This utility creates a local query runner instance with temporary storage enabled.</t>
        </is>
      </c>
      <c r="E1503" t="n">
        <v>0.0047</v>
      </c>
      <c r="F1503" t="n">
        <v>0.0426</v>
      </c>
      <c r="G1503" t="n">
        <v>0.0901</v>
      </c>
      <c r="H1503" t="inlineStr">
        <is>
          <t>This code defines a Java class called `TestSpilledOrderByQueriesWithTemporaryStorage` that inherits from another class called `TestSpilledOrderByQueries`. The class overrides a method called `createQueryRunner()` which creates a query runner object using a local implementation of a query runner.</t>
        </is>
      </c>
      <c r="I1503" t="n">
        <v>0.0052</v>
      </c>
      <c r="J1503" t="n">
        <v>0.09089999999999999</v>
      </c>
      <c r="K1503" t="n">
        <v>0.1389</v>
      </c>
      <c r="L1503" t="inlineStr">
        <is>
          <t>The provided code defines a Java class called `TestSpilledOrderByQueriesWithTemporaryStorage` that extends `TestSpilledOrderByQueries`. It overrides the `createQueryRunner()` method to create a query runner using local storage instead of remote storage.</t>
        </is>
      </c>
      <c r="M1503" t="n">
        <v>0</v>
      </c>
      <c r="N1503" t="n">
        <v>0</v>
      </c>
      <c r="O1503" t="n">
        <v>0.0495</v>
      </c>
    </row>
    <row r="1504">
      <c r="A1504" t="inlineStr">
        <is>
          <t>presto</t>
        </is>
      </c>
      <c r="B1504" t="inlineStr">
        <is>
          <t>presto-tests/src/test/java/com/facebook/presto/tests/TestProcedureCreation.java</t>
        </is>
      </c>
      <c r="C1504">
        <f>HYPERLINK("https://github.com/prestodb/presto/blob/master/presto-tests/src/test/java/com/facebook/presto/tests/TestProcedureCreation.java")</f>
        <v/>
      </c>
      <c r="D1504" t="inlineStr">
        <is>
          <t>The provided code defines a `com.facebook.presto.tests` package that contains a class called `TestProcedure`. This class implements the `Procedure` interface from Presto's SPI (Service Provider Interface), which allows it to be used as a procedure within Presto.
The `TestProcedure` class has several methods, including a constructor, a</t>
        </is>
      </c>
      <c r="E1504" t="n">
        <v>0.0048</v>
      </c>
      <c r="F1504" t="n">
        <v>0.06900000000000001</v>
      </c>
      <c r="G1504" t="n">
        <v>0.1271</v>
      </c>
      <c r="H1504" t="inlineStr">
        <is>
          <t>This code defines a Java class that implements the `Procedure` interface from Presto's SPI (Service Provider Interface). The class is named `TestProcedure`, and it has several methods that define its behavior.
The `add` method takes two arguments, `a` and `b`, which are both integers, and returns their sum as an integer.</t>
        </is>
      </c>
      <c r="I1504" t="n">
        <v>0.0047</v>
      </c>
      <c r="J1504" t="n">
        <v>0.1</v>
      </c>
      <c r="K1504" t="n">
        <v>0.1626</v>
      </c>
      <c r="L1504" t="inlineStr">
        <is>
          <t>The provided code defines a DistributedProcedure named `TestProcedure` that extends the `TableDataRewriteDistributedProcedure` class from Presto's SPI package. It provides a procedure implementation for rewriting table data in a distributed manner using Presto's distributed query engine.
The procedure takes two arguments: `session` and `tableName`. The `</t>
        </is>
      </c>
      <c r="M1504" t="n">
        <v>0.0041</v>
      </c>
      <c r="N1504" t="n">
        <v>0.0741</v>
      </c>
      <c r="O1504" t="n">
        <v>0.1282</v>
      </c>
    </row>
    <row r="1505">
      <c r="A1505" t="inlineStr">
        <is>
          <t>presto</t>
        </is>
      </c>
      <c r="B1505" t="inlineStr">
        <is>
          <t>presto-tests/src/test/java/com/facebook/presto/tests/TestTpchTaskUpdateSizeLimitIntegrationTest.java</t>
        </is>
      </c>
      <c r="C1505">
        <f>HYPERLINK("https://github.com/prestodb/presto/blob/master/presto-tests/src/test/java/com/facebook/presto/tests/TestTpchTaskUpdateSizeLimitIntegrationTest.java")</f>
        <v/>
      </c>
      <c r="D1505" t="inlineStr">
        <is>
          <t>This is a Java test suite that uses Presto's testing framework to run queries against a TPC-H database. The `TestTpchTaskUpdateSizeLimitIntegrationTest` class defines a single test method that runs a query using the `QueryRunner` interface. The query is defined as a string literal and is executed using the `runQuery()` method. The results of</t>
        </is>
      </c>
      <c r="E1505" t="n">
        <v>0.0042</v>
      </c>
      <c r="F1505" t="n">
        <v>0.0645</v>
      </c>
      <c r="G1505" t="n">
        <v>0.121</v>
      </c>
      <c r="H1505" t="inlineStr">
        <is>
          <t>This code defines a test suite for PrestoDB's TPC-H query runner using the TestNG framework. The `createQueryRunner()` method returns a new instance of the `QueryRunner` interface from the `com.facebook.presto.testing` package, which is used to execute queries against a database. The `TpchQueryRunner` class is extended to provide</t>
        </is>
      </c>
      <c r="I1505" t="n">
        <v>0.004</v>
      </c>
      <c r="J1505" t="n">
        <v>0.0339</v>
      </c>
      <c r="K1505" t="n">
        <v>0.0847</v>
      </c>
      <c r="L1505" t="inlineStr">
        <is>
          <t>The provided code is part of a Presto SQL query runner test suite. It defines a `TestTpchTaskUpdateSizeLimitIntegrationTest` class that tests the integration of the `TpchQueryRunner` class. The `TpchQueryRunner` class is responsible for running queries against a TPC-H database.
The `createQueryRunner()` method returns</t>
        </is>
      </c>
      <c r="M1505" t="n">
        <v>0</v>
      </c>
      <c r="N1505" t="n">
        <v>0</v>
      </c>
      <c r="O1505" t="n">
        <v>0.0439</v>
      </c>
    </row>
    <row r="1506">
      <c r="A1506" t="inlineStr">
        <is>
          <t>presto</t>
        </is>
      </c>
      <c r="B1506" t="inlineStr">
        <is>
          <t>presto-tests/src/test/java/com/facebook/presto/tests/TestEnums.java</t>
        </is>
      </c>
      <c r="C1506">
        <f>HYPERLINK("https://github.com/prestodb/presto/blob/master/presto-tests/src/test/java/com/facebook/presto/tests/TestEnums.java")</f>
        <v/>
      </c>
      <c r="D1506" t="inlineStr">
        <is>
          <t>This Java code defines several classes related to Presto's type system, including `Session`, `QualifiedObjectName`, `TypeSignature`, `TypeSignatureParameter`, `UserDefinedType`, and `LongEnumMap`. It also imports the `com.facebook.presto` package and its subpackages. The code does not contain any executable statements, but it provides a</t>
        </is>
      </c>
      <c r="E1506" t="n">
        <v>0.0055</v>
      </c>
      <c r="F1506" t="n">
        <v>0.0784</v>
      </c>
      <c r="G1506" t="n">
        <v>0.0893</v>
      </c>
      <c r="H1506" t="inlineStr">
        <is>
          <t>This code defines a Java package named `com.facebook.presto.tests` that provides various utility classes and functions for Presto's backend software components. The package includes several files, each of which implements a different component of Presto's architecture.
The main class in this package is `Session`, which represents a logical session in Presto. It has methods for creating</t>
        </is>
      </c>
      <c r="I1506" t="n">
        <v>0.0047</v>
      </c>
      <c r="J1506" t="n">
        <v>0.1176</v>
      </c>
      <c r="K1506" t="n">
        <v>0.1969</v>
      </c>
      <c r="L1506" t="inlineStr">
        <is>
          <t>The provided code defines a class named `Test` that extends `AbstractTestQueryFramework`. It appears to be a test suite for Presto, which is a data processing engine. The class includes several methods related to testing queries, such as `testQuery`, `testJoin`, and `testGroupBy`.
The class also defines several types, including `LongEnumMap` and `</t>
        </is>
      </c>
      <c r="M1506" t="n">
        <v>0.0036</v>
      </c>
      <c r="N1506" t="n">
        <v>0.0345</v>
      </c>
      <c r="O1506" t="n">
        <v>0.0407</v>
      </c>
    </row>
    <row r="1507">
      <c r="A1507" t="inlineStr">
        <is>
          <t>presto</t>
        </is>
      </c>
      <c r="B1507" t="inlineStr">
        <is>
          <t>presto-tests/src/test/java/com/facebook/presto/tests/BlackHoleQueryRunner.java</t>
        </is>
      </c>
      <c r="C1507">
        <f>HYPERLINK("https://github.com/prestodb/presto/blob/master/presto-tests/src/test/java/com/facebook/presto/tests/BlackHoleQueryRunner.java")</f>
        <v/>
      </c>
      <c r="D1507" t="inlineStr">
        <is>
          <t>The provided Java code defines a `PrestoTest` class that sets up a Presto server instance using the TPC-H plugin and Black Hole plugin. It also includes some utility methods for creating sessions and executing queries.
The main method creates a new `PrestoServer` instance with the TPC-H and Black Hole plugins enabled. It then starts the server and</t>
        </is>
      </c>
      <c r="E1507" t="n">
        <v>0.0032</v>
      </c>
      <c r="F1507" t="n">
        <v>0.0299</v>
      </c>
      <c r="G1507" t="n">
        <v>0.0775</v>
      </c>
      <c r="H1507" t="inlineStr">
        <is>
          <t>This code defines a Presto test suite that includes various tests for different features of the Presto SQL query engine. The code imports several dependencies, including the Black Hole plugin and the TPC-H plugin. It also defines a Session class that represents a connection to a Presto server. The main method sets up the session and executes some queries using the Black Hole plugin. The code</t>
        </is>
      </c>
      <c r="I1507" t="n">
        <v>0.0033</v>
      </c>
      <c r="J1507" t="n">
        <v>0.0533</v>
      </c>
      <c r="K1507" t="n">
        <v>0.1087</v>
      </c>
      <c r="L1507" t="inlineStr">
        <is>
          <t>The provided code defines a `main` method that initializes a Presto server instance using the BlackHole plugin and TPC-H plugin. It also sets up logging and creates a session object. The `main` method then starts the server and waits until it is shut down.</t>
        </is>
      </c>
      <c r="M1507" t="n">
        <v>0.0042</v>
      </c>
      <c r="N1507" t="n">
        <v>0.0377</v>
      </c>
      <c r="O1507" t="n">
        <v>0.0862</v>
      </c>
    </row>
    <row r="1508">
      <c r="A1508" t="inlineStr">
        <is>
          <t>presto</t>
        </is>
      </c>
      <c r="B1508" t="inlineStr">
        <is>
          <t>presto-tests/src/test/java/com/facebook/presto/tests/TestMinWorkerRequirement.java</t>
        </is>
      </c>
      <c r="C1508">
        <f>HYPERLINK("https://github.com/prestodb/presto/blob/master/presto-tests/src/test/java/com/facebook/presto/tests/TestMinWorkerRequirement.java")</f>
        <v/>
      </c>
      <c r="D1508" t="inlineStr">
        <is>
          <t>This Java test class uses the TestNG framework to execute TPC-H queries using Presto's QueryRunner API. The `runSingleThreaded` method runs each query in a separate thread, while the `disableFailureDetector` method disables the failure detector to prevent flakiness in the tests. The `assertEquals` method is used to compare the expected results with</t>
        </is>
      </c>
      <c r="E1508" t="n">
        <v>0.0036</v>
      </c>
      <c r="F1508" t="n">
        <v>0.0328</v>
      </c>
      <c r="G1508" t="n">
        <v>0.0813</v>
      </c>
      <c r="H1508" t="inlineStr">
        <is>
          <t>This code defines a test suite that runs Presto queries against a TPC-H dataset using the TestNG framework. The test suite is designed to be executed in a single-threaded manner to ensure consistency and avoid race conditions. Additionally, the failure detector is disabled to minimize potential flakiness in the tests.
The `main` method creates a new instance of</t>
        </is>
      </c>
      <c r="I1508" t="n">
        <v>0.0037</v>
      </c>
      <c r="J1508" t="n">
        <v>0.0588</v>
      </c>
      <c r="K1508" t="n">
        <v>0.1154</v>
      </c>
      <c r="L1508" t="inlineStr">
        <is>
          <t>The provided code defines a test suite for Presto's TPC-H queries using TestNG annotations. It imports classes from the `com.facebook.presto.tests` package and `com.google.common.collect` namespace.
The test method `runSingleThreaded()` creates a new instance of the `TpchQueryRunnerBuilder` class and uses it</t>
        </is>
      </c>
      <c r="M1508" t="n">
        <v>0.0047</v>
      </c>
      <c r="N1508" t="n">
        <v>0.0364</v>
      </c>
      <c r="O1508" t="n">
        <v>0.0901</v>
      </c>
    </row>
    <row r="1509">
      <c r="A1509" t="inlineStr">
        <is>
          <t>presto</t>
        </is>
      </c>
      <c r="B1509" t="inlineStr">
        <is>
          <t>presto-tests/src/test/java/com/facebook/presto/tests/TestLocalQueryRunner.java</t>
        </is>
      </c>
      <c r="C1509">
        <f>HYPERLINK("https://github.com/prestodb/presto/blob/master/presto-tests/src/test/java/com/facebook/presto/tests/TestLocalQueryRunner.java")</f>
        <v/>
      </c>
      <c r="D1509" t="inlineStr">
        <is>
          <t>This Java code defines a test suite for Presto, which is a data management platform that allows users to query and analyze large datasets stored in various data sources. The `TestLocalQu` class contains several methods that test different aspects of the Presto system, including access control, authentication, and query execution.
The `TestLocalQu` class extends the `QueryRunner` class from</t>
        </is>
      </c>
      <c r="E1509" t="n">
        <v>0.0037</v>
      </c>
      <c r="F1509" t="n">
        <v>0.0606</v>
      </c>
      <c r="G1509" t="n">
        <v>0.0769</v>
      </c>
      <c r="H1509" t="inlineStr">
        <is>
          <t>This code implements a Presto query runner that allows users to run queries against a local instance of Presto. The code includes a test suite that exercises various aspects of the query runner's behavior, including access control management. Specifically, it tests whether the query runner can correctly grant SELECT and INSERT privileges on columns and tables, respectively. The code also includes documentation about the license and dependencies</t>
        </is>
      </c>
      <c r="I1509" t="n">
        <v>0.0036</v>
      </c>
      <c r="J1509" t="n">
        <v>0.0789</v>
      </c>
      <c r="K1509" t="n">
        <v>0.1439</v>
      </c>
      <c r="L1509" t="inlineStr">
        <is>
          <t>The code defines a test suite for Presto's local query engine using TestNG annotations. It sets up a QueryRunner instance and tests various SQL queries against a local data set. The test cases cover SELECT, INSERT, and other DML statements, as well as more complex queries involving joins and subqueries. The code also demonstrates how to use the TestingAccessControlManager to</t>
        </is>
      </c>
      <c r="M1509" t="n">
        <v>0.003</v>
      </c>
      <c r="N1509" t="n">
        <v>0.029</v>
      </c>
      <c r="O1509" t="n">
        <v>0.07580000000000001</v>
      </c>
    </row>
    <row r="1510">
      <c r="A1510" t="inlineStr">
        <is>
          <t>presto</t>
        </is>
      </c>
      <c r="B1510" t="inlineStr">
        <is>
          <t>presto-tests/src/test/java/com/facebook/presto/tests/TestSqlFunctions.java</t>
        </is>
      </c>
      <c r="C1510">
        <f>HYPERLINK("https://github.com/prestodb/presto/blob/master/presto-tests/src/test/java/com/facebook/presto/tests/TestSqlFunctions.java")</f>
        <v/>
      </c>
      <c r="D1510" t="inlineStr">
        <is>
          <t>The code defines a `UserDefinedType` class that represents a user-defined type in Presto. It has several methods that allow it to be used as part of a SQL query, such as `getTypeParameters()` and `getName()`. Additionally, it also implements the `SqlInvokedFunctionsPlugin` interface, which allows it to be used as a function in SQL queries.</t>
        </is>
      </c>
      <c r="E1510" t="n">
        <v>0.0041</v>
      </c>
      <c r="F1510" t="n">
        <v>0.0645</v>
      </c>
      <c r="G1510" t="n">
        <v>0.12</v>
      </c>
      <c r="H1510" t="inlineStr">
        <is>
          <t>This code defines a Java package called `com.facebook.presto.tests` that provides various utility classes and functions for testing purposes. The package includes several classes and interfaces, including `Session`, which represents a session for executing queries, and `UserDefinedType`, which allows users to define custom data types. The package also includes a class called `SqlInvokedFunctionsPlugin`,</t>
        </is>
      </c>
      <c r="I1510" t="n">
        <v>0.0042</v>
      </c>
      <c r="J1510" t="n">
        <v>0.09520000000000001</v>
      </c>
      <c r="K1510" t="n">
        <v>0.121</v>
      </c>
      <c r="L1510" t="inlineStr">
        <is>
          <t>The provided code defines a custom SQL function that can be used in PrestoDB queries. It uses the `com.facebook.presto` package and imports several classes from the `com.facebook.presto.common`, `com.facebook.presto.scalar`, and `com.facebook.presto.spi` packages. The function takes two parameters, `session</t>
        </is>
      </c>
      <c r="M1510" t="n">
        <v>0.005</v>
      </c>
      <c r="N1510" t="n">
        <v>0.07140000000000001</v>
      </c>
      <c r="O1510" t="n">
        <v>0.0917</v>
      </c>
    </row>
    <row r="1511">
      <c r="A1511" t="inlineStr">
        <is>
          <t>presto</t>
        </is>
      </c>
      <c r="B1511" t="inlineStr">
        <is>
          <t>presto-tests/src/test/java/com/facebook/presto/tests/TestDictionaryAggregation.java</t>
        </is>
      </c>
      <c r="C1511">
        <f>HYPERLINK("https://github.com/prestodb/presto/blob/master/presto-tests/src/test/java/com/facebook/presto/tests/TestDictionaryAggregation.java")</f>
        <v/>
      </c>
      <c r="D1511" t="inlineStr">
        <is>
          <t>This code appears to be a test suite for Presto, a data processing engine. It includes several tests that exercise various features of the system, such as query optimization and execution. The code also includes some utility classes and methods for setting up and running queries.
The main entry point for the test suite is the `main` method, which creates a new instance of the `LocalQuery</t>
        </is>
      </c>
      <c r="E1511" t="n">
        <v>0.0033</v>
      </c>
      <c r="F1511" t="n">
        <v>0.0541</v>
      </c>
      <c r="G1511" t="n">
        <v>0.1087</v>
      </c>
      <c r="H1511" t="inlineStr">
        <is>
          <t>This code defines a Presto query runner that sets up a local instance of the Presto database for testing purposes. It imports various classes from the Presto ecosystem, including TpchConnectorFactory, LocalQueryRunner, QueryRunner, and SystemSessionProperties. The code also includes comments explaining what each line does, such as setting system session properties for dictionary aggregation and reorder</t>
        </is>
      </c>
      <c r="I1511" t="n">
        <v>0.004</v>
      </c>
      <c r="J1511" t="n">
        <v>0.0635</v>
      </c>
      <c r="K1511" t="n">
        <v>0.07870000000000001</v>
      </c>
      <c r="L1511" t="inlineStr">
        <is>
          <t>The provided code defines a test suite for Presto, a distributed SQL query engine. It sets up a LocalQueryRunner instance and configures it with various settings, including enabling dictionary aggregation and reordering joins. The test then runs a series of queries using the TPC-H connector factory and asserts that the results match expected values.</t>
        </is>
      </c>
      <c r="M1511" t="n">
        <v>0.0034</v>
      </c>
      <c r="N1511" t="n">
        <v>0.0317</v>
      </c>
      <c r="O1511" t="n">
        <v>0.0794</v>
      </c>
    </row>
    <row r="1512">
      <c r="A1512" t="inlineStr">
        <is>
          <t>presto</t>
        </is>
      </c>
      <c r="B1512" t="inlineStr">
        <is>
          <t>presto-tests/src/test/java/com/facebook/presto/tests/TestVerboseOptimizerInfo.java</t>
        </is>
      </c>
      <c r="C1512">
        <f>HYPERLINK("https://github.com/prestodb/presto/blob/master/presto-tests/src/test/java/com/facebook/presto/tests/TestVerboseOptimizerInfo.java")</f>
        <v/>
      </c>
      <c r="D1512" t="inlineStr">
        <is>
          <t>This Java code defines a class named `PrestoTests` that extends the `TestBase` class from the Presto project. It provides a test runner for running tests against a local Presto instance using the TPC-H benchmark. The class has several methods that define various aspects of the test setup, such as connecting to the database, creating tables, and executing queries. The main method</t>
        </is>
      </c>
      <c r="E1512" t="n">
        <v>0.0036</v>
      </c>
      <c r="F1512" t="n">
        <v>0.0571</v>
      </c>
      <c r="G1512" t="n">
        <v>0.1128</v>
      </c>
      <c r="H1512" t="inlineStr">
        <is>
          <t>This code defines a Java package called `com.facebook.presto.tests` that provides various classes and methods for testing Presto's query engine. The main class is `TestingPrestoServer`, which extends the `LocalQueryRunner` class from the Presto project. It also includes several other classes such as `SessionPropertyManager`, `SqlInvokedFunctionsPlugin`,</t>
        </is>
      </c>
      <c r="I1512" t="n">
        <v>0.0051</v>
      </c>
      <c r="J1512" t="n">
        <v>0.0727</v>
      </c>
      <c r="K1512" t="n">
        <v>0.08699999999999999</v>
      </c>
      <c r="L1512" t="inlineStr">
        <is>
          <t>The code defines a `LocalQueryRunner` class that creates a local query runner instance using Presto's TPC-H connector. It also includes a few utility methods for running queries and materializing results.</t>
        </is>
      </c>
      <c r="M1512" t="n">
        <v>0.0062</v>
      </c>
      <c r="N1512" t="n">
        <v>0.05</v>
      </c>
      <c r="O1512" t="n">
        <v>0.098</v>
      </c>
    </row>
    <row r="1513">
      <c r="A1513" t="inlineStr">
        <is>
          <t>presto</t>
        </is>
      </c>
      <c r="B1513" t="inlineStr">
        <is>
          <t>presto-tests/src/test/java/com/facebook/presto/tests/TestResourceGroupPerQueryLimitEnforcement.java</t>
        </is>
      </c>
      <c r="C1513">
        <f>HYPERLINK("https://github.com/prestodb/presto/blob/master/presto-tests/src/test/java/com/facebook/presto/tests/TestResourceGroupPerQueryLimitEnforcement.java")</f>
        <v/>
      </c>
      <c r="D1513" t="inlineStr">
        <is>
          <t>This code appears to be a Java project that includes various classes and methods related to Presto, a distributed SQL query engine. The main class, `com.facebook.presto.tests.PrestoTests`, creates a new instance of the `TestingPrestoServer` class, which is a test server implementation of Presto. The `TestingPrestoServer` class has several</t>
        </is>
      </c>
      <c r="E1513" t="n">
        <v>0.0046</v>
      </c>
      <c r="F1513" t="n">
        <v>0.0678</v>
      </c>
      <c r="G1513" t="n">
        <v>0.1261</v>
      </c>
      <c r="H1513" t="inlineStr">
        <is>
          <t>This codebase provides a set of tools and libraries for building and running PrestoDB queries. It includes a DispatchManager class that manages query execution, a QueryManager class that monitors query progress, and a FileResourceGroupConfigurationManagerFactory class that generates resource group configuration files. The TpchQueryRunnerBuilder class is used to create a test runner for executing TPC-H</t>
        </is>
      </c>
      <c r="I1513" t="n">
        <v>0.004</v>
      </c>
      <c r="J1513" t="n">
        <v>0.0635</v>
      </c>
      <c r="K1513" t="n">
        <v>0.119</v>
      </c>
      <c r="L1513" t="inlineStr">
        <is>
          <t>The provided code is part of a Presto test suite that runs queries against a local instance of Presto server. It sets up a testing environment using the TestingPrestoServer class and configures various resources such as the DispatchManager, QueryManager, and FileResourceGroupConfigurationManagerFactory. The code then executes a TPC-H query using the TpchQueryRunnerBuilder class</t>
        </is>
      </c>
      <c r="M1513" t="n">
        <v>0.0035</v>
      </c>
      <c r="N1513" t="n">
        <v>0.0328</v>
      </c>
      <c r="O1513" t="n">
        <v>0.0806</v>
      </c>
    </row>
    <row r="1514">
      <c r="A1514" t="inlineStr">
        <is>
          <t>presto</t>
        </is>
      </c>
      <c r="B1514" t="inlineStr">
        <is>
          <t>presto-tests/src/test/java/com/facebook/presto/tests/TestSmileSupport.java</t>
        </is>
      </c>
      <c r="C1514">
        <f>HYPERLINK("https://github.com/prestodb/presto/blob/master/presto-tests/src/test/java/com/facebook/presto/tests/TestSmileSupport.java")</f>
        <v/>
      </c>
      <c r="D1514" t="inlineStr">
        <is>
          <t>The provided code is part of a Presto SQL database system that supports Smile data format. It includes a test case named `smokeTestSmileSupport` that runs a TPC-H query (Q6) using the Smile data format. The test case uses the `TpchQueryRunnerBuilder` class to create a Distributed Query Runner instance and then executes the</t>
        </is>
      </c>
      <c r="E1514" t="n">
        <v>0.0035</v>
      </c>
      <c r="F1514" t="n">
        <v>0.0328</v>
      </c>
      <c r="G1514" t="n">
        <v>0.0806</v>
      </c>
      <c r="H1514" t="inlineStr">
        <is>
          <t>This code implements a Presto Query Runner that can execute queries using the Smile format for serializing data. The code is written in Java and uses the TestNG framework for testing. It includes a smoke test method called `smokeTestSmileSupport` that runs a TPC-H query (Q6) with the Smile format enabled to test the functionality of the Smile</t>
        </is>
      </c>
      <c r="I1514" t="n">
        <v>0.0045</v>
      </c>
      <c r="J1514" t="n">
        <v>0.09089999999999999</v>
      </c>
      <c r="K1514" t="n">
        <v>0.155</v>
      </c>
      <c r="L1514" t="inlineStr">
        <is>
          <t>The provided code is part of a Presto SQL database management system that includes a suite of tests for various features, including Smile support. The `TestSmileSupport` class defines a single test method called `smokeTestSmileSupport`, which runs a TPC-H Query 6 using the `TpchQueryRunnerBuilder` class while enabling Smile support. The</t>
        </is>
      </c>
      <c r="M1514" t="n">
        <v>0</v>
      </c>
      <c r="N1514" t="n">
        <v>0</v>
      </c>
      <c r="O1514" t="n">
        <v>0.0413</v>
      </c>
    </row>
    <row r="1515">
      <c r="A1515" t="inlineStr">
        <is>
          <t>presto</t>
        </is>
      </c>
      <c r="B1515" t="inlineStr">
        <is>
          <t>presto-tests/src/test/java/com/facebook/presto/tests/TestQueryManager.java</t>
        </is>
      </c>
      <c r="C1515">
        <f>HYPERLINK("https://github.com/prestodb/presto/blob/master/presto-tests/src/test/java/com/facebook/presto/tests/TestQueryManager.java")</f>
        <v/>
      </c>
      <c r="D1515" t="inlineStr">
        <is>
          <t>The provided code appears to be a Java implementation of various Presto-related classes and methods. Here's a high-level overview of its functionality:
* `com.facebook.presto.tests`: This package contains test cases for Presto. It includes classes such as `TestingPrestoServer`, which provides a testing environment for Presto, and `Testing</t>
        </is>
      </c>
      <c r="E1515" t="n">
        <v>0.0048</v>
      </c>
      <c r="F1515" t="n">
        <v>0.1017</v>
      </c>
      <c r="G1515" t="n">
        <v>0.1271</v>
      </c>
      <c r="H1515" t="inlineStr">
        <is>
          <t>This code defines a package called `com.facebook.presto.tests` that contains various classes and interfaces related to testing Presto's backend software components. The package includes a class named `MockQueryExecution` that implements the `DispatchManager` interface and provides a mock implementation of query execution. It also includes several other classes and interfaces related to data size, duration, runtime statistics,</t>
        </is>
      </c>
      <c r="I1515" t="n">
        <v>0.0047</v>
      </c>
      <c r="J1515" t="n">
        <v>0.1194</v>
      </c>
      <c r="K1515" t="n">
        <v>0.1575</v>
      </c>
      <c r="L1515" t="inlineStr">
        <is>
          <t>The provided code is part of a Presto SQL query engine, specifically a test suite for the dispatcher component. It appears to be responsible for setting up a mock execution environment and running a series of queries against it using the DispatchManager class. The code also includes some basic error handling and logging mechanisms.</t>
        </is>
      </c>
      <c r="M1515" t="n">
        <v>0.0034</v>
      </c>
      <c r="N1515" t="n">
        <v>0.0323</v>
      </c>
      <c r="O1515" t="n">
        <v>0.0794</v>
      </c>
    </row>
    <row r="1516">
      <c r="A1516" t="inlineStr">
        <is>
          <t>presto</t>
        </is>
      </c>
      <c r="B1516" t="inlineStr">
        <is>
          <t>presto-tests/src/test/java/com/facebook/presto/tests/tpch/TpchQueryRunnerBuilder.java</t>
        </is>
      </c>
      <c r="C1516">
        <f>HYPERLINK("https://github.com/prestodb/presto/blob/master/presto-tests/src/test/java/com/facebook/presto/tests/tpch/TpchQueryRunnerBuilder.java")</f>
        <v/>
      </c>
      <c r="D1516" t="inlineStr">
        <is>
          <t>The `TpchQueryRunnerBuilder` class provides a way to create a Presto query runner that can execute queries from the TPC-H benchmark suite. It does this by creating a new instance of the `DistributedQueryRunner` class and setting up the necessary plugins and session configuration. The builder also defines a default session object that can be used when running queries.</t>
        </is>
      </c>
      <c r="E1516" t="n">
        <v>0.0032</v>
      </c>
      <c r="F1516" t="n">
        <v>0.0606</v>
      </c>
      <c r="G1516" t="n">
        <v>0.1163</v>
      </c>
      <c r="H1516" t="inlineStr">
        <is>
          <t>This code defines a `TpchQueryRunnerBuilder` class that builds a Presto query runner instance using the TPC-H benchmark data set. The builder sets up a session object with default configuration values and creates a new instance of the `DistributedQueryRunner` class with the specified number of worker nodes. It then installs the TPC-H plugin and returns the query runner</t>
        </is>
      </c>
      <c r="I1516" t="n">
        <v>0.0038</v>
      </c>
      <c r="J1516" t="n">
        <v>0.0597</v>
      </c>
      <c r="K1516" t="n">
        <v>0.1163</v>
      </c>
      <c r="L1516" t="inlineStr">
        <is>
          <t>The provided code defines a `TpchQueryRunnerBuilder` class that builds a Presto query runner instance for executing queries against the TPC-H benchmark dataset. It uses the `DistributedQueryRunner` class from the Presto project to create a distributed query engine with multiple worker nodes. The builder also includes a number of utility methods for configuring the query runner's session,</t>
        </is>
      </c>
      <c r="M1516" t="n">
        <v>0</v>
      </c>
      <c r="N1516" t="n">
        <v>0</v>
      </c>
      <c r="O1516" t="n">
        <v>0.0391</v>
      </c>
    </row>
    <row r="1517">
      <c r="A1517" t="inlineStr">
        <is>
          <t>presto</t>
        </is>
      </c>
      <c r="B1517" t="inlineStr">
        <is>
          <t>presto-tests/src/test/java/com/facebook/presto/tests/tpch/TpchQueryRunner.java</t>
        </is>
      </c>
      <c r="C1517">
        <f>HYPERLINK("https://github.com/prestodb/presto/blob/master/presto-tests/src/test/java/com/facebook/presto/tests/tpch/TpchQueryRunner.java")</f>
        <v/>
      </c>
      <c r="D1517" t="inlineStr">
        <is>
          <t>This code defines a `TpchQueryRunner` class that creates a query runner instance using the Presto SQL engine. The class uses the `DistributedQueryRunner` class from the Presto project to run queries against a distributed database. It also includes some utility methods for logging and configuration management.
The `createQueryRunner()` method takes no arguments and returns a new `Dist</t>
        </is>
      </c>
      <c r="E1517" t="n">
        <v>0.0039</v>
      </c>
      <c r="F1517" t="n">
        <v>0.0625</v>
      </c>
      <c r="G1517" t="n">
        <v>0.1172</v>
      </c>
      <c r="H1517" t="inlineStr">
        <is>
          <t>This code defines a `TpchQueryRunner` class that creates a query runner instance using the Presto SQL engine. The class has a single method called `createQueryRunner()` which returns a `DistributedQueryRunner` object. The method uses the Guice dependency injection framework to configure the query runner with various dependencies, including the `com.facebook.presto.tests.tp</t>
        </is>
      </c>
      <c r="I1517" t="n">
        <v>0.0037</v>
      </c>
      <c r="J1517" t="n">
        <v>0.0328</v>
      </c>
      <c r="K1517" t="n">
        <v>0.08260000000000001</v>
      </c>
      <c r="L1517" t="inlineStr">
        <is>
          <t>The code defines a method `createQueryRunner` that creates a new instance of `DistributedQueryRunner`. It uses the `TpchQueries` class to execute queries against a Presto database. The method returns a `DistributedQueryRunner` object, which can be used to run queries and retrieve results.</t>
        </is>
      </c>
      <c r="M1517" t="n">
        <v>0.0045</v>
      </c>
      <c r="N1517" t="n">
        <v>0.0408</v>
      </c>
      <c r="O1517" t="n">
        <v>0.0885</v>
      </c>
    </row>
    <row r="1518">
      <c r="A1518" t="inlineStr">
        <is>
          <t>presto</t>
        </is>
      </c>
      <c r="B1518" t="inlineStr">
        <is>
          <t>presto-tests/src/test/java/com/facebook/presto/execution/TestStageInfo.java</t>
        </is>
      </c>
      <c r="C1518">
        <f>HYPERLINK("https://github.com/prestodb/presto/blob/master/presto-tests/src/test/java/com/facebook/presto/execution/TestStageInfo.java")</f>
        <v/>
      </c>
      <c r="D1518" t="inlineStr">
        <is>
          <t>This code appears to be part of a Presto database management system implementation. It defines several classes and methods related to query execution and testing. The main class, `TestingPrestoServer`, extends the `DistributedQueryRunner` class from Presto's test suite and provides additional functionality for executing queries and retrieving results. The `MaterializedResult` class represents the result of a</t>
        </is>
      </c>
      <c r="E1518" t="n">
        <v>0.0044</v>
      </c>
      <c r="F1518" t="n">
        <v>0.125</v>
      </c>
      <c r="G1518" t="n">
        <v>0.1181</v>
      </c>
      <c r="H1518" t="inlineStr">
        <is>
          <t>This code appears to be part of a Presto project, which is an open source distributed SQL query engine for big data analytics. The code defines a class called `TestingPrestoServer` that extends the `DistributedQueryRunner` class from the same project. It also imports various other classes from the Presto project.
The `TestingPrestoServer` class has</t>
        </is>
      </c>
      <c r="I1518" t="n">
        <v>0.0035</v>
      </c>
      <c r="J1518" t="n">
        <v>0.0328</v>
      </c>
      <c r="K1518" t="n">
        <v>0.08</v>
      </c>
      <c r="L1518" t="inlineStr">
        <is>
          <t>The code defines a test suite for Presto's execution engine using TestNG. It sets up a testing environment using a DistributedQueryRunner instance and runs various queries against it. The test cases verify that the query results match the expected results, which are defined as MaterializedResults. The test suite also includes tests for query cancellation and error handling.</t>
        </is>
      </c>
      <c r="M1518" t="n">
        <v>0.0032</v>
      </c>
      <c r="N1518" t="n">
        <v>0.0303</v>
      </c>
      <c r="O1518" t="n">
        <v>0.0775</v>
      </c>
    </row>
    <row r="1519">
      <c r="A1519" t="inlineStr">
        <is>
          <t>presto</t>
        </is>
      </c>
      <c r="B1519" t="inlineStr">
        <is>
          <t>presto-tests/src/test/java/com/facebook/presto/execution/TestQueues.java</t>
        </is>
      </c>
      <c r="C1519">
        <f>HYPERLINK("https://github.com/prestodb/presto/blob/master/presto-tests/src/test/java/com/facebook/presto/execution/TestQueues.java")</f>
        <v/>
      </c>
      <c r="D1519" t="inlineStr">
        <is>
          <t>The code defines a `Dispatcher` class that manages the execution of queries on a Presto cluster. It uses the `HttpClient` library from Airlift to make HTTP requests to the Presto coordinator node. The `Dispatcher` class has several methods that handle different aspects of query execution, such as scheduling, dispatching, and monitoring. It also includes configuration options for setting</t>
        </is>
      </c>
      <c r="E1519" t="n">
        <v>0.0031</v>
      </c>
      <c r="F1519" t="n">
        <v>0.0303</v>
      </c>
      <c r="G1519" t="n">
        <v>0.0769</v>
      </c>
      <c r="H1519" t="inlineStr">
        <is>
          <t>This code provides the implementation of the DispatchManager class, which is responsible for managing the execution of queries on Presto. The class uses the HttpClient library to send requests to other nodes in the cluster, and it also utilizes the JsonObjectMapperProvider to serialize and deserialize JSON data. The complexity of the code is O(N), where N is the number of nodes in</t>
        </is>
      </c>
      <c r="I1519" t="n">
        <v>0.0035</v>
      </c>
      <c r="J1519" t="n">
        <v>0.08450000000000001</v>
      </c>
      <c r="K1519" t="n">
        <v>0.1493</v>
      </c>
      <c r="L1519" t="inlineStr">
        <is>
          <t>The code defines a class named `Dispatcher` that implements the `com.facebook.presto.dispatcher.DispatchManager` interface. It is responsible for managing the execution of queries across multiple nodes in a Presto cluster. The class uses the `HttpClient` library to send requests to the query coordinator and receive responses from the workers. It also uses the `JsonObjectMapper</t>
        </is>
      </c>
      <c r="M1519" t="n">
        <v>0.0042</v>
      </c>
      <c r="N1519" t="n">
        <v>0.0625</v>
      </c>
      <c r="O1519" t="n">
        <v>0.121</v>
      </c>
    </row>
    <row r="1520">
      <c r="A1520" t="inlineStr">
        <is>
          <t>presto</t>
        </is>
      </c>
      <c r="B1520" t="inlineStr">
        <is>
          <t>presto-tests/src/test/java/com/facebook/presto/execution/TestEventListenerPlugin.java</t>
        </is>
      </c>
      <c r="C1520">
        <f>HYPERLINK("https://github.com/prestodb/presto/blob/master/presto-tests/src/test/java/com/facebook/presto/execution/TestEventListenerPlugin.java")</f>
        <v/>
      </c>
      <c r="D1520" t="inlineStr">
        <is>
          <t>This code implements a Presto plugin that listens for events related to query execution and logs them to a file. It defines a `TestEventListener` class that extends the `EventListener` interface from the Presto SPI, which provides methods for handling different types of events such as query creation and completion. The `TestEventListener` class also has a nested `EventsBuilder` class that allows it</t>
        </is>
      </c>
      <c r="E1520" t="n">
        <v>0.0039</v>
      </c>
      <c r="F1520" t="n">
        <v>0.08699999999999999</v>
      </c>
      <c r="G1520" t="n">
        <v>0.1128</v>
      </c>
      <c r="H1520" t="inlineStr">
        <is>
          <t>This code implements a plugin for Presto that allows it to send events to a listener when queries are created or completed. The plugin registers itself as an event listener factory and creates instances of the `TestEventListener` class when requested. The `TestEventListener` class listens for query creation and completion events and logs them to the console using the `System.out.println()` method. The plugin</t>
        </is>
      </c>
      <c r="I1520" t="n">
        <v>0.0039</v>
      </c>
      <c r="J1520" t="n">
        <v>0.0833</v>
      </c>
      <c r="K1520" t="n">
        <v>0.1493</v>
      </c>
      <c r="L1520" t="inlineStr">
        <is>
          <t>The code defines a Presto plugin that implements the EventListener interface from the Presto SPI package. It listens for events related to query creation and completion, and logs them using the TestEventListener class. The EventsBuilder class is used to build the event messages. The plugin is registered as a service provider in the Presto application.</t>
        </is>
      </c>
      <c r="M1520" t="n">
        <v>0.004</v>
      </c>
      <c r="N1520" t="n">
        <v>0.0635</v>
      </c>
      <c r="O1520" t="n">
        <v>0.1181</v>
      </c>
    </row>
    <row r="1521">
      <c r="A1521" t="inlineStr">
        <is>
          <t>presto</t>
        </is>
      </c>
      <c r="B1521" t="inlineStr">
        <is>
          <t>presto-tests/src/test/java/com/facebook/presto/execution/TestQueryRunnerUtil.java</t>
        </is>
      </c>
      <c r="C1521">
        <f>HYPERLINK("https://github.com/prestodb/presto/blob/master/presto-tests/src/test/java/com/facebook/presto/execution/TestQueryRunnerUtil.java")</f>
        <v/>
      </c>
      <c r="D1521" t="inlineStr">
        <is>
          <t>This code appears to be part of a Presto database management system, specifically the `com.facebook.presto.execution` package. It defines several classes related to query execution, including `BasicQueryInfo`, which represents information about a query that has been executed, and `DispatchManager`, which manages the dispatching of queries to nodes in a cluster. The code also includes some utility</t>
        </is>
      </c>
      <c r="E1521" t="n">
        <v>0.004</v>
      </c>
      <c r="F1521" t="n">
        <v>0.0606</v>
      </c>
      <c r="G1521" t="n">
        <v>0.1181</v>
      </c>
      <c r="H1521" t="inlineStr">
        <is>
          <t>This code defines a class called `Execution` that provides methods for executing queries against a Presto database. The class takes a `Session` object as input and uses it to create a new query execution context. It then creates a new `DispatchManager` instance using the session's configuration and passes it to the `execute` method, which executes the query using the dispatch manager. Finally,</t>
        </is>
      </c>
      <c r="I1521" t="n">
        <v>0.0035</v>
      </c>
      <c r="J1521" t="n">
        <v>0.0563</v>
      </c>
      <c r="K1521" t="n">
        <v>0.1119</v>
      </c>
      <c r="L1521" t="inlineStr">
        <is>
          <t>The code implements a Presto query execution engine that manages the lifecycle of queries and provides APIs for submitting, monitoring, and canceling queries. It uses the DispatchManager class to manage the distribution of query tasks across nodes in the cluster. The code also includes support for TPC-H benchmarking through the TpchPlugin class.</t>
        </is>
      </c>
      <c r="M1521" t="n">
        <v>0.0042</v>
      </c>
      <c r="N1521" t="n">
        <v>0.06560000000000001</v>
      </c>
      <c r="O1521" t="n">
        <v>0.121</v>
      </c>
    </row>
    <row r="1522">
      <c r="A1522" t="inlineStr">
        <is>
          <t>presto</t>
        </is>
      </c>
      <c r="B1522" t="inlineStr">
        <is>
          <t>presto-tests/src/test/java/com/facebook/presto/execution/TriggerFailurePlanChecker.java</t>
        </is>
      </c>
      <c r="C1522">
        <f>HYPERLINK("https://github.com/prestodb/presto/blob/master/presto-tests/src/test/java/com/facebook/presto/execution/TriggerFailurePlanChecker.java")</f>
        <v/>
      </c>
      <c r="D1522" t="inlineStr">
        <is>
          <t>This code implements a Presto execution engine that checks the validity of SQL queries before they are executed. It uses a PlanChecker object to perform these checks, which is passed as an argument to the constructor. The check() method takes a plan node as input and returns a boolean indicating whether the query is valid. If the query is invalid, it throws a Presto exception with a standard</t>
        </is>
      </c>
      <c r="E1522" t="n">
        <v>0.0035</v>
      </c>
      <c r="F1522" t="n">
        <v>0.0789</v>
      </c>
      <c r="G1522" t="n">
        <v>0.1429</v>
      </c>
      <c r="H1522" t="inlineStr">
        <is>
          <t>This code defines a Presto execution engine that can execute SQL queries against various data sources. It includes a number of classes and interfaces related to query planning, optimization, and execution. The main class, `com.facebook.presto.execution.QueryExecution`, provides the primary entry point for executing a query. It takes a query string as input, parses it using the Presto</t>
        </is>
      </c>
      <c r="I1522" t="n">
        <v>0.0039</v>
      </c>
      <c r="J1522" t="n">
        <v>0.0588</v>
      </c>
      <c r="K1522" t="n">
        <v>0.1172</v>
      </c>
      <c r="L1522" t="inlineStr">
        <is>
          <t>The provided code defines a class named `QueryExecution` that represents the execution of a query in Presto. It has several responsibilities, including:
* Creating a new instance of the `QueryExecution` class
* Setting up the necessary resources for query execution, such as creating a new session and initializing the plan checker
* Executing the query using the `execute</t>
        </is>
      </c>
      <c r="M1522" t="n">
        <v>0.0031</v>
      </c>
      <c r="N1522" t="n">
        <v>0.0317</v>
      </c>
      <c r="O1522" t="n">
        <v>0.0769</v>
      </c>
    </row>
    <row r="1523">
      <c r="A1523" t="inlineStr">
        <is>
          <t>presto</t>
        </is>
      </c>
      <c r="B1523" t="inlineStr">
        <is>
          <t>presto-tests/src/test/java/com/facebook/presto/execution/TestBeginQuery.java</t>
        </is>
      </c>
      <c r="C1523">
        <f>HYPERLINK("https://github.com/prestodb/presto/blob/master/presto-tests/src/test/java/com/facebook/presto/execution/TestBeginQuery.java")</f>
        <v/>
      </c>
      <c r="D1523" t="inlineStr">
        <is>
          <t>The provided code appears to be part of a Presto database management system. It defines several classes related to query execution, including `QueryExecution`, `TaskManager`, and `Task`. These classes implement various functionalities such as session handling, page source creation, split processing, and task scheduling. The code also includes comments and documentation that explain its purpose and usage.</t>
        </is>
      </c>
      <c r="E1523" t="n">
        <v>0.0033</v>
      </c>
      <c r="F1523" t="n">
        <v>0.09379999999999999</v>
      </c>
      <c r="G1523" t="n">
        <v>0.1172</v>
      </c>
      <c r="H1523" t="inlineStr">
        <is>
          <t>This code appears to be part of a PrestoSQL database management system. It defines several classes related to query execution and data processing. The main class, `PrestoExecution`, seems to handle the overall execution of queries, including fetching data from external sources and returning results to clients. Other classes in the package seem to provide support for various aspects of query execution, such as handling different types</t>
        </is>
      </c>
      <c r="I1523" t="n">
        <v>0.0033</v>
      </c>
      <c r="J1523" t="n">
        <v>0.0541</v>
      </c>
      <c r="K1523" t="n">
        <v>0.1087</v>
      </c>
      <c r="L1523" t="inlineStr">
        <is>
          <t>The provided code defines a class named `PrestoExecution` that implements the `ConnectorPageSource` interface from the Presto framework. It appears to be responsible for executing queries against a database using the connector API.
The class takes several dependencies as parameters in its constructor, including a `Session`, which represents a connection to a particular database instance, and a `ConnectorHandle</t>
        </is>
      </c>
      <c r="M1523" t="n">
        <v>0.0038</v>
      </c>
      <c r="N1523" t="n">
        <v>0.0615</v>
      </c>
      <c r="O1523" t="n">
        <v>0.1163</v>
      </c>
    </row>
    <row r="1524">
      <c r="A1524" t="inlineStr">
        <is>
          <t>presto</t>
        </is>
      </c>
      <c r="B1524" t="inlineStr">
        <is>
          <t>presto-tests/src/test/java/com/facebook/presto/execution/TestingSessionContext.java</t>
        </is>
      </c>
      <c r="C1524">
        <f>HYPERLINK("https://github.com/prestodb/presto/blob/master/presto-tests/src/test/java/com/facebook/presto/execution/TestingSessionContext.java")</f>
        <v/>
      </c>
      <c r="D1524" t="inlineStr">
        <is>
          <t>The code defines several classes related to Presto's execution engine. It includes a `Session` class that represents a session context, a `RuntimeStats` class that provides runtime statistics, a `TransactionId` class that identifies transactions, a `SessionContext` class that encapsulates information about a user session, a `ConnectorId` class that represents a connector identifier</t>
        </is>
      </c>
      <c r="E1524" t="n">
        <v>0</v>
      </c>
      <c r="F1524" t="n">
        <v>0</v>
      </c>
      <c r="G1524" t="n">
        <v>0</v>
      </c>
      <c r="H1524" t="inlineStr">
        <is>
          <t>This code appears to be part of a Presto database management system. It defines several classes and interfaces related to session handling, transaction management, function execution, and security. The code also includes some documentation about the project's architecture and licensing information. Overall, it seems like this codebase provides the foundation for a complex data processing engine that can handle large amounts of data and perform</t>
        </is>
      </c>
      <c r="I1524" t="n">
        <v>0.0033</v>
      </c>
      <c r="J1524" t="n">
        <v>0.08110000000000001</v>
      </c>
      <c r="K1524" t="n">
        <v>0.1095</v>
      </c>
      <c r="L1524" t="inlineStr">
        <is>
          <t>The provided code defines a class named `QueryManager` that manages queries executed by Presto. It has several methods for creating, modifying, and executing queries, as well as methods for retrieving query metadata such as runtime statistics and transaction IDs. Additionally, the class provides methods for registering and unregistering SQL functions and session context objects.</t>
        </is>
      </c>
      <c r="M1524" t="n">
        <v>0.0034</v>
      </c>
      <c r="N1524" t="n">
        <v>0.0645</v>
      </c>
      <c r="O1524" t="n">
        <v>0.1488</v>
      </c>
    </row>
    <row r="1525">
      <c r="A1525" t="inlineStr">
        <is>
          <t>presto</t>
        </is>
      </c>
      <c r="B1525" t="inlineStr">
        <is>
          <t>presto-tests/src/test/java/com/facebook/presto/execution/TestEventListener.java</t>
        </is>
      </c>
      <c r="C1525">
        <f>HYPERLINK("https://github.com/prestodb/presto/blob/master/presto-tests/src/test/java/com/facebook/presto/execution/TestEventListener.java")</f>
        <v/>
      </c>
      <c r="D1525" t="inlineStr">
        <is>
          <t>This code appears to be part of a Presto database management system, specifically the execution module. It defines several classes related to query event listeners and resource group manager plugins. The `TestingEventListenerPlugin` class implements the `QueryCreatedEvent` and `QueryCompletedEvent` interfaces, which allows it to receive notifications when queries are created and completed. The `ResourceGroupManagerPlugin` class</t>
        </is>
      </c>
      <c r="E1525" t="n">
        <v>0.0045</v>
      </c>
      <c r="F1525" t="n">
        <v>0.129</v>
      </c>
      <c r="G1525" t="n">
        <v>0.1587</v>
      </c>
      <c r="H1525" t="inlineStr">
        <is>
          <t>This code defines a Java package named `com.facebook.presto.execution` that provides classes related to query execution. The package includes several files, including a main class called `PrestoServer`, which is the entry point for starting up the Presto server. It also includes several other utility classes, such as `SqlParserUtil` and `StatementSplitter`.
The package</t>
        </is>
      </c>
      <c r="I1525" t="n">
        <v>0.0043</v>
      </c>
      <c r="J1525" t="n">
        <v>0.0645</v>
      </c>
      <c r="K1525" t="n">
        <v>0.0813</v>
      </c>
      <c r="L1525" t="inlineStr">
        <is>
          <t>The code defines a class named `TestingEventListenerPlugin` that implements the `QueryCreatedEvent` and `QueryCompletedEvent` interfaces from Presto's event listener API. It also imports several other classes from Presto's execution engine and resource group manager modules.
The class has two methods: `queryCreated()` and `queryCompleted()`. These methods are called when a query</t>
        </is>
      </c>
      <c r="M1525" t="n">
        <v>0.0045</v>
      </c>
      <c r="N1525" t="n">
        <v>0.0678</v>
      </c>
      <c r="O1525" t="n">
        <v>0.08260000000000001</v>
      </c>
    </row>
    <row r="1526">
      <c r="A1526" t="inlineStr">
        <is>
          <t>presto</t>
        </is>
      </c>
      <c r="B1526" t="inlineStr">
        <is>
          <t>presto-tests/src/test/java/com/facebook/presto/execution/TestMemoryRevokingScheduler.java</t>
        </is>
      </c>
      <c r="C1526">
        <f>HYPERLINK("https://github.com/prestodb/presto/blob/master/presto-tests/src/test/java/com/facebook/presto/execution/TestMemoryRevokingScheduler.java")</f>
        <v/>
      </c>
      <c r="D1526" t="inlineStr">
        <is>
          <t>This Java code appears to be part of a Presto project, which is an open-source distributed SQL query engine for big data analytics. The code defines several classes related to task execution, including `SqlTask`, `TaskSource`, and `TaskStateMachine`. These classes are used to manage the execution of tasks in a Presto cluster.
The code includes a number of dependencies</t>
        </is>
      </c>
      <c r="E1526" t="n">
        <v>0.0037</v>
      </c>
      <c r="F1526" t="n">
        <v>0.0597</v>
      </c>
      <c r="G1526" t="n">
        <v>0.1154</v>
      </c>
      <c r="H1526" t="inlineStr">
        <is>
          <t>This code defines a Presto SQL task manager that provides a way to execute SQL queries using Presto's execution engine. The task manager uses a mock exchange client supplier to provide a testing implementation of the exchange client interface, which allows for simulating different scenarios during query execution. It also includes a counter stat object for tracking memory usage and a testing GC monitor for monitoring garbage collection activity.</t>
        </is>
      </c>
      <c r="I1526" t="n">
        <v>0.0031</v>
      </c>
      <c r="J1526" t="n">
        <v>0.0769</v>
      </c>
      <c r="K1526" t="n">
        <v>0.1418</v>
      </c>
      <c r="L1526" t="inlineStr">
        <is>
          <t>The provided code defines a `Spool` class that implements the `OutputBuffer` interface. It provides a mechanism for spooling query results to disk when they exceed a certain size threshold.
The `Spool` constructor takes several parameters, including a `BlockEncodingManager`, which is used to encode blocks into memory-efficient formats, and a `DataSize` object representing the</t>
        </is>
      </c>
      <c r="M1526" t="n">
        <v>0.0041</v>
      </c>
      <c r="N1526" t="n">
        <v>0.0645</v>
      </c>
      <c r="O1526" t="n">
        <v>0.12</v>
      </c>
    </row>
    <row r="1527">
      <c r="A1527" t="inlineStr">
        <is>
          <t>presto</t>
        </is>
      </c>
      <c r="B1527" t="inlineStr">
        <is>
          <t>presto-tests/src/test/java/com/facebook/presto/execution/TestWarnings.java</t>
        </is>
      </c>
      <c r="C1527">
        <f>HYPERLINK("https://github.com/prestodb/presto/blob/master/presto-tests/src/test/java/com/facebook/presto/execution/TestWarnings.java")</f>
        <v/>
      </c>
      <c r="D1527" t="inlineStr">
        <is>
          <t>This code appears to be part of a Presto project, which is an open-source distributed SQL query engine for big data analytics. The code defines a class called `TestingQueryRunner` that extends the `QueryRunner` interface from the same package. It provides a simple way to run queries against a Presto cluster without setting up a full server environment.
The constructor takes</t>
        </is>
      </c>
      <c r="E1527" t="n">
        <v>0.003</v>
      </c>
      <c r="F1527" t="n">
        <v>0.029</v>
      </c>
      <c r="G1527" t="n">
        <v>0.07580000000000001</v>
      </c>
      <c r="H1527" t="inlineStr">
        <is>
          <t>This code defines a package called `com.facebook.presto.execution` that contains classes related to query execution. The package includes a class named `ExecutionManager` that manages the execution of queries, as well as several other classes that provide support for query execution, such as `QueryStateMachine`, `TaskSourceFactory`, and `TaskExecutor`.
The code also includes some</t>
        </is>
      </c>
      <c r="I1527" t="n">
        <v>0.0044</v>
      </c>
      <c r="J1527" t="n">
        <v>0.06560000000000001</v>
      </c>
      <c r="K1527" t="n">
        <v>0.082</v>
      </c>
      <c r="L1527" t="inlineStr">
        <is>
          <t>The provided code defines a class named `TestingQueryRunner` that extends the `QueryRunner` class from Presto's execution package. It provides a testing environment for running queries against a Presto cluster.
The constructor initializes several fields, including a `Session` object, which represents the current session state, and a `QueryRunner` object, which manages the query</t>
        </is>
      </c>
      <c r="M1527" t="n">
        <v>0.0035</v>
      </c>
      <c r="N1527" t="n">
        <v>0.0328</v>
      </c>
      <c r="O1527" t="n">
        <v>0.0806</v>
      </c>
    </row>
    <row r="1528">
      <c r="A1528" t="inlineStr">
        <is>
          <t>presto</t>
        </is>
      </c>
      <c r="B1528" t="inlineStr">
        <is>
          <t>presto-tests/src/test/java/com/facebook/presto/execution/TestFinalQueryInfo.java</t>
        </is>
      </c>
      <c r="C1528">
        <f>HYPERLINK("https://github.com/prestodb/presto/blob/master/presto-tests/src/test/java/com/facebook/presto/execution/TestFinalQueryInfo.java")</f>
        <v/>
      </c>
      <c r="D1528" t="inlineStr">
        <is>
          <t>The provided code appears to be a Java implementation of a Presto query execution engine. It defines several classes related to query execution, including `QueryExecution`, `TaskManager`, and `QueryExecutor`. These classes appear to be responsible for managing the execution of queries across multiple nodes in a distributed system. The code also includes a number of utility classes and interfaces that provide support for various features such</t>
        </is>
      </c>
      <c r="E1528" t="n">
        <v>0.0028</v>
      </c>
      <c r="F1528" t="n">
        <v>0.0548</v>
      </c>
      <c r="G1528" t="n">
        <v>0.073</v>
      </c>
      <c r="H1528" t="inlineStr">
        <is>
          <t>This code appears to be a Java package containing various classes related to Presto's execution engine. The package includes several classes that implement different parts of the Presto query processing pipeline, such as the `Execution` class which manages the overall query execution process, and the `StatementClient` class which provides a client interface for interacting with the execution engine.
The package also includes</t>
        </is>
      </c>
      <c r="I1528" t="n">
        <v>0.0035</v>
      </c>
      <c r="J1528" t="n">
        <v>0.08450000000000001</v>
      </c>
      <c r="K1528" t="n">
        <v>0.1493</v>
      </c>
      <c r="L1528" t="inlineStr">
        <is>
          <t>The provided code defines a `DistributedQueryRunner` class that creates a Presto query engine instance using the Airframe framework. It sets up the necessary dependencies, including the TPC-H plugin, and starts the query engine. The `run()` method executes a given SQL statement against the query engine and returns the results as a `StatementClient`. The `close()` method shuts down</t>
        </is>
      </c>
      <c r="M1528" t="n">
        <v>0.0032</v>
      </c>
      <c r="N1528" t="n">
        <v>0.0303</v>
      </c>
      <c r="O1528" t="n">
        <v>0.0775</v>
      </c>
    </row>
    <row r="1529">
      <c r="A1529" t="inlineStr">
        <is>
          <t>presto</t>
        </is>
      </c>
      <c r="B1529" t="inlineStr">
        <is>
          <t>presto-tests/src/test/java/com/facebook/presto/execution/TestCompletedEventWarnings.java</t>
        </is>
      </c>
      <c r="C1529">
        <f>HYPERLINK("https://github.com/prestodb/presto/blob/master/presto-tests/src/test/java/com/facebook/presto/execution/TestCompletedEventWarnings.java")</f>
        <v/>
      </c>
      <c r="D1529" t="inlineStr">
        <is>
          <t>The provided code defines a set of classes related to Presto's execution engine. It includes several Java files that define various types and utilities used throughout the system. Some of these classes include:
* `com.facebook.presto.execution.TestEventListener`: This class provides a simple event listener implementation for testing purposes.
* `com.facebook.presto.execution</t>
        </is>
      </c>
      <c r="E1529" t="n">
        <v>0.0045</v>
      </c>
      <c r="F1529" t="n">
        <v>0.0645</v>
      </c>
      <c r="G1529" t="n">
        <v>0.1667</v>
      </c>
      <c r="H1529" t="inlineStr">
        <is>
          <t>This code defines a Presto execution engine that allows users to execute SQL queries against a database. The engine uses a Session object to manage the session state and configuration, and it includes a TestEventListener plugin that provides testing capabilities. The code also defines several other classes and interfaces related to query execution, such as QueryId, StageId, and WarningCollectorConfig. Overall, this code appears</t>
        </is>
      </c>
      <c r="I1529" t="n">
        <v>0.0034</v>
      </c>
      <c r="J1529" t="n">
        <v>0.0563</v>
      </c>
      <c r="K1529" t="n">
        <v>0.1111</v>
      </c>
      <c r="L1529" t="inlineStr">
        <is>
          <t>The code defines a class named `TestEventListener` that implements the `EventListener` interface from Presto's execution module. It listens for events related to query execution and provides a way to test the event listener plugin.
The class has several methods that handle different types of events, such as `onQueryStarted`, `onSplitCompleted`, and `onFailure`. These methods</t>
        </is>
      </c>
      <c r="M1529" t="n">
        <v>0.0041</v>
      </c>
      <c r="N1529" t="n">
        <v>0.0645</v>
      </c>
      <c r="O1529" t="n">
        <v>0.08</v>
      </c>
    </row>
    <row r="1530">
      <c r="A1530" t="inlineStr">
        <is>
          <t>presto</t>
        </is>
      </c>
      <c r="B1530" t="inlineStr">
        <is>
          <t>presto-tests/src/test/java/com/facebook/presto/execution/TestHistoryBasedStatsTracking.java</t>
        </is>
      </c>
      <c r="C1530">
        <f>HYPERLINK("https://github.com/prestodb/presto/blob/master/presto-tests/src/test/java/com/facebook/presto/execution/TestHistoryBasedStatsTracking.java")</f>
        <v/>
      </c>
      <c r="D1530" t="inlineStr">
        <is>
          <t>This code appears to be part of a Presto database management system. It defines several classes that implement various interfaces related to query planning and execution. The `com.facebook.presto.execution` package contains classes related to query execution, such as `QueryManager`, which manages the lifecycle of queries, and `TaskManager`, which schedules tasks for execution. The `com.</t>
        </is>
      </c>
      <c r="E1530" t="n">
        <v>0.0041</v>
      </c>
      <c r="F1530" t="n">
        <v>0.09379999999999999</v>
      </c>
      <c r="G1530" t="n">
        <v>0.16</v>
      </c>
      <c r="H1530" t="inlineStr">
        <is>
          <t>This code implements various Presto plugins that provide functionality for executing SQL queries. The package `com.facebook.presto.execution` defines classes related to query execution, such as `QueryManager`, which manages the lifecycle of queries, and `TaskManager`, which schedules tasks for execution. The package `com.facebook.presto.cost` provides cost estimation functions for planning</t>
        </is>
      </c>
      <c r="I1530" t="n">
        <v>0.0055</v>
      </c>
      <c r="J1530" t="n">
        <v>0.1311</v>
      </c>
      <c r="K1530" t="n">
        <v>0.1681</v>
      </c>
      <c r="L1530" t="inlineStr">
        <is>
          <t>The provided code defines a Presto plugin that provides various execution optimizations for query plans. It uses the Presto API to analyze the query plan and determine the best execution strategy based on factors such as cost, distribution, and data locality. The plugin also provides additional features such as filtering and aggregation optimization.</t>
        </is>
      </c>
      <c r="M1530" t="n">
        <v>0.0035</v>
      </c>
      <c r="N1530" t="n">
        <v>0.0328</v>
      </c>
      <c r="O1530" t="n">
        <v>0.08</v>
      </c>
    </row>
    <row r="1531">
      <c r="A1531" t="inlineStr">
        <is>
          <t>presto</t>
        </is>
      </c>
      <c r="B1531" t="inlineStr">
        <is>
          <t>presto-tests/src/test/java/com/facebook/presto/execution/TestingPlanCheckerProviderPlugin.java</t>
        </is>
      </c>
      <c r="C1531">
        <f>HYPERLINK("https://github.com/prestodb/presto/blob/master/presto-tests/src/test/java/com/facebook/presto/execution/TestingPlanCheckerProviderPlugin.java")</f>
        <v/>
      </c>
      <c r="D1531" t="inlineStr">
        <is>
          <t>The code defines a `PlanChecker` class that implements the `com.facebook.presto.spi.plan.PlanChecker` interface. It also provides a `PlanCheckerProvider` factory class that creates instances of the `PlanChecker` class based on the given context.
The `PlanChecker` class has two methods: `check()` and `</t>
        </is>
      </c>
      <c r="E1531" t="n">
        <v>0.0056</v>
      </c>
      <c r="F1531" t="n">
        <v>0.0784</v>
      </c>
      <c r="G1531" t="n">
        <v>0.0901</v>
      </c>
      <c r="H1531" t="inlineStr">
        <is>
          <t>This code defines a class named `PrestoExecution` that implements the `CoordinatorPlugin` interface from the Presto API. The class provides an implementation of the `getPlanCheckers()` method, which returns a list of plan checkers that can be used to validate query plans. The returned list includes instances of the `PlanChecker` class, which perform various checks on the</t>
        </is>
      </c>
      <c r="I1531" t="n">
        <v>0.004</v>
      </c>
      <c r="J1531" t="n">
        <v>0.0635</v>
      </c>
      <c r="K1531" t="n">
        <v>0.1181</v>
      </c>
      <c r="L1531" t="inlineStr">
        <is>
          <t>The provided code defines a `PlanChecker` class that implements the `PlanCheckerProvider` interface from Presto's SPI (Service Provider Interface). It provides a list of plan checkers that can be used during query execution. The `PlanChecker` class takes a map of configuration properties as input and uses them to create instances of `PlanChecker` objects.</t>
        </is>
      </c>
      <c r="M1531" t="n">
        <v>0.0042</v>
      </c>
      <c r="N1531" t="n">
        <v>0.06560000000000001</v>
      </c>
      <c r="O1531" t="n">
        <v>0.121</v>
      </c>
    </row>
    <row r="1532">
      <c r="A1532" t="inlineStr">
        <is>
          <t>presto</t>
        </is>
      </c>
      <c r="B1532" t="inlineStr">
        <is>
          <t>presto-tests/src/test/java/com/facebook/presto/execution/resourceGroups/TestResourceGroupIntegration.java</t>
        </is>
      </c>
      <c r="C1532">
        <f>HYPERLINK("https://github.com/prestodb/presto/blob/master/presto-tests/src/test/java/com/facebook/presto/execution/resourceGroups/TestResourceGroupIntegration.java")</f>
        <v/>
      </c>
      <c r="D1532" t="inlineStr">
        <is>
          <t>This code appears to be part of a Presto resource group manager plugin, which manages the allocation of resources such as CPU, memory, and I/O bandwidth among different queries running on a Presto server. The code defines a class called `PrestoResourceGroupManager` that implements the `ResourceGroupManagerPlugin` interface from the Presto API.
The `Presto</t>
        </is>
      </c>
      <c r="E1532" t="n">
        <v>0.0046</v>
      </c>
      <c r="F1532" t="n">
        <v>0.06560000000000001</v>
      </c>
      <c r="G1532" t="n">
        <v>0.1613</v>
      </c>
      <c r="H1532" t="inlineStr">
        <is>
          <t>This code defines a resource group manager plugin for Presto, which allows users to manage resources such as CPU, memory, and I/O bandwidth for queries running on a distributed query engine like Presto. The code imports several classes from other packages within the same repository, including `com.facebook.presto.resourceGroups`, `com.facebook.presto.server`, and `</t>
        </is>
      </c>
      <c r="I1532" t="n">
        <v>0.0044</v>
      </c>
      <c r="J1532" t="n">
        <v>0.0625</v>
      </c>
      <c r="K1532" t="n">
        <v>0.123</v>
      </c>
      <c r="L1532" t="inlineStr">
        <is>
          <t>The provided code defines a resource group manager plugin for Presto that allows users to create and manage resource groups within a Presto cluster. The plugin provides a way to allocate resources to different resource groups based on their priority and availability. It also includes methods for retrieving information about existing resource groups and managing their allocation.</t>
        </is>
      </c>
      <c r="M1532" t="n">
        <v>0.0032</v>
      </c>
      <c r="N1532" t="n">
        <v>0.0308</v>
      </c>
      <c r="O1532" t="n">
        <v>0.0388</v>
      </c>
    </row>
    <row r="1533">
      <c r="A1533" t="inlineStr">
        <is>
          <t>presto</t>
        </is>
      </c>
      <c r="B1533" t="inlineStr">
        <is>
          <t>presto-tests/src/test/java/com/facebook/presto/execution/resourceGroups/db/TestQueuesDb.java</t>
        </is>
      </c>
      <c r="C1533">
        <f>HYPERLINK("https://github.com/prestodb/presto/blob/master/presto-tests/src/test/java/com/facebook/presto/execution/resourceGroups/db/TestQueuesDb.java")</f>
        <v/>
      </c>
      <c r="D1533" t="inlineStr">
        <is>
          <t>This Java code defines a class called `DbBasedResourceGroupManager` that implements the `InternalResourceGroupManager` interface from Presto's resource management system. It uses H2 database as its data storage mechanism. The class has several dependencies such as `Session`, `DispatchManager`, `QueryManager`, `H2ResourceGroupsDao`, and `ReloadingResourceGroupConfiguration</t>
        </is>
      </c>
      <c r="E1533" t="n">
        <v>0.0061</v>
      </c>
      <c r="F1533" t="n">
        <v>0.1224</v>
      </c>
      <c r="G1533" t="n">
        <v>0.1786</v>
      </c>
      <c r="H1533" t="inlineStr">
        <is>
          <t>This code defines a Java package named `com.facebook.presto.execution.resourceGroups.db` that provides a database-backed implementation of resource groups for Presto. It uses H2 as its underlying data store and implements the `InternalResourceGroupManager` interface from the Presto project. The package includes several classes, including `H2ResourceGroupsDao`, which provides</t>
        </is>
      </c>
      <c r="I1533" t="n">
        <v>0.0055</v>
      </c>
      <c r="J1533" t="n">
        <v>0.1034</v>
      </c>
      <c r="K1533" t="n">
        <v>0.1724</v>
      </c>
      <c r="L1533" t="inlineStr">
        <is>
          <t>The provided code defines a resource group manager that uses a database as its data store. It provides methods for creating, updating, and deleting resource groups, as well as retrieving their configurations. The manager also includes support for reloading configuration changes from the database.</t>
        </is>
      </c>
      <c r="M1533" t="n">
        <v>0.0042</v>
      </c>
      <c r="N1533" t="n">
        <v>0.0385</v>
      </c>
      <c r="O1533" t="n">
        <v>0.0862</v>
      </c>
    </row>
    <row r="1534">
      <c r="A1534" t="inlineStr">
        <is>
          <t>presto</t>
        </is>
      </c>
      <c r="B1534" t="inlineStr">
        <is>
          <t>presto-tests/src/test/java/com/facebook/presto/execution/resourceGroups/db/H2ResourceGroupConfigurationManagerFactory.java</t>
        </is>
      </c>
      <c r="C1534">
        <f>HYPERLINK("https://github.com/prestodb/presto/blob/master/presto-tests/src/test/java/com/facebook/presto/execution/resourceGroups/db/H2ResourceGroupConfigurationManagerFactory.java")</f>
        <v/>
      </c>
      <c r="D1534" t="inlineStr">
        <is>
          <t>This code appears to be part of a Presto database management system, specifically the resource groups module. It defines a class called `DbConfigStore` that implements the `ReloadingResourceGroupConfigurationManager` interface. The class uses the Airline framework to load configuration from a JSON file named `config.json`. The `config.json` file specifies the resource group configurations using the</t>
        </is>
      </c>
      <c r="E1534" t="n">
        <v>0.0041</v>
      </c>
      <c r="F1534" t="n">
        <v>0.09520000000000001</v>
      </c>
      <c r="G1534" t="n">
        <v>0.12</v>
      </c>
      <c r="H1534" t="inlineStr">
        <is>
          <t>This code defines a package called `com.facebook.presto.execution.resourceGroups.db` that provides classes related to managing resource groups. The package includes a class called `ReloadingResourceGroupConfigurationManager`, which is responsible for reloading configuration data from a database. It also includes a class called `VariableMap`, which represents a map of variables used in resource group configurations</t>
        </is>
      </c>
      <c r="I1534" t="n">
        <v>0.0037</v>
      </c>
      <c r="J1534" t="n">
        <v>0.0317</v>
      </c>
      <c r="K1534" t="n">
        <v>0.082</v>
      </c>
      <c r="L1534" t="inlineStr">
        <is>
          <t>The provided code defines a resource group configuration manager that uses a database as the backing store for resource group configurations. It leverages Airlift's dependency injection framework to manage the lifecycle of the component and its dependencies. The class also provides methods for creating and updating resource groups based on the current state of the database.</t>
        </is>
      </c>
      <c r="M1534" t="n">
        <v>0.0033</v>
      </c>
      <c r="N1534" t="n">
        <v>0.0308</v>
      </c>
      <c r="O1534" t="n">
        <v>0.0781</v>
      </c>
    </row>
    <row r="1535">
      <c r="A1535" t="inlineStr">
        <is>
          <t>presto</t>
        </is>
      </c>
      <c r="B1535" t="inlineStr">
        <is>
          <t>presto-tests/src/test/java/com/facebook/presto/execution/resourceGroups/db/TestResourceGroupDbIntegration.java</t>
        </is>
      </c>
      <c r="C1535">
        <f>HYPERLINK("https://github.com/prestodb/presto/blob/master/presto-tests/src/test/java/com/facebook/presto/execution/resourceGroups/db/TestResourceGroupDbIntegration.java")</f>
        <v/>
      </c>
      <c r="D1535" t="inlineStr">
        <is>
          <t>This code appears to be part of a test suite for PrestoDB's resource management system. It defines a set of tests that exercise various aspects of the system using a mocked query runner. The tests check the behavior of the resource manager when it encounters different types of queries and when resources become available or unavailable. The code also includes some utility functions for setting up and running</t>
        </is>
      </c>
      <c r="E1535" t="n">
        <v>0.0032</v>
      </c>
      <c r="F1535" t="n">
        <v>0.0779</v>
      </c>
      <c r="G1535" t="n">
        <v>0.1071</v>
      </c>
      <c r="H1535" t="inlineStr">
        <is>
          <t>The code provides an implementation of resource group management using a database as the backing store. It includes a test suite that exercises the functionality of the system.</t>
        </is>
      </c>
      <c r="I1535" t="n">
        <v>0.0067</v>
      </c>
      <c r="J1535" t="n">
        <v>0.1111</v>
      </c>
      <c r="K1535" t="n">
        <v>0.1</v>
      </c>
      <c r="L1535" t="inlineStr">
        <is>
          <t>The provided code defines a test suite for Presto's resource group management system using H2 as the database. It includes several tests that verify the correctness of various aspects of the system, such as query scheduling, resource allocation, and resource revocation. The code also includes comments and documentation that provide additional context and explain the reasoning behind certain design decisions.</t>
        </is>
      </c>
      <c r="M1535" t="n">
        <v>0.003</v>
      </c>
      <c r="N1535" t="n">
        <v>0.029</v>
      </c>
      <c r="O1535" t="n">
        <v>0.07580000000000001</v>
      </c>
    </row>
    <row r="1536">
      <c r="A1536" t="inlineStr">
        <is>
          <t>presto</t>
        </is>
      </c>
      <c r="B1536" t="inlineStr">
        <is>
          <t>presto-tests/src/test/java/com/facebook/presto/execution/resourceGroups/db/TestDistributedQueuesDb.java</t>
        </is>
      </c>
      <c r="C1536">
        <f>HYPERLINK("https://github.com/prestodb/presto/blob/master/presto-tests/src/test/java/com/facebook/presto/execution/resourceGroups/db/TestDistributedQueuesDb.java")</f>
        <v/>
      </c>
      <c r="D1536" t="inlineStr">
        <is>
          <t>This code appears to be part of a Presto SQL database management system. It defines several classes related to resource groups, which are used to manage the allocation of resources such as CPU and memory among queries running on the system. The main class `H2ResourceGroupsDao` provides methods for interacting with a H2 database that stores information about resource groups and their associated properties. The `</t>
        </is>
      </c>
      <c r="E1536" t="n">
        <v>0.0033</v>
      </c>
      <c r="F1536" t="n">
        <v>0.0556</v>
      </c>
      <c r="G1536" t="n">
        <v>0.1095</v>
      </c>
      <c r="H1536" t="inlineStr">
        <is>
          <t>This code defines a resource group manager that uses a H2 database as its storage layer. It provides methods for creating, updating, and deleting resource groups, as well as retrieving information about existing resource groups. The manager also includes a plugin system for adding new resource management strategies.
The code imports several packages from Presto, including `com.facebook.presto.execution.</t>
        </is>
      </c>
      <c r="I1536" t="n">
        <v>0.0038</v>
      </c>
      <c r="J1536" t="n">
        <v>0.0588</v>
      </c>
      <c r="K1536" t="n">
        <v>0.1163</v>
      </c>
      <c r="L1536" t="inlineStr">
        <is>
          <t>The provided code defines a class named `H2ResourceGroupsDao` that implements the `ResourceGroupsDao` interface from the Presto framework. It provides methods for managing resource groups using H2 database. The class has several dependencies, including `BlackHolePlugin`, `ResourceGroupRuntimeInfo`, `QueryId`, `ResourceGroupId`, and `Identity`.
The</t>
        </is>
      </c>
      <c r="M1536" t="n">
        <v>0.0055</v>
      </c>
      <c r="N1536" t="n">
        <v>0.0833</v>
      </c>
      <c r="O1536" t="n">
        <v>0.1339</v>
      </c>
    </row>
    <row r="1537">
      <c r="A1537" t="inlineStr">
        <is>
          <t>presto</t>
        </is>
      </c>
      <c r="B1537" t="inlineStr">
        <is>
          <t>presto-tests/src/test/java/com/facebook/presto/execution/resourceGroups/db/H2ResourceGroupsModule.java</t>
        </is>
      </c>
      <c r="C1537">
        <f>HYPERLINK("https://github.com/prestodb/presto/blob/master/presto-tests/src/test/java/com/facebook/presto/execution/resourceGroups/db/H2ResourceGroupsModule.java")</f>
        <v/>
      </c>
      <c r="D1537" t="inlineStr">
        <is>
          <t>This code defines a resource group manager that uses a database as its configuration source. The `DbManager` class implements the `Manager` interface and provides methods for creating, updating, and deleting resource groups. It also includes a `DbResourceGroupConfig` class that represents the configuration of a resource group, which includes information such as the name, id, and hard and soft limits for CPU and</t>
        </is>
      </c>
      <c r="E1537" t="n">
        <v>0.0039</v>
      </c>
      <c r="F1537" t="n">
        <v>0.0857</v>
      </c>
      <c r="G1537" t="n">
        <v>0.1493</v>
      </c>
      <c r="H1537" t="inlineStr">
        <is>
          <t>This code defines a Java package called `com.facebook.presto.execution.resourceGroups.db` that provides a database implementation of resource groups for Presto. The package includes several classes and interfaces, including:
* `DbManagerSpecProvider`: A class that implements the `Manager` interface and provides a way to retrieve resource group configurations from a database.
* `Db</t>
        </is>
      </c>
      <c r="I1537" t="n">
        <v>0.0049</v>
      </c>
      <c r="J1537" t="n">
        <v>0.1</v>
      </c>
      <c r="K1537" t="n">
        <v>0.124</v>
      </c>
      <c r="L1537" t="inlineStr">
        <is>
          <t>The code defines a Presto resource group manager that uses a database as its backing store. It provides a DbManagerSpecProvider implementation that creates a ResourceGroupsDao instance using H2DaoProvider, which allows the manager to interact with the database. The manager also has a ForEnvironment annotation indicating that it should be used for a particular environment.</t>
        </is>
      </c>
      <c r="M1537" t="n">
        <v>0</v>
      </c>
      <c r="N1537" t="n">
        <v>0.0323</v>
      </c>
      <c r="O1537" t="n">
        <v>0.0794</v>
      </c>
    </row>
    <row r="1538">
      <c r="A1538" t="inlineStr">
        <is>
          <t>presto</t>
        </is>
      </c>
      <c r="B1538" t="inlineStr">
        <is>
          <t>presto-tests/src/test/java/com/facebook/presto/execution/resourceGroups/db/TestEnvironments.java</t>
        </is>
      </c>
      <c r="C1538">
        <f>HYPERLINK("https://github.com/prestodb/presto/blob/master/presto-tests/src/test/java/com/facebook/presto/execution/resourceGroups/db/TestEnvironments.java")</f>
        <v/>
      </c>
      <c r="D1538" t="inlineStr">
        <is>
          <t>The provided code defines a test suite for the `com.facebook.presto.execution.resourceGroups.db` package. It includes a single test method that verifies the behavior of the `H2ResourceGroupsDao` class when handling queries. Specifically, it tests whether the dao correctly updates the query state in the database based on the current state of the query execution. The</t>
        </is>
      </c>
      <c r="E1538" t="n">
        <v>0</v>
      </c>
      <c r="F1538" t="n">
        <v>0</v>
      </c>
      <c r="G1538" t="n">
        <v>0</v>
      </c>
      <c r="H1538" t="inlineStr">
        <is>
          <t>This code appears to be part of a Presto project, specifically the `com.facebook.presto.execution.resourceGroups.db` package. It defines a class called `H2ResourceGroupsDao`, which provides a database interface for managing resource groups in Presto. The class has several methods that perform various operations related to resource groups, such as creating new resource groups,</t>
        </is>
      </c>
      <c r="I1538" t="n">
        <v>0.0037</v>
      </c>
      <c r="J1538" t="n">
        <v>0.0317</v>
      </c>
      <c r="K1538" t="n">
        <v>0.082</v>
      </c>
      <c r="L1538" t="inlineStr">
        <is>
          <t>The provided code defines a test case for the `com.facebook.presto.execution.resourceGroups.db` package. It uses the H2 database implementation of the `com.facebook.presto.resourceGroups.db.H2ResourceGroupsDao` class to create, update, and delete resource groups. The test creates a new query ID using the `com.facebook</t>
        </is>
      </c>
      <c r="M1538" t="n">
        <v>0.0049</v>
      </c>
      <c r="N1538" t="n">
        <v>0.0702</v>
      </c>
      <c r="O1538" t="n">
        <v>0.1364</v>
      </c>
    </row>
    <row r="1539">
      <c r="A1539" t="inlineStr">
        <is>
          <t>presto</t>
        </is>
      </c>
      <c r="B1539" t="inlineStr">
        <is>
          <t>presto-tests/src/test/java/com/facebook/presto/execution/resourceGroups/db/H2TestUtil.java</t>
        </is>
      </c>
      <c r="C1539">
        <f>HYPERLINK("https://github.com/prestodb/presto/blob/master/presto-tests/src/test/java/com/facebook/presto/execution/resourceGroups/db/H2TestUtil.java")</f>
        <v/>
      </c>
      <c r="D1539" t="inlineStr">
        <is>
          <t>This code defines a resource group manager that uses a database as its backing store. It provides methods for creating, updating, and deleting resource groups, as well as querying their current state. The manager also includes logic for selecting which resource group should be used for a given query based on the user's session information.
The main classes defined in this module are `DbResourceGroupManager</t>
        </is>
      </c>
      <c r="E1539" t="n">
        <v>0.0037</v>
      </c>
      <c r="F1539" t="n">
        <v>0.0822</v>
      </c>
      <c r="G1539" t="n">
        <v>0.1471</v>
      </c>
      <c r="H1539" t="inlineStr">
        <is>
          <t>This code defines a Presto resource group manager that uses a database as its backing store. It provides a JSON codec for serializing and deserializing resource groups and their configurations, and it includes a H2 DAO provider for interacting with the database. The package also includes classes for managing queries and sessions, as well as utility functions for working with resource groups. Overall,</t>
        </is>
      </c>
      <c r="I1539" t="n">
        <v>0.0034</v>
      </c>
      <c r="J1539" t="n">
        <v>0.0563</v>
      </c>
      <c r="K1539" t="n">
        <v>0.1111</v>
      </c>
      <c r="L1539" t="inlineStr">
        <is>
          <t>The provided code defines a resource group selector that uses a database to store and manage resource groups. It leverages H2 as the underlying data storage solution. The code also provides a JSON codec for serializing and deserializing resource group configurations. The overall functionality of the code can be summarized as follows:
* The `DbResourceGroupSelector` class implements the `ResourceGroup</t>
        </is>
      </c>
      <c r="M1539" t="n">
        <v>0.0041</v>
      </c>
      <c r="N1539" t="n">
        <v>0.0303</v>
      </c>
      <c r="O1539" t="n">
        <v>0.1145</v>
      </c>
    </row>
    <row r="1540">
      <c r="A1540" t="inlineStr">
        <is>
          <t>presto</t>
        </is>
      </c>
      <c r="B1540" t="inlineStr">
        <is>
          <t>presto-tests/src/test/java/com/facebook/presto/execution/resourceGroups/db/H2ResourceGroupManagerPlugin.java</t>
        </is>
      </c>
      <c r="C1540">
        <f>HYPERLINK("https://github.com/prestodb/presto/blob/master/presto-tests/src/test/java/com/facebook/presto/execution/resourceGroups/db/H2ResourceGroupManagerPlugin.java")</f>
        <v/>
      </c>
      <c r="D1540" t="inlineStr">
        <is>
          <t>The `H2ResourceGroupManagerPlugin` class is a plugin that provides a resource group configuration manager using the H2 database. It implements the `Plugin` interface from Presto's SPI (Service Provider Interface), which allows it to be discovered and loaded by the Presto server.
The plugin defines a single method, `createResourceGroupConfigurationManager`, which returns an</t>
        </is>
      </c>
      <c r="E1540" t="n">
        <v>0.0044</v>
      </c>
      <c r="F1540" t="n">
        <v>0.0678</v>
      </c>
      <c r="G1540" t="n">
        <v>0.123</v>
      </c>
      <c r="H1540" t="inlineStr">
        <is>
          <t>This plugin provides a resource group manager implementation using the H2 database management system. It is part of the Presto project's execution module and serves as a configuration manager for resource groups. The plugin exposes a factory method that creates instances of the `H2ResourceGroupManager` class, which manages the allocation and deallocation of resources based on the configured rules. The plugin also defines</t>
        </is>
      </c>
      <c r="I1540" t="n">
        <v>0.0039</v>
      </c>
      <c r="J1540" t="n">
        <v>0.08450000000000001</v>
      </c>
      <c r="K1540" t="n">
        <v>0.1866</v>
      </c>
      <c r="L1540" t="inlineStr">
        <is>
          <t>The `H2ResourceGroupManagerPlugin` class provides a resource group manager plugin that uses a relational database management system (DBMS) called H2 as its underlying storage mechanism. It implements the `com.facebook.presto.spi.resourceGroups.ResourceGroupConfigurationManagerFactory` interface, which allows Presto to manage resource groups using this plugin.
The plugin'</t>
        </is>
      </c>
      <c r="M1540" t="n">
        <v>0.0045</v>
      </c>
      <c r="N1540" t="n">
        <v>0.037</v>
      </c>
      <c r="O1540" t="n">
        <v>0.1327</v>
      </c>
    </row>
    <row r="1541">
      <c r="A1541" t="inlineStr">
        <is>
          <t>presto</t>
        </is>
      </c>
      <c r="B1541" t="inlineStr">
        <is>
          <t>presto-tests/src/test/java/com/facebook/presto/execution/resourceGroups/db/TestDistributedQueuesSchedulingPolicy.java</t>
        </is>
      </c>
      <c r="C1541">
        <f>HYPERLINK("https://github.com/prestodb/presto/blob/master/presto-tests/src/test/java/com/facebook/presto/execution/resourceGroups/db/TestDistributedQueuesSchedulingPolicy.java")</f>
        <v/>
      </c>
      <c r="D1541" t="inlineStr">
        <is>
          <t>This code appears to be part of a PrestoDB database management system. It defines several classes related to resource groups, which are used to manage the allocation of resources such as CPU and memory to queries running on the system. The `H2ResourceGroupsDao` class provides a way to interact with a H2 database that stores information about resource groups, while the `ResourceGroupRuntimeInfo</t>
        </is>
      </c>
      <c r="E1541" t="n">
        <v>0.0036</v>
      </c>
      <c r="F1541" t="n">
        <v>0.058</v>
      </c>
      <c r="G1541" t="n">
        <v>0.1128</v>
      </c>
      <c r="H1541" t="inlineStr">
        <is>
          <t>This code appears to be part of a PrestoDB database management system, specifically the resource groups module. It defines several classes and methods related to managing resources and query execution within the system. The main class, `com.facebook.presto.execution.resourceGroups.db.H2ResourceGroupsDao`, provides access to a H2 database that stores information about resource groups and</t>
        </is>
      </c>
      <c r="I1541" t="n">
        <v>0.0044</v>
      </c>
      <c r="J1541" t="n">
        <v>0.09379999999999999</v>
      </c>
      <c r="K1541" t="n">
        <v>0.123</v>
      </c>
      <c r="L1541" t="inlineStr">
        <is>
          <t>The provided code defines a resource group runtime info class that provides information about the current state of a resource group. It uses the H2 resource groups dao to retrieve data from a database and the black hole plugin to execute queries. The class also includes methods for updating the state of the resource group and retrieving the query id associated with the current session.</t>
        </is>
      </c>
      <c r="M1541" t="n">
        <v>0.0028</v>
      </c>
      <c r="N1541" t="n">
        <v>0.0274</v>
      </c>
      <c r="O1541" t="n">
        <v>0.073</v>
      </c>
    </row>
    <row r="1542">
      <c r="A1542" t="inlineStr">
        <is>
          <t>presto</t>
        </is>
      </c>
      <c r="B1542" t="inlineStr">
        <is>
          <t>presto-tests/src/test/java/com/facebook/presto/server/TestClusterStatsResource.java</t>
        </is>
      </c>
      <c r="C1542">
        <f>HYPERLINK("https://github.com/prestodb/presto/blob/master/presto-tests/src/test/java/com/facebook/presto/server/TestClusterStatsResource.java")</f>
        <v/>
      </c>
      <c r="D1542" t="inlineStr">
        <is>
          <t>This code appears to be part of a Presto server implementation, which is a distributed SQL query engine. The code defines several classes related to HTTP client interactions using the Jetty library and Thrift protocol for serializing data between clients and servers. It also includes some utility functions for working with Thrift requests and responses. Overall, it seems like this codebase is focused on implementing the transport</t>
        </is>
      </c>
      <c r="E1542" t="n">
        <v>0.0032</v>
      </c>
      <c r="F1542" t="n">
        <v>0.1067</v>
      </c>
      <c r="G1542" t="n">
        <v>0.1439</v>
      </c>
      <c r="H1542" t="inlineStr">
        <is>
          <t>This code defines a Java package called `com.facebook.presto.server` that provides various classes related to implementing a server component. The package includes several files, each of which performs a different function. Here's a brief overview of what these files do:
* `HttpClient`: Defines a class called `HttpClient` that extends the `JettyHttp</t>
        </is>
      </c>
      <c r="I1542" t="n">
        <v>0.0037</v>
      </c>
      <c r="J1542" t="n">
        <v>0.0984</v>
      </c>
      <c r="K1542" t="n">
        <v>0.082</v>
      </c>
      <c r="L1542" t="inlineStr">
        <is>
          <t>The code defines a Presto server that communicates with other nodes over HTTP using Drift protocol. It uses Jetty as the HTTP client library and Thrift for serialization and deserialization of data. The server handles incoming requests and sends them to other nodes in the cluster via HTTP POST requests. The response from each node is then processed and returned to the original requester.</t>
        </is>
      </c>
      <c r="M1542" t="n">
        <v>0.0028</v>
      </c>
      <c r="N1542" t="n">
        <v>0.0278</v>
      </c>
      <c r="O1542" t="n">
        <v>0.0735</v>
      </c>
    </row>
    <row r="1543">
      <c r="A1543" t="inlineStr">
        <is>
          <t>presto</t>
        </is>
      </c>
      <c r="B1543" t="inlineStr">
        <is>
          <t>presto-tests/src/test/java/com/facebook/presto/server/TestServerInfoResource.java</t>
        </is>
      </c>
      <c r="C1543">
        <f>HYPERLINK("https://github.com/prestodb/presto/blob/master/presto-tests/src/test/java/com/facebook/presto/server/TestServerInfoResource.java")</f>
        <v/>
      </c>
      <c r="D1543" t="inlineStr">
        <is>
          <t>The provided code appears to be a Java implementation of a HTTP client using the Jetty library for handling HTTP requests and responses. It also includes support for Thrift protocol encoding and decoding using the Drift library.
The `HttpClient` class is used as the main entry point for sending HTTP requests, while the `JettyHttpClient` class provides the actual HTTP request handling</t>
        </is>
      </c>
      <c r="E1543" t="n">
        <v>0.003</v>
      </c>
      <c r="F1543" t="n">
        <v>0.058</v>
      </c>
      <c r="G1543" t="n">
        <v>0.1128</v>
      </c>
      <c r="H1543" t="inlineStr">
        <is>
          <t>This code implements a server that serves requests using the Jetty HTTP client library. It uses the Thrift protocol to send and receive data over the network. The code also includes a number of dependencies, including Airlift's HTTP client and Drift's Thrift codec manager. The main class, `PrestoServer`, sets up the server and handles incoming requests.</t>
        </is>
      </c>
      <c r="I1543" t="n">
        <v>0.0043</v>
      </c>
      <c r="J1543" t="n">
        <v>0.09089999999999999</v>
      </c>
      <c r="K1543" t="n">
        <v>0.1563</v>
      </c>
      <c r="L1543" t="inlineStr">
        <is>
          <t>The code defines a Presto server that communicates with other nodes over HTTP using the Jetty HTTP client library. It uses Thrift protocol for serialization and deserialization, and the Drift library for communication between nodes. The server listens on port 8080 and handles incoming requests by sending them to other nodes through the HTTP client. The response from the remote node is</t>
        </is>
      </c>
      <c r="M1543" t="n">
        <v>0.0029</v>
      </c>
      <c r="N1543" t="n">
        <v>0.0286</v>
      </c>
      <c r="O1543" t="n">
        <v>0.0746</v>
      </c>
    </row>
    <row r="1544">
      <c r="A1544" t="inlineStr">
        <is>
          <t>presto</t>
        </is>
      </c>
      <c r="B1544" t="inlineStr">
        <is>
          <t>presto-tests/src/test/java/com/facebook/presto/server/TestTaskInfoResource.java</t>
        </is>
      </c>
      <c r="C1544">
        <f>HYPERLINK("https://github.com/prestodb/presto/blob/master/presto-tests/src/test/java/com/facebook/presto/server/TestTaskInfoResource.java")</f>
        <v/>
      </c>
      <c r="D1544" t="inlineStr">
        <is>
          <t>This code appears to be a Java implementation of a Presto server, which is a distributed SQL query engine. It includes several classes that provide various functionalities such as HTTP client, query ID generator, stage info, etc. The code also includes a main method that starts the Presto server. Overall, it seems like this codebase provides the foundation for a Presto server application.</t>
        </is>
      </c>
      <c r="E1544" t="n">
        <v>0.0029</v>
      </c>
      <c r="F1544" t="n">
        <v>0.08450000000000001</v>
      </c>
      <c r="G1544" t="n">
        <v>0.1111</v>
      </c>
      <c r="H1544" t="inlineStr">
        <is>
          <t>This repository contains the source code for the Presto server, which is a distributed SQL query engine designed for running interactive analytical queries against large data sets in real time. The code includes various classes and functions related to HTTP requests, JSON parsing, and database connections. It also defines a QueryIdGenerator class that generates unique identifiers for each query executed through the system. Additionally, it includes a</t>
        </is>
      </c>
      <c r="I1544" t="n">
        <v>0.0032</v>
      </c>
      <c r="J1544" t="n">
        <v>0.08</v>
      </c>
      <c r="K1544" t="n">
        <v>0.1079</v>
      </c>
      <c r="L1544" t="inlineStr">
        <is>
          <t>The provided code implements a Presto server that communicates with other components through HTTP requests using the Jetty HTTP client library. It generates query IDs using the QueryIdGenerator class and creates StageInfo objects based on the response from the server.</t>
        </is>
      </c>
      <c r="M1544" t="n">
        <v>0.0055</v>
      </c>
      <c r="N1544" t="n">
        <v>0.0833</v>
      </c>
      <c r="O1544" t="n">
        <v>0.1339</v>
      </c>
    </row>
    <row r="1545">
      <c r="A1545" t="inlineStr">
        <is>
          <t>presto</t>
        </is>
      </c>
      <c r="B1545" t="inlineStr">
        <is>
          <t>presto-tests/src/test/java/com/facebook/presto/server/TestCompression.java</t>
        </is>
      </c>
      <c r="C1545">
        <f>HYPERLINK("https://github.com/prestodb/presto/blob/master/presto-tests/src/test/java/com/facebook/presto/server/TestCompression.java")</f>
        <v/>
      </c>
      <c r="D1545" t="inlineStr">
        <is>
          <t>The `TestCompression` class tests the compression feature of Presto using a DistributedQueryRunner. It creates a query runner instance and runs a series of queries that exercise different parts of the compression algorithm. The test asserts that the results match expectations.</t>
        </is>
      </c>
      <c r="E1545" t="n">
        <v>0.0046</v>
      </c>
      <c r="F1545" t="n">
        <v>0.0417</v>
      </c>
      <c r="G1545" t="n">
        <v>0.0893</v>
      </c>
      <c r="H1545" t="inlineStr">
        <is>
          <t>This code defines a Java package called `com.facebook.presto.server` that provides a set of classes and interfaces related to Presto's query engine. The package includes a single class called `TestCompression`, which has a single method called `testCompression`.
The `testCompression` method is annotated as a JUnit test case, indicating that it</t>
        </is>
      </c>
      <c r="I1545" t="n">
        <v>0.0045</v>
      </c>
      <c r="J1545" t="n">
        <v>0.06560000000000001</v>
      </c>
      <c r="K1545" t="n">
        <v>0.08260000000000001</v>
      </c>
      <c r="L1545" t="inlineStr">
        <is>
          <t>The code provides a unit test for compression functionality in Presto server. It creates a DistributedQueryRunner instance using TPC-H queries, runs a query, and asserts that the result set is not null and has a non-zero size. The test also checks if the query ID is valid and not empty.</t>
        </is>
      </c>
      <c r="M1545" t="n">
        <v>0.0044</v>
      </c>
      <c r="N1545" t="n">
        <v>0.0667</v>
      </c>
      <c r="O1545" t="n">
        <v>0.082</v>
      </c>
    </row>
    <row r="1546">
      <c r="A1546" t="inlineStr">
        <is>
          <t>presto</t>
        </is>
      </c>
      <c r="B1546" t="inlineStr">
        <is>
          <t>presto-tests/src/test/java/com/facebook/presto/server/TestAsyncPageTransportServlet.java</t>
        </is>
      </c>
      <c r="C1546">
        <f>HYPERLINK("https://github.com/prestodb/presto/blob/master/presto-tests/src/test/java/com/facebook/presto/server/TestAsyncPageTransportServlet.java")</f>
        <v/>
      </c>
      <c r="D1546" t="inlineStr">
        <is>
          <t>This code appears to be part of a Presto server implementation, specifically related to handling HTTP requests and responses. It defines several classes and methods that handle tasks such as parsing request headers, generating response headers, and managing output buffers. The code also includes comments and documentation explaining its purpose and usage.</t>
        </is>
      </c>
      <c r="E1546" t="n">
        <v>0.0042</v>
      </c>
      <c r="F1546" t="n">
        <v>0.1</v>
      </c>
      <c r="G1546" t="n">
        <v>0.121</v>
      </c>
      <c r="H1546" t="inlineStr">
        <is>
          <t>This code appears to be part of a Java web application that serves as a RESTful API for managing tasks. The main entry point is a servlet class called `com.facebook.presto.server.PrestoServer`, which handles incoming HTTP requests and routes them to appropriate handlers based on their URL paths.
The servlet class imports several other classes from the Presto project's</t>
        </is>
      </c>
      <c r="I1546" t="n">
        <v>0.0038</v>
      </c>
      <c r="J1546" t="n">
        <v>0.0571</v>
      </c>
      <c r="K1546" t="n">
        <v>0.1163</v>
      </c>
      <c r="L1546" t="inlineStr">
        <is>
          <t>The provided code implements a REST API endpoint that allows clients to retrieve data from Presto's execution engine. The endpoint accepts HTTP GET requests and returns a JSON response containing task statuses and other relevant information.
The implementation uses Guava's `ImmutableListMultimap` and `ImmutableMap` classes to create immutable collections that store task IDs and their corresponding output</t>
        </is>
      </c>
      <c r="M1546" t="n">
        <v>0.0039</v>
      </c>
      <c r="N1546" t="n">
        <v>0.0606</v>
      </c>
      <c r="O1546" t="n">
        <v>0.1172</v>
      </c>
    </row>
    <row r="1547">
      <c r="A1547" t="inlineStr">
        <is>
          <t>presto</t>
        </is>
      </c>
      <c r="B1547" t="inlineStr">
        <is>
          <t>presto-tests/src/test/java/com/facebook/presto/server/TestResourceGroupStateInfoResource.java</t>
        </is>
      </c>
      <c r="C1547">
        <f>HYPERLINK("https://github.com/prestodb/presto/blob/master/presto-tests/src/test/java/com/facebook/presto/server/TestResourceGroupStateInfoResource.java")</f>
        <v/>
      </c>
      <c r="D1547" t="inlineStr">
        <is>
          <t>This code appears to be a Java program that sets up a Presto server using the `com.facebook.presto` package. The program creates a new instance of the `TestingPrestoServer` class from the `com.facebook.presto.server` package, which is a testing implementation of the Presto server. It then configures the server using the `FileResource</t>
        </is>
      </c>
      <c r="E1547" t="n">
        <v>0.0037</v>
      </c>
      <c r="F1547" t="n">
        <v>0.0645</v>
      </c>
      <c r="G1547" t="n">
        <v>0.124</v>
      </c>
      <c r="H1547" t="inlineStr">
        <is>
          <t>This code appears to be part of a Presto server implementation, specifically the `com.facebook.presto.server` package. It includes several classes related to HTTP client requests, resource group configuration management, and testing utilities. The code also imports various other packages from the `com.facebook.airlift` and `com.google.common` libraries.
The main</t>
        </is>
      </c>
      <c r="I1547" t="n">
        <v>0.0048</v>
      </c>
      <c r="J1547" t="n">
        <v>0.0984</v>
      </c>
      <c r="K1547" t="n">
        <v>0.1271</v>
      </c>
      <c r="L1547" t="inlineStr">
        <is>
          <t>The provided code defines a Presto server that uses Jetty HTTP client to make requests to other services. It also includes configuration management using FileResourceGroupConfigurationManagerFactory. Additionally, it utilizes DistributedQueryRunner for testing purposes.</t>
        </is>
      </c>
      <c r="M1547" t="n">
        <v>0</v>
      </c>
      <c r="N1547" t="n">
        <v>0</v>
      </c>
      <c r="O1547" t="n">
        <v>0.0481</v>
      </c>
    </row>
    <row r="1548">
      <c r="A1548" t="inlineStr">
        <is>
          <t>presto</t>
        </is>
      </c>
      <c r="B1548" t="inlineStr">
        <is>
          <t>presto-tests/src/test/java/com/facebook/presto/server/TestQueryResource.java</t>
        </is>
      </c>
      <c r="C1548">
        <f>HYPERLINK("https://github.com/prestodb/presto/blob/master/presto-tests/src/test/java/com/facebook/presto/server/TestQueryResource.java")</f>
        <v/>
      </c>
      <c r="D1548" t="inlineStr">
        <is>
          <t>This code appears to be part of a Java project that implements a Presto server, which is a distributed query engine for running SQL queries across multiple data sources. The code defines several classes and interfaces related to the Presto server, including `PrestoServer`, `TestingPrestoServer`, and `DistributedQueryRunner`. It also includes some utility methods for working with HTTP requests and responses</t>
        </is>
      </c>
      <c r="E1548" t="n">
        <v>0.0041</v>
      </c>
      <c r="F1548" t="n">
        <v>0.0896</v>
      </c>
      <c r="G1548" t="n">
        <v>0.1527</v>
      </c>
      <c r="H1548" t="inlineStr">
        <is>
          <t>This codebase provides a set of classes that implement various features related to Presto server management and query execution. The main class `com.facebook.presto.server.PrestoServer` implements the Presto server interface, while the `com.facebook.presto.server.testing.TestingPrestoServer` class provides a testing implementation of the Presto server. The `</t>
        </is>
      </c>
      <c r="I1548" t="n">
        <v>0.0058</v>
      </c>
      <c r="J1548" t="n">
        <v>0.1034</v>
      </c>
      <c r="K1548" t="n">
        <v>0.1316</v>
      </c>
      <c r="L1548" t="inlineStr">
        <is>
          <t>The code in the provided file defines a class named `TestingPrestoServer` that extends the `DistributedQueryRunner` class from the Presto project. It provides a testing environment for running queries against a Presto server instance.
The class constructor takes two parameters: a `String` representing the path to a configuration file and a `boolean` flag indicating whether the test should</t>
        </is>
      </c>
      <c r="M1548" t="n">
        <v>0.0032</v>
      </c>
      <c r="N1548" t="n">
        <v>0.0308</v>
      </c>
      <c r="O1548" t="n">
        <v>0.0775</v>
      </c>
    </row>
    <row r="1549">
      <c r="A1549" t="inlineStr">
        <is>
          <t>presto</t>
        </is>
      </c>
      <c r="B1549" t="inlineStr">
        <is>
          <t>presto-tests/src/test/java/com/facebook/presto/server/TestCoordinatorPluginIntegration.java</t>
        </is>
      </c>
      <c r="C1549">
        <f>HYPERLINK("https://github.com/prestodb/presto/blob/master/presto-tests/src/test/java/com/facebook/presto/server/TestCoordinatorPluginIntegration.java")</f>
        <v/>
      </c>
      <c r="D1549" t="inlineStr">
        <is>
          <t>This Java code defines a test suite for Presto's coordinator plugin integration using TestNG annotations. It includes several classes and methods that are used to set up and run tests for the plugin. The `TestingPrestoServer` class is responsible for starting and stopping a local Presto server instance, while the `TestCoordinatorPluginIntegration` class contains the actual test cases</t>
        </is>
      </c>
      <c r="E1549" t="n">
        <v>0.0039</v>
      </c>
      <c r="F1549" t="n">
        <v>0.0615</v>
      </c>
      <c r="G1549" t="n">
        <v>0.1172</v>
      </c>
      <c r="H1549" t="inlineStr">
        <is>
          <t>This code defines a test suite for Presto's coordinator plugin integration. It uses the TestNG framework to run tests that verify the behavior of the coordinator plugin when it interacts with other parts of the Presto system. The tests cover various scenarios related to query execution, such as parsing SQL queries, analyzing the query plan, and executing the query against a data source. The</t>
        </is>
      </c>
      <c r="I1549" t="n">
        <v>0.0034</v>
      </c>
      <c r="J1549" t="n">
        <v>0.0548</v>
      </c>
      <c r="K1549" t="n">
        <v>0.1103</v>
      </c>
      <c r="L1549" t="inlineStr">
        <is>
          <t>The provided code defines a test case for the Coordinator Plugin integration in Presto. It creates a new instance of `TestingPrestoServer` and uses it to execute SQL queries against a test database. The test verifies that the plugin's functionality works correctly by checking the output of the query execution.</t>
        </is>
      </c>
      <c r="M1549" t="n">
        <v>0.0045</v>
      </c>
      <c r="N1549" t="n">
        <v>0.0345</v>
      </c>
      <c r="O1549" t="n">
        <v>0.08260000000000001</v>
      </c>
    </row>
    <row r="1550">
      <c r="A1550" t="inlineStr">
        <is>
          <t>presto</t>
        </is>
      </c>
      <c r="B1550" t="inlineStr">
        <is>
          <t>presto-tests/src/test/java/com/facebook/presto/utils/QueryExecutionClientUtil.java</t>
        </is>
      </c>
      <c r="C1550">
        <f>HYPERLINK("https://github.com/prestodb/presto/blob/master/presto-tests/src/test/java/com/facebook/presto/utils/QueryExecutionClientUtil.java")</f>
        <v/>
      </c>
      <c r="D1550" t="inlineStr">
        <is>
          <t>This code appears to be a Java library that provides utility functions for working with Presto queries. It defines several classes and interfaces related to query execution, including `QueryState`, `BasicQueryInfo`, and `QueryStateInfo`. The library also includes a `HttpClient` class for making HTTP requests, as well as a `JsonCodec` class for encoding and decoding JSON data.</t>
        </is>
      </c>
      <c r="E1550" t="n">
        <v>0.004</v>
      </c>
      <c r="F1550" t="n">
        <v>0.09520000000000001</v>
      </c>
      <c r="G1550" t="n">
        <v>0.1181</v>
      </c>
      <c r="H1550" t="inlineStr">
        <is>
          <t>This code appears to be a Java library containing various utility classes and methods used in Presto's server-side implementation. The package name suggests that it belongs to Facebook's Presto project, which is an open-source distributed SQL query engine.
The code imports several other packages, including `com.facebook.airlift`, `com.facebook.presto.client</t>
        </is>
      </c>
      <c r="I1550" t="n">
        <v>0.0046</v>
      </c>
      <c r="J1550" t="n">
        <v>0.0625</v>
      </c>
      <c r="K1550" t="n">
        <v>0.1261</v>
      </c>
      <c r="L1550" t="inlineStr">
        <is>
          <t>The provided code defines a utility class that provides various methods for interacting with Presto servers. It uses the Airlift HTTP client library to send requests to the server and parse responses using the JSON codec. The class also includes several methods for working with query results, such as getting the state of a query and converting the results into a basic query info object. Overall, the code</t>
        </is>
      </c>
      <c r="M1550" t="n">
        <v>0.0027</v>
      </c>
      <c r="N1550" t="n">
        <v>0.0263</v>
      </c>
      <c r="O1550" t="n">
        <v>0.07140000000000001</v>
      </c>
    </row>
    <row r="1551">
      <c r="A1551" t="inlineStr">
        <is>
          <t>presto</t>
        </is>
      </c>
      <c r="B1551" t="inlineStr">
        <is>
          <t>presto-tests/src/test/java/com/facebook/presto/utils/ResourceUtils.java</t>
        </is>
      </c>
      <c r="C1551">
        <f>HYPERLINK("https://github.com/prestodb/presto/blob/master/presto-tests/src/test/java/com/facebook/presto/utils/ResourceUtils.java")</f>
        <v/>
      </c>
      <c r="D1551" t="inlineStr">
        <is>
          <t>This Java code defines a `ResourceUtils` class that provides utility methods for working with resources. The class has one method, `getResourceFilePath`, which takes a string parameter representing a filename and returns the path to a temporary file containing the contents of the named resource.
The implementation first creates a new temporary file using the `File.createTempFile` method, then copies the</t>
        </is>
      </c>
      <c r="E1551" t="n">
        <v>0.0037</v>
      </c>
      <c r="F1551" t="n">
        <v>0.0588</v>
      </c>
      <c r="G1551" t="n">
        <v>0.1527</v>
      </c>
      <c r="H1551" t="inlineStr">
        <is>
          <t>The `ResourceUtils` class provides utility methods for working with resources such as files and directories. It has one method called `getResourceFilePath`, which takes a string parameter representing the name of a file and returns its absolute path. The method creates a temporary file using the `File.createTempFile` method and then copies the contents of the specified file into it using the `Files.</t>
        </is>
      </c>
      <c r="I1551" t="n">
        <v>0.003</v>
      </c>
      <c r="J1551" t="n">
        <v>0.0286</v>
      </c>
      <c r="K1551" t="n">
        <v>0.0752</v>
      </c>
      <c r="L1551" t="inlineStr">
        <is>
          <t>The provided code defines a utility class named `ResourceUtils` that provides methods for working with resources. It has one method, `getResourceFilePath`, which takes a string parameter representing a filename and returns a path to a temporary file containing the contents of the resource file with the same name. The method creates a new temporary file using `File.createTempFile` and then copies the contents</t>
        </is>
      </c>
      <c r="M1551" t="n">
        <v>0.0029</v>
      </c>
      <c r="N1551" t="n">
        <v>0.0282</v>
      </c>
      <c r="O1551" t="n">
        <v>0.0746</v>
      </c>
    </row>
    <row r="1552">
      <c r="A1552" t="inlineStr">
        <is>
          <t>presto</t>
        </is>
      </c>
      <c r="B1552" t="inlineStr">
        <is>
          <t>presto-tests/src/test/java/com/facebook/presto/functions/TestDuplicateSqlInvokedFunctions.java</t>
        </is>
      </c>
      <c r="C1552">
        <f>HYPERLINK("https://github.com/prestodb/presto/blob/master/presto-tests/src/test/java/com/facebook/presto/functions/TestDuplicateSqlInvokedFunctions.java")</f>
        <v/>
      </c>
      <c r="D1552" t="inlineStr">
        <is>
          <t>The provided code defines a Java class named `TestDuplicateSqlInvokedFunctions` that implements the `com.facebook.presto.spi.function.SqlInvokedScalarFunction` interface. This function takes two parameters, `input1` and `input2`, which are both of type `VARCHAR`. It also has a return value of type `VARCHAR</t>
        </is>
      </c>
      <c r="E1552" t="n">
        <v>0.0066</v>
      </c>
      <c r="F1552" t="n">
        <v>0.12</v>
      </c>
      <c r="G1552" t="n">
        <v>0.1835</v>
      </c>
      <c r="H1552" t="inlineStr">
        <is>
          <t>This Java code defines a function called `TestDuplicateSqlInvokedFunctions` that is annotated with various Presto annotations, including `@SqlInvoked`, `@Description`, `@SqlParameter`, `@SqlType`, and `@TypeParameter`. The function takes no parameters and returns void. It appears to be a part of a larger project, as it references other classes and packages within the</t>
        </is>
      </c>
      <c r="I1552" t="n">
        <v>0.0045</v>
      </c>
      <c r="J1552" t="n">
        <v>0.1053</v>
      </c>
      <c r="K1552" t="n">
        <v>0.124</v>
      </c>
      <c r="L1552" t="inlineStr">
        <is>
          <t>The code defines two SQL invoked scalar functions named `test_duplicate` and `test_duplicate_2`. These functions take a single parameter of type `varchar` and return a string value. The first function has a description that reads "Test duplicate SQL invoked function", while the second function has no description. Both functions have the same implementation, which consists of returning the input string concaten</t>
        </is>
      </c>
      <c r="M1552" t="n">
        <v>0.003</v>
      </c>
      <c r="N1552" t="n">
        <v>0.0563</v>
      </c>
      <c r="O1552" t="n">
        <v>0.07580000000000001</v>
      </c>
    </row>
    <row r="1553">
      <c r="A1553" t="inlineStr">
        <is>
          <t>presto</t>
        </is>
      </c>
      <c r="B1553" t="inlineStr">
        <is>
          <t>presto-tests/src/test/java/com/facebook/presto/functions/TestSqlInvokedFunctionsPlugin.java</t>
        </is>
      </c>
      <c r="C1553">
        <f>HYPERLINK("https://github.com/prestodb/presto/blob/master/presto-tests/src/test/java/com/facebook/presto/functions/TestSqlInvokedFunctionsPlugin.java")</f>
        <v/>
      </c>
      <c r="D1553" t="inlineStr">
        <is>
          <t>The `TestSqlInvokedFunctionsPlugin` class defines a set of SQL functions that can be invoked from within PrestoDB queries. These functions are implemented using the `@SqlInvokedScalarFunction` annotation, which allows them to be registered as part of the PrestoDB system. Each function has a unique name, input parameters, and output type, and they can be used in</t>
        </is>
      </c>
      <c r="E1553" t="n">
        <v>0.0034</v>
      </c>
      <c r="F1553" t="n">
        <v>0.0968</v>
      </c>
      <c r="G1553" t="n">
        <v>0.119</v>
      </c>
      <c r="H1553" t="inlineStr">
        <is>
          <t>This Java package `com.facebook.presto.functions` contains a single class named `TestSqlInvokedFunctionsPlugin`. The class has several annotations that provide metadata about the plugin, including its name, version number, and license information. It also imports various Presto SPI interfaces and classes from other packages within the same project.
The only method defined in the class is</t>
        </is>
      </c>
      <c r="I1553" t="n">
        <v>0.0041</v>
      </c>
      <c r="J1553" t="n">
        <v>0.09379999999999999</v>
      </c>
      <c r="K1553" t="n">
        <v>0.08</v>
      </c>
      <c r="L1553" t="inlineStr">
        <is>
          <t>The provided code defines a Java class named `TestSqlInvokedFunctionsPlugin` that implements various SQL functions using the Presto SPI. These functions can be used within Presto queries as if they were built-in functions.
The class has several methods annotated with `@SqlInvokedScalarFunction`, which indicate that these methods should be exposed as SQL functions. Each method</t>
        </is>
      </c>
      <c r="M1553" t="n">
        <v>0.0035</v>
      </c>
      <c r="N1553" t="n">
        <v>0.0645</v>
      </c>
      <c r="O1553" t="n">
        <v>0.08</v>
      </c>
    </row>
    <row r="1554">
      <c r="A1554" t="inlineStr">
        <is>
          <t>presto</t>
        </is>
      </c>
      <c r="B1554" t="inlineStr">
        <is>
          <t>presto-tests/src/test/java/com/facebook/presto/functions/TestPluginLoadedDuplicateSqlInvokedFunctions.java</t>
        </is>
      </c>
      <c r="C1554">
        <f>HYPERLINK("https://github.com/prestodb/presto/blob/master/presto-tests/src/test/java/com/facebook/presto/functions/TestPluginLoadedDuplicateSqlInvokedFunctions.java")</f>
        <v/>
      </c>
      <c r="D1554" t="inlineStr">
        <is>
          <t>The code defines a Presto server that runs tests using the TestNG framework. It includes several classes and interfaces related to testing, such as `TestingPrestoServer`, `TestingPrestoClient`, and `Plugin`. The main class, `TestingPrestoServer`, extends the `TestingPrestoServer` class from the Presto project and provides methods for running tests.</t>
        </is>
      </c>
      <c r="E1554" t="n">
        <v>0.004</v>
      </c>
      <c r="F1554" t="n">
        <v>0.037</v>
      </c>
      <c r="G1554" t="n">
        <v>0.0847</v>
      </c>
      <c r="H1554" t="inlineStr">
        <is>
          <t>This code defines a Presto plugin that provides various functions for working with arrays, including the `array_intersect` function. The plugin also includes a testing framework using TestNG.
The `array_intersect` function takes two arrays as input and returns an array containing only the elements that appear in both arrays. It uses the `ImmutableSet.copyOf` method to</t>
        </is>
      </c>
      <c r="I1554" t="n">
        <v>0.004</v>
      </c>
      <c r="J1554" t="n">
        <v>0.09229999999999999</v>
      </c>
      <c r="K1554" t="n">
        <v>0.119</v>
      </c>
      <c r="L1554" t="inlineStr">
        <is>
          <t>The provided code defines a Presto plugin that adds a new function called `array_intersect` to the Presto system. The function takes two arrays as input and returns the intersection of those arrays. It also includes unit tests using TestNG framework.</t>
        </is>
      </c>
      <c r="M1554" t="n">
        <v>0.0046</v>
      </c>
      <c r="N1554" t="n">
        <v>0.08160000000000001</v>
      </c>
      <c r="O1554" t="n">
        <v>0.0893</v>
      </c>
    </row>
    <row r="1555">
      <c r="A1555" t="inlineStr">
        <is>
          <t>presto</t>
        </is>
      </c>
      <c r="B1555" t="inlineStr">
        <is>
          <t>presto-tests/src/test/java/com/facebook/presto/functions/TestBuiltInConnectorFunctions.java</t>
        </is>
      </c>
      <c r="C1555">
        <f>HYPERLINK("https://github.com/prestodb/presto/blob/master/presto-tests/src/test/java/com/facebook/presto/functions/TestBuiltInConnectorFunctions.java")</f>
        <v/>
      </c>
      <c r="D1555" t="inlineStr">
        <is>
          <t>This code defines several classes related to Presto's function system. The `com.facebook.presto.functions` package provides various functionalities such as aggregations, scalar functions, and map operations.
The following classes are defined in this package:
* `CountAggregation`: A class that implements the COUNT aggregate function. It takes a list of input values and</t>
        </is>
      </c>
      <c r="E1555" t="n">
        <v>0.0048</v>
      </c>
      <c r="F1555" t="n">
        <v>0.1311</v>
      </c>
      <c r="G1555" t="n">
        <v>0.1639</v>
      </c>
      <c r="H1555" t="inlineStr">
        <is>
          <t>This code defines various functions used in Presto's backend, including aggregations, scalar functions, and map operations. The code imports several modules from the Presto project, such as `com.facebook.presto.common`, `com.facebook.presto.operator`, and `com.facebook.presto.scalar`. It also includes comments that explain the purpose of each</t>
        </is>
      </c>
      <c r="I1555" t="n">
        <v>0.0054</v>
      </c>
      <c r="J1555" t="n">
        <v>0.1017</v>
      </c>
      <c r="K1555" t="n">
        <v>0.177</v>
      </c>
      <c r="L1555" t="inlineStr">
        <is>
          <t>The provided code defines a set of functions that perform various tasks related to data processing and manipulation within Presto's SQL engine. These functions include:
* `com.facebook.presto.functions.CountAggregation`: A function that aggregates values based on a given column and returns the count of unique values.
* `com.facebook.presto.functions</t>
        </is>
      </c>
      <c r="M1555" t="n">
        <v>0.004</v>
      </c>
      <c r="N1555" t="n">
        <v>0.0667</v>
      </c>
      <c r="O1555" t="n">
        <v>0.0847</v>
      </c>
    </row>
    <row r="1556">
      <c r="A1556" t="inlineStr">
        <is>
          <t>presto</t>
        </is>
      </c>
      <c r="B1556" t="inlineStr">
        <is>
          <t>presto-tests/src/test/java/com/facebook/presto/functions/TestConnectorSystemFunctions.java</t>
        </is>
      </c>
      <c r="C1556">
        <f>HYPERLINK("https://github.com/prestodb/presto/blob/master/presto-tests/src/test/java/com/facebook/presto/functions/TestConnectorSystemFunctions.java")</f>
        <v/>
      </c>
      <c r="D1556" t="inlineStr">
        <is>
          <t>The `TestConnectorSystemFunctions` class defines several functions that can be used within PrestoDB queries. These functions include:
* `mod`: Returns the remainder of dividing one number by another. It takes two arguments, `value` and `numberOf`, both of which must be numeric types.
* `to_hex`: Converts a given integer into</t>
        </is>
      </c>
      <c r="E1556" t="n">
        <v>0.0038</v>
      </c>
      <c r="F1556" t="n">
        <v>0.0727</v>
      </c>
      <c r="G1556" t="n">
        <v>0.0833</v>
      </c>
      <c r="H1556" t="inlineStr">
        <is>
          <t>The provided Java code defines a set of system functions used by PrestoDB, a distributed SQL query engine. The functions include `current_user`, which returns the current user name, and `current_schema`, which returns the current schema name. These functions are implemented using the `@Description` annotation from the `com.facebook.presto.spi.function` package, which provides</t>
        </is>
      </c>
      <c r="I1556" t="n">
        <v>0.0037</v>
      </c>
      <c r="J1556" t="n">
        <v>0.0625</v>
      </c>
      <c r="K1556" t="n">
        <v>0.123</v>
      </c>
      <c r="L1556" t="inlineStr">
        <is>
          <t>The provided code defines a Java package named `com.facebook.presto.functions` that contains a single class named `TestConnectorSystemFunctions`. The class has a single method named `modulo`, which takes two arguments of type `long` and returns their modulo as a long. The method is annotated with `@Description` and `@ScalarFunction` annotations, indicating</t>
        </is>
      </c>
      <c r="M1556" t="n">
        <v>0.0038</v>
      </c>
      <c r="N1556" t="n">
        <v>0.0678</v>
      </c>
      <c r="O1556" t="n">
        <v>0.0417</v>
      </c>
    </row>
    <row r="1557">
      <c r="A1557" t="inlineStr">
        <is>
          <t>presto</t>
        </is>
      </c>
      <c r="B1557" t="inlineStr">
        <is>
          <t>presto-tests/src/test/java/com/facebook/presto/functions/TestFunctions.java</t>
        </is>
      </c>
      <c r="C1557">
        <f>HYPERLINK("https://github.com/prestodb/presto/blob/master/presto-tests/src/test/java/com/facebook/presto/functions/TestFunctions.java")</f>
        <v/>
      </c>
      <c r="D1557" t="inlineStr">
        <is>
          <t>The `TestFunctions` class defines several functions that can be used within PrestoDB queries. These functions include:
* `mod`: Returns the remainder of dividing one value by another. This function takes two arguments, both of which must be numeric types.
* `md5`: Calculates the MD5 hash of a string input. This function takes a single argument,</t>
        </is>
      </c>
      <c r="E1557" t="n">
        <v>0.0033</v>
      </c>
      <c r="F1557" t="n">
        <v>0.06560000000000001</v>
      </c>
      <c r="G1557" t="n">
        <v>0.07870000000000001</v>
      </c>
      <c r="H1557" t="inlineStr">
        <is>
          <t>The provided code defines a Java package named `com.facebook.presto.functions` that contains a single class named `TestFunctions`. This class has a private constructor to prevent instantiation and a series of methods defined as annotations using the `@ScalarFunction` annotation from the Presto project. These methods include a method called `mod()` which takes two arguments, `value` and</t>
        </is>
      </c>
      <c r="I1557" t="n">
        <v>0.004</v>
      </c>
      <c r="J1557" t="n">
        <v>0.0615</v>
      </c>
      <c r="K1557" t="n">
        <v>0.119</v>
      </c>
      <c r="L1557" t="inlineStr">
        <is>
          <t>The provided code defines a Java package named `com.facebook.presto.functions` that contains a single class named `TestFunctions`. The class has one method named `modulo`, which takes two arguments: `value` and `numberOfBuckets`. The method returns the result of applying the modulo operator to `value` using `numberOfBuckets` as</t>
        </is>
      </c>
      <c r="M1557" t="n">
        <v>0.0041</v>
      </c>
      <c r="N1557" t="n">
        <v>0.07140000000000001</v>
      </c>
      <c r="O1557" t="n">
        <v>0.08550000000000001</v>
      </c>
    </row>
    <row r="1558">
      <c r="A1558" t="inlineStr">
        <is>
          <t>presto</t>
        </is>
      </c>
      <c r="B1558" t="inlineStr">
        <is>
          <t>presto-tests/src/test/java/com/facebook/presto/functions/TestPluginLoadedSqlInvokedFunctions.java</t>
        </is>
      </c>
      <c r="C1558">
        <f>HYPERLINK("https://github.com/prestodb/presto/blob/master/presto-tests/src/test/java/com/facebook/presto/functions/TestPluginLoadedSqlInvokedFunctions.java")</f>
        <v/>
      </c>
      <c r="D1558" t="inlineStr">
        <is>
          <t>This code defines a plugin that provides functions for working with time zones. It includes a class called `TimeZoneFunctions` which implements the `Plugin` interface from Presto's testing framework. The `TimeZoneFunctions` class has several methods that provide various functionalities related to time zones, such as converting between different time zone formats, getting the current time zone, and setting the</t>
        </is>
      </c>
      <c r="E1558" t="n">
        <v>0.0041</v>
      </c>
      <c r="F1558" t="n">
        <v>0.1194</v>
      </c>
      <c r="G1558" t="n">
        <v>0.1538</v>
      </c>
      <c r="H1558" t="inlineStr">
        <is>
          <t>This codebase implements various software components used in Presto's backend. It includes a TestingPrestoServer class that provides testing utilities for Presto plugins, as well as a MaterializedResult class that represents the results of a query execution. The package also includes a Plugin interface that defines the contract for implementing custom Presto plugins. Additionally, there are several utility classes and functions</t>
        </is>
      </c>
      <c r="I1558" t="n">
        <v>0.0043</v>
      </c>
      <c r="J1558" t="n">
        <v>0.1159</v>
      </c>
      <c r="K1558" t="n">
        <v>0.1894</v>
      </c>
      <c r="L1558" t="inlineStr">
        <is>
          <t>The provided code defines a Presto function that takes two arguments: a time zone key and a type. It returns a new instance of TestingPrestoClient initialized with the given time zone key and type. The client is used to execute queries against a testing Presto server.</t>
        </is>
      </c>
      <c r="M1558" t="n">
        <v>0.004</v>
      </c>
      <c r="N1558" t="n">
        <v>0.0741</v>
      </c>
      <c r="O1558" t="n">
        <v>0.0847</v>
      </c>
    </row>
    <row r="1559">
      <c r="A1559" t="inlineStr">
        <is>
          <t>presto</t>
        </is>
      </c>
      <c r="B1559" t="inlineStr">
        <is>
          <t>presto-tests/src/test/java/com/facebook/presto/memory/TestClusterMemoryLeakDetector.java</t>
        </is>
      </c>
      <c r="C1559">
        <f>HYPERLINK("https://github.com/prestodb/presto/blob/master/presto-tests/src/test/java/com/facebook/presto/memory/TestClusterMemoryLeakDetector.java")</f>
        <v/>
      </c>
      <c r="D1559" t="inlineStr">
        <is>
          <t>This code implements a memory manager for Presto, which is a data processing engine. It provides methods for allocating and releasing memory for queries, as well as monitoring query usage and enforcing resource limits. The main class, `MemoryManager`, has several responsibilities, including:
* Managing the total amount of memory available for all queries.
* Allocating</t>
        </is>
      </c>
      <c r="E1559" t="n">
        <v>0.0044</v>
      </c>
      <c r="F1559" t="n">
        <v>0.0984</v>
      </c>
      <c r="G1559" t="n">
        <v>0.1181</v>
      </c>
      <c r="H1559" t="inlineStr">
        <is>
          <t>This code defines a class called `MemoryManager` that manages memory usage for Presto queries. It has several methods that perform different tasks related to memory management, such as query tracking, resource group management, and memory pooling. The class also includes comments and documentation explaining its purpose and how it works.</t>
        </is>
      </c>
      <c r="I1559" t="n">
        <v>0.0044</v>
      </c>
      <c r="J1559" t="n">
        <v>0.06900000000000001</v>
      </c>
      <c r="K1559" t="n">
        <v>0.082</v>
      </c>
      <c r="L1559" t="inlineStr">
        <is>
          <t>The provided code defines a class named `MemoryManager` that manages memory usage for Presto queries. It has several methods related to query execution, such as `getQueryInfo()`, `cancelQuery()`, and `getQueryStats()`. The class also has fields related to resource groups, such as `queryMaxMemoryPerNode` and `softMemoryLimit`. Overall, the code appears to</t>
        </is>
      </c>
      <c r="M1559" t="n">
        <v>0.0038</v>
      </c>
      <c r="N1559" t="n">
        <v>0.0357</v>
      </c>
      <c r="O1559" t="n">
        <v>0.0417</v>
      </c>
    </row>
    <row r="1560">
      <c r="A1560" t="inlineStr">
        <is>
          <t>presto</t>
        </is>
      </c>
      <c r="B1560" t="inlineStr">
        <is>
          <t>presto-tests/src/test/java/com/facebook/presto/memory/TestMemoryManager.java</t>
        </is>
      </c>
      <c r="C1560">
        <f>HYPERLINK("https://github.com/prestodb/presto/blob/master/presto-tests/src/test/java/com/facebook/presto/memory/TestMemoryManager.java")</f>
        <v/>
      </c>
      <c r="D1560" t="inlineStr">
        <is>
          <t>This code appears to be part of a Presto database management system. It defines several classes related to memory usage within the system, including `ClusterMemoryPoolInfo`, which provides information about the total amount of memory available to the cluster, and `QueryManager`, which manages queries running on the cluster. The code also includes a class called `BasicQueryStats` that stores statistics about individual</t>
        </is>
      </c>
      <c r="E1560" t="n">
        <v>0.0036</v>
      </c>
      <c r="F1560" t="n">
        <v>0.0588</v>
      </c>
      <c r="G1560" t="n">
        <v>0.1136</v>
      </c>
      <c r="H1560" t="inlineStr">
        <is>
          <t>This code defines a Java package called `com.facebook.presto.memory` that provides classes related to managing memory usage within Presto. The package includes a class called `MemoryManager` that implements the `QueryManager` interface from the Presto framework. It also includes several other classes that provide additional functionality related to memory management, such as `MemoryPool`, `MemoryPoolAss</t>
        </is>
      </c>
      <c r="I1560" t="n">
        <v>0.0046</v>
      </c>
      <c r="J1560" t="n">
        <v>0.09520000000000001</v>
      </c>
      <c r="K1560" t="n">
        <v>0.121</v>
      </c>
      <c r="L1560" t="inlineStr">
        <is>
          <t>The provided code defines a class named `MemoryManager` that manages memory usage within a Presto server. It has several responsibilities, including tracking query execution statistics, monitoring memory usage, and enforcing memory limits set by the administrator. The class also provides methods for retrieving memory pool information and query execution statistics.</t>
        </is>
      </c>
      <c r="M1560" t="n">
        <v>0.0037</v>
      </c>
      <c r="N1560" t="n">
        <v>0.0345</v>
      </c>
      <c r="O1560" t="n">
        <v>0.041</v>
      </c>
    </row>
    <row r="1561">
      <c r="A1561" t="inlineStr">
        <is>
          <t>presto</t>
        </is>
      </c>
      <c r="B1561" t="inlineStr">
        <is>
          <t>presto-tests/src/test/java/com/facebook/presto/resourcemanager/TestDistributedQueryInfoResource.java</t>
        </is>
      </c>
      <c r="C1561">
        <f>HYPERLINK("https://github.com/prestodb/presto/blob/master/presto-tests/src/test/java/com/facebook/presto/resourcemanager/TestDistributedQueryInfoResource.java")</f>
        <v/>
      </c>
      <c r="D1561" t="inlineStr">
        <is>
          <t>This code appears to be a Java program that uses the Presto resource manager library to manage resources and run queries. It creates a `TestingPrestoServer` instance and sets up some basic configuration options. The main method then starts the server and runs a query using the `execute` method. The query is executed against all nodes in the cluster, as specified by the `AllNodes`</t>
        </is>
      </c>
      <c r="E1561" t="n">
        <v>0.0034</v>
      </c>
      <c r="F1561" t="n">
        <v>0.0563</v>
      </c>
      <c r="G1561" t="n">
        <v>0.1111</v>
      </c>
      <c r="H1561" t="inlineStr">
        <is>
          <t>This codebase contains the implementation of the Presto resource manager, which manages the allocation of resources such as memory and CPU among different queries running on a cluster. It includes various classes and interfaces that define the behavior of the resource manager, as well as some utility methods for working with HTTP requests and responses. The code also defines several configuration options for the resource manager, including the location of the</t>
        </is>
      </c>
      <c r="I1561" t="n">
        <v>0.003</v>
      </c>
      <c r="J1561" t="n">
        <v>0.0759</v>
      </c>
      <c r="K1561" t="n">
        <v>0.1399</v>
      </c>
      <c r="L1561" t="inlineStr">
        <is>
          <t>The provided code is a Java class that implements the `com.facebook.presto.resourcemanager` package and provides various methods for managing resources such as nodes and queries. It uses the `com.facebook.airlift.http.client.HttpClient` library for making HTTP requests and the `com.facebook.presto.metadata.AllNodes` class</t>
        </is>
      </c>
      <c r="M1561" t="n">
        <v>0.006</v>
      </c>
      <c r="N1561" t="n">
        <v>0.0702</v>
      </c>
      <c r="O1561" t="n">
        <v>0.1376</v>
      </c>
    </row>
    <row r="1562">
      <c r="A1562" t="inlineStr">
        <is>
          <t>presto</t>
        </is>
      </c>
      <c r="B1562" t="inlineStr">
        <is>
          <t>presto-tests/src/test/java/com/facebook/presto/resourcemanager/TestRaftServer.java</t>
        </is>
      </c>
      <c r="C1562">
        <f>HYPERLINK("https://github.com/prestodb/presto/blob/master/presto-tests/src/test/java/com/facebook/presto/resourcemanager/TestRaftServer.java")</f>
        <v/>
      </c>
      <c r="D1562" t="inlineStr">
        <is>
          <t>The code defines a Presto resource manager that manages resources for distributed queries. It uses the Jetty HTTP client library to make requests to other nodes in the cluster. The `InternalNode` class represents internal nodes in the cluster, which can be used to manage resources such as CPU and memory. The `FileResourceGroupConfigurationManagerFactory` class is used to load resource group configurations from files</t>
        </is>
      </c>
      <c r="E1562" t="n">
        <v>0.0029</v>
      </c>
      <c r="F1562" t="n">
        <v>0.0286</v>
      </c>
      <c r="G1562" t="n">
        <v>0.0746</v>
      </c>
      <c r="H1562" t="inlineStr">
        <is>
          <t>This code appears to be part of a Presto resource manager system, which manages resources such as memory and CPU for queries running on a cluster of nodes. The code defines several classes and interfaces related to the resource manager, including `ResouceManager`, `InternalNode`, and `FileResourceGroupConfigurationManagerFactory`. It also includes a test suite using the JUnit testing framework. The</t>
        </is>
      </c>
      <c r="I1562" t="n">
        <v>0.0038</v>
      </c>
      <c r="J1562" t="n">
        <v>0.0615</v>
      </c>
      <c r="K1562" t="n">
        <v>0.1163</v>
      </c>
      <c r="L1562" t="inlineStr">
        <is>
          <t>The provided code defines a Presto resource manager that manages resources for a distributed query engine. It uses a Jetty HTTP client to communicate with other nodes in the cluster and a File Resource Group Configuration Manager Factory to manage resource groups. The code also includes tests using Distributed Query Runner.</t>
        </is>
      </c>
      <c r="M1562" t="n">
        <v>0.0036</v>
      </c>
      <c r="N1562" t="n">
        <v>0.0339</v>
      </c>
      <c r="O1562" t="n">
        <v>0.0813</v>
      </c>
    </row>
    <row r="1563">
      <c r="A1563" t="inlineStr">
        <is>
          <t>presto</t>
        </is>
      </c>
      <c r="B1563" t="inlineStr">
        <is>
          <t>presto-tests/src/test/java/com/facebook/presto/resourcemanager/TestDistributedQueryResource.java</t>
        </is>
      </c>
      <c r="C1563">
        <f>HYPERLINK("https://github.com/prestodb/presto/blob/master/presto-tests/src/test/java/com/facebook/presto/resourcemanager/TestDistributedQueryResource.java")</f>
        <v/>
      </c>
      <c r="D1563" t="inlineStr">
        <is>
          <t>This code appears to be part of a Presto resource manager system, which manages the allocation of resources such as memory and CPU for queries running on a cluster. The main class, `com.facebook.presto.resourcemanager.ResourceManager`, implements the logic for allocating resources based on the current state of the cluster and the queued queries. It uses a `</t>
        </is>
      </c>
      <c r="E1563" t="n">
        <v>0.0044</v>
      </c>
      <c r="F1563" t="n">
        <v>0.09089999999999999</v>
      </c>
      <c r="G1563" t="n">
        <v>0.1575</v>
      </c>
      <c r="H1563" t="inlineStr">
        <is>
          <t>This repository contains source code for a Presto resource manager, which manages resources such as CPU, memory, and I/O for queries running on a Presto cluster. The code includes classes and interfaces related to query execution, resource management, and configuration management. It also includes tests and examples for demonstrating how to use the resource manager.</t>
        </is>
      </c>
      <c r="I1563" t="n">
        <v>0.004</v>
      </c>
      <c r="J1563" t="n">
        <v>0.0625</v>
      </c>
      <c r="K1563" t="n">
        <v>0.1181</v>
      </c>
      <c r="L1563" t="inlineStr">
        <is>
          <t>The provided code defines a Presto resource manager that manages the allocation of resources for queries running on a Presto cluster. It uses a Jetty HTTP client to communicate with the Presto server, which provides access to query state and other relevant information. The resource manager also includes a configuration manager factory that allows users to define custom resource group configurations. The code is well-documented and follows</t>
        </is>
      </c>
      <c r="M1563" t="n">
        <v>0.0027</v>
      </c>
      <c r="N1563" t="n">
        <v>0.0263</v>
      </c>
      <c r="O1563" t="n">
        <v>0.07190000000000001</v>
      </c>
    </row>
    <row r="1564">
      <c r="A1564" t="inlineStr">
        <is>
          <t>presto</t>
        </is>
      </c>
      <c r="B1564" t="inlineStr">
        <is>
          <t>presto-tests/src/test/java/com/facebook/presto/resourcemanager/TestDistributedClusterStatsResource.java</t>
        </is>
      </c>
      <c r="C1564">
        <f>HYPERLINK("https://github.com/prestodb/presto/blob/master/presto-tests/src/test/java/com/facebook/presto/resourcemanager/TestDistributedClusterStatsResource.java")</f>
        <v/>
      </c>
      <c r="D1564" t="inlineStr">
        <is>
          <t>This code appears to be part of a Presto resource manager system. It defines several classes related to managing resources and executing queries. The main class, `com.facebook.presto.resourcemanager.ResourceManager`, seems to handle the allocation of resources such as CPU and memory to running queries. It also has methods for query state management and resource group runtime information. Additionally</t>
        </is>
      </c>
      <c r="E1564" t="n">
        <v>0.0039</v>
      </c>
      <c r="F1564" t="n">
        <v>0.0588</v>
      </c>
      <c r="G1564" t="n">
        <v>0.1172</v>
      </c>
      <c r="H1564" t="inlineStr">
        <is>
          <t>This code defines a Java package named `com.facebook.presto.resourcemanager` that provides various classes and interfaces related to resource management. The main class of interest appears to be `ResourceManager`, which manages resources such as memory and CPU usage across multiple nodes. It also includes several other classes and interfaces for handling queries, resource groups, and node communication.</t>
        </is>
      </c>
      <c r="I1564" t="n">
        <v>0.004</v>
      </c>
      <c r="J1564" t="n">
        <v>0.0606</v>
      </c>
      <c r="K1564" t="n">
        <v>0.07870000000000001</v>
      </c>
      <c r="L1564" t="inlineStr">
        <is>
          <t>The provided code appears to be a Java class that implements the `com.facebook.presto.resourcemanager` package. It defines a `ResourceManager` class that manages resource allocation for Presto queries. The class has several dependencies, including `com.facebook.airlift.http.client`, `com.facebook.airlift.http.client.</t>
        </is>
      </c>
      <c r="M1564" t="n">
        <v>0.0055</v>
      </c>
      <c r="N1564" t="n">
        <v>0.0377</v>
      </c>
      <c r="O1564" t="n">
        <v>0.0472</v>
      </c>
    </row>
    <row r="1565">
      <c r="A1565" t="inlineStr">
        <is>
          <t>presto</t>
        </is>
      </c>
      <c r="B1565" t="inlineStr">
        <is>
          <t>presto-tests/src/test/java/com/facebook/presto/resourcemanager/TestDistributedResourceGroupInfoResource.java</t>
        </is>
      </c>
      <c r="C1565">
        <f>HYPERLINK("https://github.com/prestodb/presto/blob/master/presto-tests/src/test/java/com/facebook/presto/resourcemanager/TestDistributedResourceGroupInfoResource.java")</f>
        <v/>
      </c>
      <c r="D1565" t="inlineStr">
        <is>
          <t>The provided code appears to be a Java implementation of a resource manager for Presto, which is a data processing engine. It includes several classes and interfaces related to managing resources such as memory, CPU, and network bandwidth.
The `com.facebook.presto.resourcemanager` package defines a number of classes that implement different aspects of the resource management system,</t>
        </is>
      </c>
      <c r="E1565" t="n">
        <v>0.0033</v>
      </c>
      <c r="F1565" t="n">
        <v>0.0606</v>
      </c>
      <c r="G1565" t="n">
        <v>0.07870000000000001</v>
      </c>
      <c r="H1565" t="inlineStr">
        <is>
          <t>This repository contains a collection of Java files that make up the backend software components of Presto, a data management system designed for running SQL queries over large datasets. The codebase includes source code for various modules such as resource manager, metadata, server, and resource group configuration manager. It also includes documentation, including a README file that provides an overview of the project's purpose and</t>
        </is>
      </c>
      <c r="I1565" t="n">
        <v>0.0037</v>
      </c>
      <c r="J1565" t="n">
        <v>0.1081</v>
      </c>
      <c r="K1565" t="n">
        <v>0.1825</v>
      </c>
      <c r="L1565" t="inlineStr">
        <is>
          <t>The provided code defines a resource manager for Presto, which manages resources such as memory and CPU allocation across nodes in a cluster. It uses the Jetty HTTP client library to communicate with other Presto services, including the metadata service and the query coordinator. The resource manager also includes a configuration manager that allows administrators to define resource groups and configure their settings.
The code is</t>
        </is>
      </c>
      <c r="M1565" t="n">
        <v>0.0028</v>
      </c>
      <c r="N1565" t="n">
        <v>0.027</v>
      </c>
      <c r="O1565" t="n">
        <v>0.0725</v>
      </c>
    </row>
    <row r="1566">
      <c r="A1566" t="inlineStr">
        <is>
          <t>presto</t>
        </is>
      </c>
      <c r="B1566" t="inlineStr">
        <is>
          <t>presto-tests/src/test/java/com/facebook/presto/resourcemanager/TestDistributedTaskInfoResource.java</t>
        </is>
      </c>
      <c r="C1566">
        <f>HYPERLINK("https://github.com/prestodb/presto/blob/master/presto-tests/src/test/java/com/facebook/presto/resourcemanager/TestDistributedTaskInfoResource.java")</f>
        <v/>
      </c>
      <c r="D1566" t="inlineStr">
        <is>
          <t>The provided code defines a Java class that implements the `ResourceGroupRuntimeInfo` interface from the Presto project's execution module. It provides information about resource groups used in Presto queries.
The class has several methods that return different types of data related to resource groups, including:
* `getRunningQueries()`: Returns a list of running query IDs.
*</t>
        </is>
      </c>
      <c r="E1566" t="n">
        <v>0.0034</v>
      </c>
      <c r="F1566" t="n">
        <v>0.0328</v>
      </c>
      <c r="G1566" t="n">
        <v>0.0794</v>
      </c>
      <c r="H1566" t="inlineStr">
        <is>
          <t>This is a Java project that implements various components of a Presto resource manager. The main class, `com.facebook.presto.resourcemanager.ResourceManager`, provides methods for managing resources such as CPU, memory, and network bandwidth. It also includes a `TaskScheduler` component that schedules tasks based on their priority and other factors. Other notable classes</t>
        </is>
      </c>
      <c r="I1566" t="n">
        <v>0.0049</v>
      </c>
      <c r="J1566" t="n">
        <v>0.0984</v>
      </c>
      <c r="K1566" t="n">
        <v>0.124</v>
      </c>
      <c r="L1566" t="inlineStr">
        <is>
          <t>The code defines a class named `ResourceManager` that manages resources for Presto tasks. It uses the `HttpClient` library from Airlift to communicate with the resource manager service. The class has several methods, including `getTaskStatus`, which retrieves the status of a task based on its ID, and `updateResourceGroupRuntimeInfo`, which updates the runtime state of a</t>
        </is>
      </c>
      <c r="M1566" t="n">
        <v>0.0034</v>
      </c>
      <c r="N1566" t="n">
        <v>0.0323</v>
      </c>
      <c r="O1566" t="n">
        <v>0.0794</v>
      </c>
    </row>
    <row r="1567">
      <c r="A1567" t="inlineStr">
        <is>
          <t>presto</t>
        </is>
      </c>
      <c r="B1567" t="inlineStr">
        <is>
          <t>presto-tests/src/test/java/com/facebook/presto/connector/informationschema/BenchmarkInformationSchema.java</t>
        </is>
      </c>
      <c r="C1567">
        <f>HYPERLINK("https://github.com/prestodb/presto/blob/master/presto-tests/src/test/java/com/facebook/presto/connector/informationschema/BenchmarkInformationSchema.java")</f>
        <v/>
      </c>
      <c r="D1567" t="inlineStr">
        <is>
          <t>This code appears to be part of a Presto database management system. It defines several classes related to the `com.facebook.presto.connector` package, including `InformationschemaConnector`, which provides access to information about the schema of a table, as well as other connectors such as `MockConnector`. The code also includes some utility methods for working with</t>
        </is>
      </c>
      <c r="E1567" t="n">
        <v>0.0035</v>
      </c>
      <c r="F1567" t="n">
        <v>0.0317</v>
      </c>
      <c r="G1567" t="n">
        <v>0.0806</v>
      </c>
      <c r="H1567" t="inlineStr">
        <is>
          <t>This code defines a plugin for Presto that provides access to information about the system it's running on. The plugin uses the MockConnectorFactory class from the presto-connector-mock package to create mock connectors for the connector manager. It also includes a number of other classes and interfaces related to the implementation of the plugin.</t>
        </is>
      </c>
      <c r="I1567" t="n">
        <v>0.0041</v>
      </c>
      <c r="J1567" t="n">
        <v>0.0625</v>
      </c>
      <c r="K1567" t="n">
        <v>0.16</v>
      </c>
      <c r="L1567" t="inlineStr">
        <is>
          <t>The code defines a Presto plugin that provides access to the INFORMATION_SCHEMA database. It implements the ConnectorFactory interface from the Presto SPI and creates a MockConnectorFactory instance. The factory is used to create connector sessions and handles for accessing the INFORMATION_SCHEMA tables. The package also includes classes for managing connections and handling SQL</t>
        </is>
      </c>
      <c r="M1567" t="n">
        <v>0.0041</v>
      </c>
      <c r="N1567" t="n">
        <v>0.0635</v>
      </c>
      <c r="O1567" t="n">
        <v>0.12</v>
      </c>
    </row>
    <row r="1568">
      <c r="A1568" t="inlineStr">
        <is>
          <t>retrofit</t>
        </is>
      </c>
      <c r="B1568" t="inlineStr">
        <is>
          <t>retrofit/robovm-test/src/main/java/retrofit2/RoboVmPlatformTest.java</t>
        </is>
      </c>
      <c r="C1568">
        <f>HYPERLINK("https://github.com/square/retrofit/blob/master/retrofit/robovm-test/src/main/java/retrofit2/RoboVmPlatformTest.java")</f>
        <v/>
      </c>
      <c r="D1568" t="inlineStr">
        <is>
          <t>The code defines a `RoboVmPlatformTest` class that uses the `Retrofit` library to make HTTP requests. It creates a `Retrofit` instance with a base URL and a custom call factory that throws an `AssertionError`. If the number of call adapter factories in the `Retrofit` instance is greater than 1, it prints a message</t>
        </is>
      </c>
      <c r="E1568" t="n">
        <v>0.0035</v>
      </c>
      <c r="F1568" t="n">
        <v>0.0333</v>
      </c>
      <c r="G1568" t="n">
        <v>0.0806</v>
      </c>
      <c r="H1568" t="inlineStr">
        <is>
          <t>The provided code defines a Java application that uses the Retrofit library to make HTTP requests to a server. It creates a `Retrofit` object with a base URL and a custom call adapter factory that throws an assertion error when called. If the number of call adapter factories in the `Retrofit` instance is greater than one, it prints a message to the console indicating that</t>
        </is>
      </c>
      <c r="I1568" t="n">
        <v>0.0028</v>
      </c>
      <c r="J1568" t="n">
        <v>0.0274</v>
      </c>
      <c r="K1568" t="n">
        <v>0.073</v>
      </c>
      <c r="L1568" t="inlineStr">
        <is>
          <t>The provided code defines a `RoboVmPlatformTest` class that uses the `Retrofit` library to make HTTP requests. The class sets up a base URL and a custom call adapter factory using the `Retrofit.Builder` API. It then checks whether there are more than one call adapter factories registered and throws an assertion error if so.</t>
        </is>
      </c>
      <c r="M1568" t="n">
        <v>0.0035</v>
      </c>
      <c r="N1568" t="n">
        <v>0.0323</v>
      </c>
      <c r="O1568" t="n">
        <v>0.08</v>
      </c>
    </row>
    <row r="1569">
      <c r="A1569" t="inlineStr">
        <is>
          <t>retrofit</t>
        </is>
      </c>
      <c r="B1569" t="inlineStr">
        <is>
          <t>retrofit/android-test/src/androidTest/java/retrofit2/BasicCallTest.java</t>
        </is>
      </c>
      <c r="C1569">
        <f>HYPERLINK("https://github.com/square/retrofit/blob/master/retrofit/android-test/src/androidTest/java/retrofit2/BasicCallTest.java")</f>
        <v/>
      </c>
      <c r="D1569" t="inlineStr">
        <is>
          <t>The code defines a test suite for a Retrofit library that makes HTTP requests using OkHttp. It includes a mock web server implementation using the `MockWebServer` class from OkHttp, which allows for simulating responses from a remote API. The test cases include verifying that the client can make GET requests to the server and receive a response body as expected. The tests also verify that</t>
        </is>
      </c>
      <c r="E1569" t="n">
        <v>0.0028</v>
      </c>
      <c r="F1569" t="n">
        <v>0.0548</v>
      </c>
      <c r="G1569" t="n">
        <v>0.1095</v>
      </c>
      <c r="H1569" t="inlineStr">
        <is>
          <t>This code is a Java implementation of a basic HTTP client using Retrofit 2. It defines an interface `Se` that includes a single method called `get()` which returns a response body from a GET request. The code also includes unit tests for the `Se` interface using JUnit.
The main function of the code is to provide a way to make GET requests to a</t>
        </is>
      </c>
      <c r="I1569" t="n">
        <v>0.0028</v>
      </c>
      <c r="J1569" t="n">
        <v>0.0833</v>
      </c>
      <c r="K1569" t="n">
        <v>0.1103</v>
      </c>
      <c r="L1569" t="inlineStr">
        <is>
          <t>The provided code defines a basic Retrofit call that retrieves data from a remote API using a GET request. It uses the OkHttp mock web server library to simulate a response from the API. The test case verifies that the expected response body is returned when the call is executed.</t>
        </is>
      </c>
      <c r="M1569" t="n">
        <v>0</v>
      </c>
      <c r="N1569" t="n">
        <v>0</v>
      </c>
      <c r="O1569" t="n">
        <v>0.041</v>
      </c>
    </row>
    <row r="1570">
      <c r="A1570" t="inlineStr">
        <is>
          <t>retrofit</t>
        </is>
      </c>
      <c r="B1570" t="inlineStr">
        <is>
          <t>retrofit/android-test/src/androidTest/java/retrofit2/OptionalConverterFactoryAndroidTest.java</t>
        </is>
      </c>
      <c r="C1570">
        <f>HYPERLINK("https://github.com/square/retrofit/blob/master/retrofit/android-test/src/androidTest/java/retrofit2/OptionalConverterFactoryAndroidTest.java")</f>
        <v/>
      </c>
      <c r="D1570" t="inlineStr">
        <is>
          <t>The provided code appears to be a Java implementation of a Retrofit client that uses OkHttp as its HTTP client. It defines a `Retrofit` class that provides a simple API for making HTTP requests to a server. The `Retrofit` class has several methods for configuring the HTTP client, such as setting the base URL and adding request interceptors. It also includes a</t>
        </is>
      </c>
      <c r="E1570" t="n">
        <v>0.0029</v>
      </c>
      <c r="F1570" t="n">
        <v>0.0571</v>
      </c>
      <c r="G1570" t="n">
        <v>0.1119</v>
      </c>
      <c r="H1570" t="inlineStr">
        <is>
          <t>This code appears to be a Java library for building RESTful APIs using Retrofit. It includes classes and methods related to setting up and configuring the API client, as well as handling HTTP requests and responses. The code also includes unit tests using JUnit and OkHttp's MockWebServer to test the behavior of the API client.
The main class of interest appears to be</t>
        </is>
      </c>
      <c r="I1570" t="n">
        <v>0.0034</v>
      </c>
      <c r="J1570" t="n">
        <v>0.0556</v>
      </c>
      <c r="K1570" t="n">
        <v>0.1111</v>
      </c>
      <c r="L1570" t="inlineStr">
        <is>
          <t>The provided code defines a Java class named `Retrofit` that provides a way to create RESTful web service clients using Retrofit library. It has several methods, including `create`, `call`, and `enqueue`. These methods allow users to make HTTP requests and handle responses asynchronously. Additionally, the class includes support for handling errors and cancellation. Overall, the</t>
        </is>
      </c>
      <c r="M1570" t="n">
        <v>0.0033</v>
      </c>
      <c r="N1570" t="n">
        <v>0.0317</v>
      </c>
      <c r="O1570" t="n">
        <v>0.07870000000000001</v>
      </c>
    </row>
    <row r="1571">
      <c r="A1571" t="inlineStr">
        <is>
          <t>retrofit</t>
        </is>
      </c>
      <c r="B1571" t="inlineStr">
        <is>
          <t>retrofit/android-test/src/androidTest/java/retrofit2/CompletableFutureAndroidTest.java</t>
        </is>
      </c>
      <c r="C1571">
        <f>HYPERLINK("https://github.com/square/retrofit/blob/master/retrofit/android-test/src/androidTest/java/retrofit2/CompletableFutureAndroidTest.java")</f>
        <v/>
      </c>
      <c r="D1571" t="inlineStr">
        <is>
          <t>This code appears to be part of a Java project that uses Retrofit 2 to make HTTP requests. It includes several classes and interfaces related to the `retrofit2` package, including `Service`, `Retrofit`, and `Call`. The code also imports the `okhttp3` library and defines a mock web server using the `MockWebServer` class from the</t>
        </is>
      </c>
      <c r="E1571" t="n">
        <v>0.0041</v>
      </c>
      <c r="F1571" t="n">
        <v>0.06560000000000001</v>
      </c>
      <c r="G1571" t="n">
        <v>0.12</v>
      </c>
      <c r="H1571" t="inlineStr">
        <is>
          <t>This code appears to be a Java implementation of a Retrofit client library that provides a way to make HTTP requests using annotations. The code defines several classes and methods related to the creation and execution of HTTP requests, as well as some utility functions for working with JSON data.
The main class defined in the code is `Retrofit`, which represents a Retrofit instance and provides</t>
        </is>
      </c>
      <c r="I1571" t="n">
        <v>0.0033</v>
      </c>
      <c r="J1571" t="n">
        <v>0.1081</v>
      </c>
      <c r="K1571" t="n">
        <v>0.1449</v>
      </c>
      <c r="L1571" t="inlineStr">
        <is>
          <t>The provided code is a Java implementation of Retrofit, a popular HTTP client library for Android and Java applications. It provides a simple API for making GET requests using the OkHttpClient library and handling responses asynchronously through the CompletableFuture class. The code also includes unit tests using JUnit and mocking web server responses using the MockWebServer class from the OkHttp project.</t>
        </is>
      </c>
      <c r="M1571" t="n">
        <v>0.003</v>
      </c>
      <c r="N1571" t="n">
        <v>0.058</v>
      </c>
      <c r="O1571" t="n">
        <v>0.1128</v>
      </c>
    </row>
    <row r="1572">
      <c r="A1572" t="inlineStr">
        <is>
          <t>retrofit</t>
        </is>
      </c>
      <c r="B1572" t="inlineStr">
        <is>
          <t>retrofit/android-test/src/androidTest/java/retrofit2/UriAndroidTest.java</t>
        </is>
      </c>
      <c r="C1572">
        <f>HYPERLINK("https://github.com/square/retrofit/blob/master/retrofit/android-test/src/androidTest/java/retrofit2/UriAndroidTest.java")</f>
        <v/>
      </c>
      <c r="D1572" t="inlineStr">
        <is>
          <t>This code appears to be part of a Java project that uses Retrofit to make HTTP requests. It defines a `Service` interface with a single method called `getData()` which takes a URL as input and returns a response body containing data. The implementation of this method makes a GET request to the specified URL using OkHttp and returns the response body.
The test class `Ret</t>
        </is>
      </c>
      <c r="E1572" t="n">
        <v>0.0033</v>
      </c>
      <c r="F1572" t="n">
        <v>0.0822</v>
      </c>
      <c r="G1572" t="n">
        <v>0.146</v>
      </c>
      <c r="H1572" t="inlineStr">
        <is>
          <t>The provided code is a Java package named `retrofit2` that implements a library for making HTTP requests from Android apps. It uses OkHttp as its network stack and provides a simple API for building RESTful APIs. The package includes several classes and interfaces, including `Retrofit`, which represents a Retrofit instance, and `ServiceMethod`, which represents a method on a service</t>
        </is>
      </c>
      <c r="I1572" t="n">
        <v>0.0037</v>
      </c>
      <c r="J1572" t="n">
        <v>0.0597</v>
      </c>
      <c r="K1572" t="n">
        <v>0.1145</v>
      </c>
      <c r="L1572" t="inlineStr">
        <is>
          <t>The provided code defines a Java class named `Retrofit` that provides a convenient way to make HTTP requests using Retrofit library. It has several methods, including `create()`, `get()`, `post()`, etc., which allow users to create and execute API calls. The class also includes annotations such as `@GET`, `@POST`, etc., which specify the request method and URL. Additionally</t>
        </is>
      </c>
      <c r="M1572" t="n">
        <v>0.0032</v>
      </c>
      <c r="N1572" t="n">
        <v>0.0308</v>
      </c>
      <c r="O1572" t="n">
        <v>0.0775</v>
      </c>
    </row>
    <row r="1573">
      <c r="A1573" t="inlineStr">
        <is>
          <t>retrofit</t>
        </is>
      </c>
      <c r="B1573" t="inlineStr">
        <is>
          <t>retrofit/android-test/src/androidTest/java/retrofit2/DefaultMethodsAndroidTest.java</t>
        </is>
      </c>
      <c r="C1573">
        <f>HYPERLINK("https://github.com/square/retrofit/blob/master/retrofit/android-test/src/androidTest/java/retrofit2/DefaultMethodsAndroidTest.java")</f>
        <v/>
      </c>
      <c r="D1573" t="inlineStr">
        <is>
          <t>This code appears to be part of a Java project that uses Retrofit library to make HTTP requests. The `Retrofit` class is defined in the `retrofit2` package, and it has several methods for making HTTP requests, such as `create()` and `call()`. The `Call` interface is also defined in the same package, and it represents a single HTTP request</t>
        </is>
      </c>
      <c r="E1573" t="n">
        <v>0.0037</v>
      </c>
      <c r="F1573" t="n">
        <v>0.0606</v>
      </c>
      <c r="G1573" t="n">
        <v>0.1154</v>
      </c>
      <c r="H1573" t="inlineStr">
        <is>
          <t>This code appears to be a Java library for building RESTful APIs using Retrofit. It defines several classes and interfaces related to HTTP requests and responses, as well as some utility methods for working with JSON data. The code also includes unit tests that demonstrate how to use the library to make GET requests to a mock web server. Overall, it seems like this code could be used to build</t>
        </is>
      </c>
      <c r="I1573" t="n">
        <v>0.0031</v>
      </c>
      <c r="J1573" t="n">
        <v>0.0513</v>
      </c>
      <c r="K1573" t="n">
        <v>0.1056</v>
      </c>
      <c r="L1573" t="inlineStr">
        <is>
          <t>The code defines a Retrofit client that sends HTTP GET requests to a server and receives responses as JSON objects. It uses the OkHttp mock web server library to simulate a remote API endpoint. The client is tested using JUnit tests, which verify that the correct request headers and parameters are sent and received correctly.</t>
        </is>
      </c>
      <c r="M1573" t="n">
        <v>0.0033</v>
      </c>
      <c r="N1573" t="n">
        <v>0.0317</v>
      </c>
      <c r="O1573" t="n">
        <v>0.07870000000000001</v>
      </c>
    </row>
    <row r="1574">
      <c r="A1574" t="inlineStr">
        <is>
          <t>retrofit</t>
        </is>
      </c>
      <c r="B1574" t="inlineStr">
        <is>
          <t>retrofit/test-helpers/src/main/java/retrofit2/TestingUtils.java</t>
        </is>
      </c>
      <c r="C1574">
        <f>HYPERLINK("https://github.com/square/retrofit/blob/master/retrofit/test-helpers/src/main/java/retrofit2/TestingUtils.java")</f>
        <v/>
      </c>
      <c r="D1574" t="inlineStr">
        <is>
          <t>The `TestingUtils` class provides a utility method called `buildRequest()` that takes in a class object, a Retrofit builder instance, and any number of arguments. It returns an OkHttp `Request` object that represents a HTTP request based on the given parameters.
The implementation of this method involves creating a new `Retrofit` instance using the given builder and applying</t>
        </is>
      </c>
      <c r="E1574" t="n">
        <v>0.0032</v>
      </c>
      <c r="F1574" t="n">
        <v>0.0615</v>
      </c>
      <c r="G1574" t="n">
        <v>0.155</v>
      </c>
      <c r="H1574" t="inlineStr">
        <is>
          <t>The `TestingUtils` class provides utility methods for testing the behavior of the `Retrofit` library. It includes a method called `buildRequest()` that takes in a class type, a `Retrofit.Builder`, and any number of arguments, and returns an `okhttp3.Request`. This method uses reflection to invoke the appropriate HTTP method (e.g., GET</t>
        </is>
      </c>
      <c r="I1574" t="n">
        <v>0.0045</v>
      </c>
      <c r="J1574" t="n">
        <v>0.0333</v>
      </c>
      <c r="K1574" t="n">
        <v>0.124</v>
      </c>
      <c r="L1574" t="inlineStr">
        <is>
          <t>The `TestingUtils` class provides utility methods for testing Retrofit applications. It includes a method called `buildRequest`, which takes a class, a Retrofit builder, and any number of arguments, and returns an OkHttp `Request`. The method uses reflection to determine the HTTP method (GET, POST, etc.) and URL based on the class's annotations and the method</t>
        </is>
      </c>
      <c r="M1574" t="n">
        <v>0.0033</v>
      </c>
      <c r="N1574" t="n">
        <v>0.0312</v>
      </c>
      <c r="O1574" t="n">
        <v>0.07870000000000001</v>
      </c>
    </row>
    <row r="1575">
      <c r="A1575" t="inlineStr">
        <is>
          <t>retrofit</t>
        </is>
      </c>
      <c r="B1575" t="inlineStr">
        <is>
          <t>retrofit/test-helpers/src/main/java/retrofit2/helpers/ObjectInstanceConverterFactory.java</t>
        </is>
      </c>
      <c r="C1575">
        <f>HYPERLINK("https://github.com/square/retrofit/blob/master/retrofit/test-helpers/src/main/java/retrofit2/helpers/ObjectInstanceConverterFactory.java")</f>
        <v/>
      </c>
      <c r="D1575" t="inlineStr">
        <is>
          <t>This code defines a custom `Converter` factory called `ObjectInstanceConverterFactory`. It provides a single instance of an object that can be used as a conversion result when no other conversion is possible. The `VALUE` field holds the singleton instance of the object.
The `create()` method overrides the base implementation and returns a `Converter` that always returns the same instance of the object</t>
        </is>
      </c>
      <c r="E1575" t="n">
        <v>0.0036</v>
      </c>
      <c r="F1575" t="n">
        <v>0.08699999999999999</v>
      </c>
      <c r="G1575" t="n">
        <v>0.1504</v>
      </c>
      <c r="H1575" t="inlineStr">
        <is>
          <t>This code defines a `ObjectInstanceConverterFactory` class that implements the `Converter.Factory` interface from Retrofit. The factory creates converters that can convert between objects and their corresponding JSON representations. It does so by using the Jackson library to serialize and deserialize objects. The factory also provides a constant value called `VALUE` that represents the object instance converter.</t>
        </is>
      </c>
      <c r="I1575" t="n">
        <v>0.0044</v>
      </c>
      <c r="J1575" t="n">
        <v>0.09379999999999999</v>
      </c>
      <c r="K1575" t="n">
        <v>0.1575</v>
      </c>
      <c r="L1575" t="inlineStr">
        <is>
          <t>The `ObjectInstanceConverterFactory` class is a factory that creates converters for Retrofit's response body types. It provides a default implementation for converting objects into instances of a given type. The class uses reflection to create an instance of the target type using the no-args constructor if available, otherwise it tries to find a matching method annotated with `@JsonCreator`. If none</t>
        </is>
      </c>
      <c r="M1575" t="n">
        <v>0</v>
      </c>
      <c r="N1575" t="n">
        <v>0.029</v>
      </c>
      <c r="O1575" t="n">
        <v>0.07630000000000001</v>
      </c>
    </row>
    <row r="1576">
      <c r="A1576" t="inlineStr">
        <is>
          <t>retrofit</t>
        </is>
      </c>
      <c r="B1576" t="inlineStr">
        <is>
          <t>retrofit/test-helpers/src/main/java/retrofit2/helpers/NonMatchingConverterFactory.java</t>
        </is>
      </c>
      <c r="C1576">
        <f>HYPERLINK("https://github.com/square/retrofit/blob/master/retrofit/test-helpers/src/main/java/retrofit2/helpers/NonMatchingConverterFactory.java")</f>
        <v/>
      </c>
      <c r="D1576" t="inlineStr">
        <is>
          <t>The `NonMatchingConverterFactory` class implements the `Converter.Factory` interface from Retrofit 2. It provides a way to create custom converters that can be used when making HTTP requests using Retrofit. However, it does not actually provide any conversion logic, as its `convert()` method always returns null. This means that the converter will never be used during request processing</t>
        </is>
      </c>
      <c r="E1576" t="n">
        <v>0.0039</v>
      </c>
      <c r="F1576" t="n">
        <v>0.0615</v>
      </c>
      <c r="G1576" t="n">
        <v>0.1172</v>
      </c>
      <c r="H1576" t="inlineStr">
        <is>
          <t>This code defines a custom Retrofit converter factory that checks if the response body type matches the expected type before attempting to convert it. It does so by checking if the response body's content type header matches the expected type. If there is no matching content type, the converter returns null. The `called` field is set to true when the converter is called.</t>
        </is>
      </c>
      <c r="I1576" t="n">
        <v>0.0029</v>
      </c>
      <c r="J1576" t="n">
        <v>0.0278</v>
      </c>
      <c r="K1576" t="n">
        <v>0.037</v>
      </c>
      <c r="L1576" t="inlineStr">
        <is>
          <t>The provided code defines a custom `NonMatchingConverterFactory` class that extends Retrofit's `Converter.Factory`. It overrides the `responseBodyConverter()` method to return null if no matching converter can be found. The class also has a boolean field `called` which is set to true when the method is called.
The code uses the `okhttp3`</t>
        </is>
      </c>
      <c r="M1576" t="n">
        <v>0</v>
      </c>
      <c r="N1576" t="n">
        <v>0</v>
      </c>
      <c r="O1576" t="n">
        <v>0.041</v>
      </c>
    </row>
    <row r="1577">
      <c r="A1577" t="inlineStr">
        <is>
          <t>retrofit</t>
        </is>
      </c>
      <c r="B1577" t="inlineStr">
        <is>
          <t>retrofit/test-helpers/src/main/java/retrofit2/helpers/ExampleWithoutParameterNames.java</t>
        </is>
      </c>
      <c r="C1577">
        <f>HYPERLINK("https://github.com/square/retrofit/blob/master/retrofit/test-helpers/src/main/java/retrofit2/helpers/ExampleWithoutParameterNames.java")</f>
        <v/>
      </c>
      <c r="D1577" t="inlineStr">
        <is>
          <t>The provided code defines an interface called `ExampleWithoutParameterNames` that has one method named `method`. The method takes a single string argument called `theFirstParameter`, which is annotated with `@GET("/")` to indicate that it should be used as a GET request URL path. The return type of the method is a `Call` object that wraps a `ResponseBody` object</t>
        </is>
      </c>
      <c r="E1577" t="n">
        <v>0</v>
      </c>
      <c r="F1577" t="n">
        <v>0</v>
      </c>
      <c r="G1577" t="n">
        <v>0.0391</v>
      </c>
      <c r="H1577" t="inlineStr">
        <is>
          <t>The code defines an interface called `ExampleWithoutParameterNames` that has one method called `method`. The method takes a single string parameter named `theFirstParameter`, and returns a `Call` object that represents a network request. The `@GET` annotation indicates that the HTTP method used for the request is GET. The response body of the request is expected to be a `ResponseBody`</t>
        </is>
      </c>
      <c r="I1577" t="n">
        <v>0.0031</v>
      </c>
      <c r="J1577" t="n">
        <v>0.0303</v>
      </c>
      <c r="K1577" t="n">
        <v>0.0769</v>
      </c>
      <c r="L1577" t="inlineStr">
        <is>
          <t>The code defines an interface named `ExampleWithoutParameterNames` that has one method called `method`. The method takes a single string argument named `theFirstParameter`, which is annotated with `@GET("/")` to indicate that it should be used as a GET request URL path. The return type of the method is a `Call` object that wraps a response body of type `Response</t>
        </is>
      </c>
      <c r="M1577" t="n">
        <v>0</v>
      </c>
      <c r="N1577" t="n">
        <v>0</v>
      </c>
      <c r="O1577" t="n">
        <v>0.0385</v>
      </c>
    </row>
    <row r="1578">
      <c r="A1578" t="inlineStr">
        <is>
          <t>retrofit</t>
        </is>
      </c>
      <c r="B1578" t="inlineStr">
        <is>
          <t>retrofit/test-helpers/src/main/java/retrofit2/helpers/NullObjectConverterFactory.java</t>
        </is>
      </c>
      <c r="C1578">
        <f>HYPERLINK("https://github.com/square/retrofit/blob/master/retrofit/test-helpers/src/main/java/retrofit2/helpers/NullObjectConverterFactory.java")</f>
        <v/>
      </c>
      <c r="D1578" t="inlineStr">
        <is>
          <t>The `NullObjectConverterFactory` class is a custom converter factory that always returns a null value when converting objects to strings using the `stringConverter()` method. This means that any object passed into this method will be converted to a null value.
The `NullObjectConverterFactory` class inherits from the `retrofit2.Converter.Factory` interface and overrides the `</t>
        </is>
      </c>
      <c r="E1578" t="n">
        <v>0.0043</v>
      </c>
      <c r="F1578" t="n">
        <v>0.0667</v>
      </c>
      <c r="G1578" t="n">
        <v>0.122</v>
      </c>
      <c r="H1578" t="inlineStr">
        <is>
          <t>This code defines a custom `Converter` factory called `NullObjectConverterFactory`. It implements the `retrofit2.Converter.Factory` interface and provides a method called `stringConverter()` that returns a new instance of `Converter` which always converts to `null`. The `Converter` implementation does not perform any actual conversion but simply returns `null` every time it is invoked.</t>
        </is>
      </c>
      <c r="I1578" t="n">
        <v>0.0048</v>
      </c>
      <c r="J1578" t="n">
        <v>0.1</v>
      </c>
      <c r="K1578" t="n">
        <v>0.123</v>
      </c>
      <c r="L1578" t="inlineStr">
        <is>
          <t>The `NullObjectConverterFactory` class is a custom converter factory that always returns a null value when converting objects to strings. It belongs to the `retrofit2.helpers` package and is used as part of the `Retrofit` library.</t>
        </is>
      </c>
      <c r="M1578" t="n">
        <v>0.0055</v>
      </c>
      <c r="N1578" t="n">
        <v>0.0465</v>
      </c>
      <c r="O1578" t="n">
        <v>0.09429999999999999</v>
      </c>
    </row>
    <row r="1579">
      <c r="A1579" t="inlineStr">
        <is>
          <t>retrofit</t>
        </is>
      </c>
      <c r="B1579" t="inlineStr">
        <is>
          <t>retrofit/test-helpers/src/main/java/retrofit2/helpers/NonMatchingCallAdapterFactory.java</t>
        </is>
      </c>
      <c r="C1579">
        <f>HYPERLINK("https://github.com/square/retrofit/blob/master/retrofit/test-helpers/src/main/java/retrofit2/helpers/NonMatchingCallAdapterFactory.java")</f>
        <v/>
      </c>
      <c r="D1579" t="inlineStr">
        <is>
          <t>The `NonMatchingCallAdapterFactory` is a custom call adapter factory that is used to create instances of the `CallAdapter` interface. It has a single method, `get`, which takes three parameters: `returnType`, `annotations`, and `methodAnnotations`. This method returns an instance of `CallAdapter` if it can handle the given type and annotations, otherwise</t>
        </is>
      </c>
      <c r="E1579" t="n">
        <v>0.0045</v>
      </c>
      <c r="F1579" t="n">
        <v>0.0702</v>
      </c>
      <c r="G1579" t="n">
        <v>0.124</v>
      </c>
      <c r="H1579" t="inlineStr">
        <is>
          <t>This code defines a custom Retrofit call adapter factory that can be used to handle non-matching method signatures during API calls. The `NonMatchingCallAdapterFactory` class implements the `CallAdapter.Factory` interface and overrides its `get()` method to check if the given method signature matches any of the supported types. If it does not match, the `called`</t>
        </is>
      </c>
      <c r="I1579" t="n">
        <v>0.0045</v>
      </c>
      <c r="J1579" t="n">
        <v>0.09520000000000001</v>
      </c>
      <c r="K1579" t="n">
        <v>0.16</v>
      </c>
      <c r="L1579" t="inlineStr">
        <is>
          <t>The code defines a custom Retrofit call adapter factory that checks if the given type matches one of the supported types before delegating to another call adapter factory. It also has a flag `called` that indicates whether the method was called.</t>
        </is>
      </c>
      <c r="M1579" t="n">
        <v>0</v>
      </c>
      <c r="N1579" t="n">
        <v>0</v>
      </c>
      <c r="O1579" t="n">
        <v>0</v>
      </c>
    </row>
    <row r="1580">
      <c r="A1580" t="inlineStr">
        <is>
          <t>retrofit</t>
        </is>
      </c>
      <c r="B1580" t="inlineStr">
        <is>
          <t>retrofit/test-helpers/src/main/java/retrofit2/helpers/ToStringConverterFactory.java</t>
        </is>
      </c>
      <c r="C1580">
        <f>HYPERLINK("https://github.com/square/retrofit/blob/master/retrofit/test-helpers/src/main/java/retrofit2/helpers/ToStringConverterFactory.java")</f>
        <v/>
      </c>
      <c r="D1580" t="inlineStr">
        <is>
          <t>The `ToStringConverterFactory` class is a custom Retrofit converter factory that allows converting objects to strings and vice versa. It implements the `Converter.Factory` interface from the Retrofit library.
The `toString` method takes an object as input and returns its string representation using the `Object#toString()` method.
The `fromString` method takes a string</t>
        </is>
      </c>
      <c r="E1580" t="n">
        <v>0.0044</v>
      </c>
      <c r="F1580" t="n">
        <v>0.0667</v>
      </c>
      <c r="G1580" t="n">
        <v>0.123</v>
      </c>
      <c r="H1580" t="inlineStr">
        <is>
          <t>This code defines a custom converter factory called `ToStringConverterFactory` that can be used to convert objects into their string representations when sending them as request bodies using Retrofit. The factory takes a single parameter, which is the type of object being converted. It then returns a new instance of `Converter` that can handle converting objects of that type to strings.
The implementation of the `</t>
        </is>
      </c>
      <c r="I1580" t="n">
        <v>0.0028</v>
      </c>
      <c r="J1580" t="n">
        <v>0.0556</v>
      </c>
      <c r="K1580" t="n">
        <v>0.1095</v>
      </c>
      <c r="L1580" t="inlineStr">
        <is>
          <t>The `ToStringConverterFactory` class is a custom converter factory used by Retrofit to convert objects to and from strings. It provides a simple implementation of the `Converter.Factory` interface that allows users to easily add support for converting objects to and from strings.
The class takes two type parameters: `T`, which represents the object being converted, and `R`, which represents the</t>
        </is>
      </c>
      <c r="M1580" t="n">
        <v>0.0031</v>
      </c>
      <c r="N1580" t="n">
        <v>0.0588</v>
      </c>
      <c r="O1580" t="n">
        <v>0.1145</v>
      </c>
    </row>
    <row r="1581">
      <c r="A1581" t="inlineStr">
        <is>
          <t>retrofit</t>
        </is>
      </c>
      <c r="B1581" t="inlineStr">
        <is>
          <t>retrofit/test-helpers/src/main/java/retrofit2/helpers/DelegatingCallAdapterFactory.java</t>
        </is>
      </c>
      <c r="C1581">
        <f>HYPERLINK("https://github.com/square/retrofit/blob/master/retrofit/test-helpers/src/main/java/retrofit2/helpers/DelegatingCallAdapterFactory.java")</f>
        <v/>
      </c>
      <c r="D1581" t="inlineStr">
        <is>
          <t>This is a Java implementation of a call adapter factory that delegates to another call adapter when creating a new instance of a `Call` object. The factory has a `called` field that is set to `true` whenever it is used to create a new call adapter. It also implements the `get()` method from the `CallAdapter.Factory` interface, which returns a new call adapter</t>
        </is>
      </c>
      <c r="E1581" t="n">
        <v>0.0035</v>
      </c>
      <c r="F1581" t="n">
        <v>0.0563</v>
      </c>
      <c r="G1581" t="n">
        <v>0.1119</v>
      </c>
      <c r="H1581" t="inlineStr">
        <is>
          <t>This code defines a `DelegatingCallAdapterFactory` class that extends the `CallAdapter.Factory` interface from the `retrofit2` library. The factory creates instances of call adapters based on the type of the returned value and the annotations present on the method being invoked. It also has a field named `called` which is set to `true` when the `get</t>
        </is>
      </c>
      <c r="I1581" t="n">
        <v>0.004</v>
      </c>
      <c r="J1581" t="n">
        <v>0.0635</v>
      </c>
      <c r="K1581" t="n">
        <v>0.0794</v>
      </c>
      <c r="L1581" t="inlineStr">
        <is>
          <t>The `DelegatingCallAdapterFactory` class provides a call adapter factory that delegates the creation of call adapters to other factories. It has one method, `get`, which takes three parameters: `returnType`, `annotations`, and `retrofit`. When this method is called, it sets a flag named `called` to `true` and returns a new instance</t>
        </is>
      </c>
      <c r="M1581" t="n">
        <v>0.0037</v>
      </c>
      <c r="N1581" t="n">
        <v>0.0702</v>
      </c>
      <c r="O1581" t="n">
        <v>0.08260000000000001</v>
      </c>
    </row>
    <row r="1582">
      <c r="A1582" t="inlineStr">
        <is>
          <t>retrofit</t>
        </is>
      </c>
      <c r="B1582" t="inlineStr">
        <is>
          <t>retrofit/kotlin-test/src/test/java/retrofit2/KotlinRequestFactoryTest.java</t>
        </is>
      </c>
      <c r="C1582">
        <f>HYPERLINK("https://github.com/square/retrofit/blob/master/retrofit/kotlin-test/src/test/java/retrofit2/KotlinRequestFactoryTest.java")</f>
        <v/>
      </c>
      <c r="D1582" t="inlineStr">
        <is>
          <t>The provided code is a test for the `KotlinRequestFactory` class in the `retrofit2` package. It tests that when a `@HEAD` annotation is used on a method, it results in a HEAD HTTP request with no headers or body.
The test creates an instance of the `Example` class, which has a single method annotated with `@HEAD`.</t>
        </is>
      </c>
      <c r="E1582" t="n">
        <v>0</v>
      </c>
      <c r="F1582" t="n">
        <v>0</v>
      </c>
      <c r="G1582" t="n">
        <v>0.0394</v>
      </c>
      <c r="H1582" t="inlineStr">
        <is>
          <t>This is a Java test file for the Retrofit library that tests the creation of HTTP HEAD requests using the `@HEAD` annotation in Kotlin. The `KotlinRequestFactoryTest` class defines a single test method named `headUnit()`, which creates a new instance of the `Example` class and calls its `method()` method to create a `Call` object representing the HTTP HE</t>
        </is>
      </c>
      <c r="I1582" t="n">
        <v>0.0038</v>
      </c>
      <c r="J1582" t="n">
        <v>0.0615</v>
      </c>
      <c r="K1582" t="n">
        <v>0.1163</v>
      </c>
      <c r="L1582" t="inlineStr">
        <is>
          <t>The provided code is a test case for the `KotlinRequestFactory` class in the Retrofit library. It tests the creation of a `Request` object using the `@HEAD` annotation from the `retrofit2` package. The test creates a mock service interface with a single method annotated with `@HEAD`, which returns a `Call` object that represents the HTTP HEAD</t>
        </is>
      </c>
      <c r="M1582" t="n">
        <v>0</v>
      </c>
      <c r="N1582" t="n">
        <v>0</v>
      </c>
      <c r="O1582" t="n">
        <v>0.0394</v>
      </c>
    </row>
    <row r="1583">
      <c r="A1583" t="inlineStr">
        <is>
          <t>retrofit</t>
        </is>
      </c>
      <c r="B1583" t="inlineStr">
        <is>
          <t>retrofit/kotlin-test/src/test/java/retrofit2/KotlinSuspendRawTest.java</t>
        </is>
      </c>
      <c r="C1583">
        <f>HYPERLINK("https://github.com/square/retrofit/blob/master/retrofit/kotlin-test/src/test/java/retrofit2/KotlinSuspendRawTest.java")</f>
        <v/>
      </c>
      <c r="D1583" t="inlineStr">
        <is>
          <t>The provided code defines a unit test for a Retrofit service that uses Kotlin coroutines to make HTTP requests. It sets up a MockWebServer to handle incoming requests and responds with predefined responses. The test verifies that the service's `getData()` method returns the expected data when called with a valid URL.</t>
        </is>
      </c>
      <c r="E1583" t="n">
        <v>0.0036</v>
      </c>
      <c r="F1583" t="n">
        <v>0.0333</v>
      </c>
      <c r="G1583" t="n">
        <v>0.0813</v>
      </c>
      <c r="H1583" t="inlineStr">
        <is>
          <t>The code defines a package named `retrofit2` that provides a library for building RESTful APIs. It includes classes and interfaces related to HTTP requests and responses, as well as tools for working with JSON data. The code also includes tests for the library's functionality using JUnit and OkHttp.</t>
        </is>
      </c>
      <c r="I1583" t="n">
        <v>0.0045</v>
      </c>
      <c r="J1583" t="n">
        <v>0.0702</v>
      </c>
      <c r="K1583" t="n">
        <v>0.0833</v>
      </c>
      <c r="L1583" t="inlineStr">
        <is>
          <t>The code defines a unit test that verifies the behavior of the `retrofit2` package's `CallAdapter` class when used with Kotlin coroutines. It sets up a mock web server using the OkHttp library and uses JUnit to run the test. The test creates a new instance of the `CallAdapter` class and invokes its `adapt()` method</t>
        </is>
      </c>
      <c r="M1583" t="n">
        <v>0.0034</v>
      </c>
      <c r="N1583" t="n">
        <v>0.0317</v>
      </c>
      <c r="O1583" t="n">
        <v>0.0794</v>
      </c>
    </row>
    <row r="1584">
      <c r="A1584" t="inlineStr">
        <is>
          <t>retrofit</t>
        </is>
      </c>
      <c r="B1584" t="inlineStr">
        <is>
          <t>retrofit/kotlin-test/src/test/java/retrofit2/KotlinUnitTest.java</t>
        </is>
      </c>
      <c r="C1584">
        <f>HYPERLINK("https://github.com/square/retrofit/blob/master/retrofit/kotlin-test/src/test/java/retrofit2/KotlinUnitTest.java")</f>
        <v/>
      </c>
      <c r="D1584" t="inlineStr">
        <is>
          <t>This code appears to be a unit test written in Java using JUnit and OkHttp's MockWebServer library. It tests the behavior of a Retrofit client that makes HTTP requests. The test sets up a mock web server and defines two endpoints, one for GET requests and another for HEAD requests. When the test runs, it sends a request to each endpoint and verifies</t>
        </is>
      </c>
      <c r="E1584" t="n">
        <v>0.0034</v>
      </c>
      <c r="F1584" t="n">
        <v>0.0556</v>
      </c>
      <c r="G1584" t="n">
        <v>0.1111</v>
      </c>
      <c r="H1584" t="inlineStr">
        <is>
          <t>This is a Java project that uses Retrofit library to make HTTP requests from Android devices. The project includes a unit test written in Kotlin that tests the implementation of a GET request using the `retrofit2` package. The test sets up a mock web server using the `okhttp3` package and sends a GET request to it. It then asserts that the response</t>
        </is>
      </c>
      <c r="I1584" t="n">
        <v>0.0035</v>
      </c>
      <c r="J1584" t="n">
        <v>0.0857</v>
      </c>
      <c r="K1584" t="n">
        <v>0.1493</v>
      </c>
      <c r="L1584" t="inlineStr">
        <is>
          <t>The provided code defines a unit test for a Retrofit client using Kotlin programming language. It sets up a mock web server using OkHttp's MockWebServer, creates a Retrofit instance with a GET and HEAD method, and then sends a request to the mock server to verify that the response body is empty. The test asserts that the response status code is</t>
        </is>
      </c>
      <c r="M1584" t="n">
        <v>0.003</v>
      </c>
      <c r="N1584" t="n">
        <v>0.0286</v>
      </c>
      <c r="O1584" t="n">
        <v>0.0752</v>
      </c>
    </row>
    <row r="1585">
      <c r="A1585" t="inlineStr">
        <is>
          <t>retrofit</t>
        </is>
      </c>
      <c r="B1585" t="inlineStr">
        <is>
          <t>retrofit/kotlin-test/src/test/java/retrofit2/KotlinExtensionsTest.kt</t>
        </is>
      </c>
      <c r="C1585">
        <f>HYPERLINK("https://github.com/square/retrofit/blob/master/retrofit/kotlin-test/src/test/java/retrofit2/KotlinExtensionsTest.kt")</f>
        <v/>
      </c>
      <c r="D1585" t="inlineStr">
        <is>
          <t>The provided code defines a test suite for a Retrofit client using JUnit 5 and OkHttp's MockWebServer. It includes one test method that verifies that the `reifiedCreate` function can create an instance of a service interface without any errors.
The test uses the `@Rule` annotation to inject a mock web server into the test class, which allows it</t>
        </is>
      </c>
      <c r="E1585" t="n">
        <v>0.0031</v>
      </c>
      <c r="F1585" t="n">
        <v>0.0299</v>
      </c>
      <c r="G1585" t="n">
        <v>0.0769</v>
      </c>
      <c r="H1585" t="inlineStr">
        <is>
          <t>This code defines a JUnit test class named `KotlinExtensionsTest` that uses the `Retrofit` library to create a REST client. The test creates a mock web server using the `MockWebServer` class from OkHttp, sets up a base URL for the API endpoint, and then calls the `create()` method on the `Retrofit` instance to create a new</t>
        </is>
      </c>
      <c r="I1585" t="n">
        <v>0.004</v>
      </c>
      <c r="J1585" t="n">
        <v>0.0635</v>
      </c>
      <c r="K1585" t="n">
        <v>0.1181</v>
      </c>
      <c r="L1585" t="inlineStr">
        <is>
          <t>The provided code defines a test class named `KotlinExtensionsTest` that uses JUnit to unit test the functionality of the `Retrofit` library's extension method `reifiedCreate()`. The test creates a mock web server using OkHttp's `MockWebServer` class and sets up a base URL for the Retrofit instance being tested. Then, it calls the `</t>
        </is>
      </c>
      <c r="M1585" t="n">
        <v>0.0042</v>
      </c>
      <c r="N1585" t="n">
        <v>0.06560000000000001</v>
      </c>
      <c r="O1585" t="n">
        <v>0.0806</v>
      </c>
    </row>
    <row r="1586">
      <c r="A1586" t="inlineStr">
        <is>
          <t>retrofit</t>
        </is>
      </c>
      <c r="B1586" t="inlineStr">
        <is>
          <t>retrofit/kotlin-test/src/test/java/retrofit2/KotlinSuspendTest.kt</t>
        </is>
      </c>
      <c r="C1586">
        <f>HYPERLINK("https://github.com/square/retrofit/blob/master/retrofit/kotlin-test/src/test/java/retrofit2/KotlinSuspendTest.kt")</f>
        <v/>
      </c>
      <c r="D1586" t="inlineStr">
        <is>
          <t>This code appears to be part of a Retrofit library for making HTTP API calls from Kotlin coroutines. It defines several classes and functions related to networking and asynchronous execution. The main class `Retrofit` has methods for creating instances of other classes that can make HTTP requests, such as `create()` and `call()`. The `CallAdapter.Factory` class provides a way</t>
        </is>
      </c>
      <c r="E1586" t="n">
        <v>0.0037</v>
      </c>
      <c r="F1586" t="n">
        <v>0.0896</v>
      </c>
      <c r="G1586" t="n">
        <v>0.1154</v>
      </c>
      <c r="H1586" t="inlineStr">
        <is>
          <t>This code defines a package called `retrofit2` that provides a set of classes and interfaces for building RESTful APIs using Kotlin. The package includes several key components, including:
* A `Retrofit` class that serves as the main entry point for creating API clients.
* An `ApiClient` interface that represents a client for making HTTP requests.
*</t>
        </is>
      </c>
      <c r="I1586" t="n">
        <v>0.0039</v>
      </c>
      <c r="J1586" t="n">
        <v>0.06560000000000001</v>
      </c>
      <c r="K1586" t="n">
        <v>0.1172</v>
      </c>
      <c r="L1586" t="inlineStr">
        <is>
          <t>The code defines a Retrofit library that provides a simple way to make HTTP requests from Android apps using Kotlin coroutines. It includes several classes and interfaces related to request execution, response handling, and error management. The package also includes some utility functions for working with types and dispatchers. Overall, the code appears to be well-structured and easy to understand, with good</t>
        </is>
      </c>
      <c r="M1586" t="n">
        <v>0.0029</v>
      </c>
      <c r="N1586" t="n">
        <v>0.0563</v>
      </c>
      <c r="O1586" t="n">
        <v>0.0746</v>
      </c>
    </row>
    <row r="1587">
      <c r="A1587" t="inlineStr">
        <is>
          <t>retrofit</t>
        </is>
      </c>
      <c r="B1587" t="inlineStr">
        <is>
          <t>retrofit/java-test/src/test/java/retrofit2/CallAdapterTest.java</t>
        </is>
      </c>
      <c r="C1587">
        <f>HYPERLINK("https://github.com/square/retrofit/blob/master/retrofit/java-test/src/test/java/retrofit2/CallAdapterTest.java")</f>
        <v/>
      </c>
      <c r="D1587" t="inlineStr">
        <is>
          <t>The provided code defines a set of classes and interfaces that implement the `retrofit2` package for Android app development. It includes several files such as `Call`, `Callback`, `Converter`, `Retrofit`, and `ServiceMethod`. These classes and interfaces provide functionalities for making HTTP requests, handling callbacks, converting data types, and creating services.
The `Call</t>
        </is>
      </c>
      <c r="E1587" t="n">
        <v>0.0036</v>
      </c>
      <c r="F1587" t="n">
        <v>0.1017</v>
      </c>
      <c r="G1587" t="n">
        <v>0.122</v>
      </c>
      <c r="H1587" t="inlineStr">
        <is>
          <t>This code appears to be part of a Java library called Retrofit, which is used for building RESTful APIs. The code defines several classes and interfaces related to call adapters, which are responsible for converting between HTTP requests and responses and method calls.
The `CallAdapter` class is the main entry point for creating and configuring call adapters. It has several methods</t>
        </is>
      </c>
      <c r="I1587" t="n">
        <v>0.0036</v>
      </c>
      <c r="J1587" t="n">
        <v>0.058</v>
      </c>
      <c r="K1587" t="n">
        <v>0.1128</v>
      </c>
      <c r="L1587" t="inlineStr">
        <is>
          <t>The provided code defines a set of utility functions for working with Java types and reflection. These functions include methods for extracting type information from parameters, converting between types, and performing other related tasks. The primary purpose of these functions appears to be to support the development of Retrofit, a library for building REST clients in Android.</t>
        </is>
      </c>
      <c r="M1587" t="n">
        <v>0.0032</v>
      </c>
      <c r="N1587" t="n">
        <v>0.0615</v>
      </c>
      <c r="O1587" t="n">
        <v>0.0775</v>
      </c>
    </row>
    <row r="1588">
      <c r="A1588" t="inlineStr">
        <is>
          <t>retrofit</t>
        </is>
      </c>
      <c r="B1588" t="inlineStr">
        <is>
          <t>retrofit/java-test/src/test/java/retrofit2/RetrofitTest.java</t>
        </is>
      </c>
      <c r="C1588">
        <f>HYPERLINK("https://github.com/square/retrofit/blob/master/retrofit/java-test/src/test/java/retrofit2/RetrofitTest.java")</f>
        <v/>
      </c>
      <c r="D1588" t="inlineStr">
        <is>
          <t>This code appears to be part of a Java project that uses Retrofit 2 library to make HTTP requests. The code defines several classes and methods related to the implementation of the Retrofit client.
The `Retrofit` class is the main entry point for making HTTP requests using Retrofit. It provides a fluent API for configuring the request and response handling.</t>
        </is>
      </c>
      <c r="E1588" t="n">
        <v>0.0036</v>
      </c>
      <c r="F1588" t="n">
        <v>0.0882</v>
      </c>
      <c r="G1588" t="n">
        <v>0.1515</v>
      </c>
      <c r="H1588" t="inlineStr">
        <is>
          <t>This code appears to be a Java package called `retrofit2` that provides a library for making HTTP requests from Android apps using OkHttp as the underlying networking layer. The package includes several classes and interfaces related to request execution, response parsing, and error handling.
The main entry point into the library seems to be the `Retrofit` class, which provides a builder API</t>
        </is>
      </c>
      <c r="I1588" t="n">
        <v>0.0035</v>
      </c>
      <c r="J1588" t="n">
        <v>0.0571</v>
      </c>
      <c r="K1588" t="n">
        <v>0.1119</v>
      </c>
      <c r="L1588" t="inlineStr">
        <is>
          <t>The provided code is part of the Retrofit library, which is used for building RESTful APIs in Android applications. It defines several classes and interfaces that are used to create and execute HTTP requests. The code includes annotations for defining request methods, headers, and query parameters, as well as functions for creating and executing HTTP requests using OkHttpClient. The code also includes unit tests using JUnit</t>
        </is>
      </c>
      <c r="M1588" t="n">
        <v>0.0028</v>
      </c>
      <c r="N1588" t="n">
        <v>0.0541</v>
      </c>
      <c r="O1588" t="n">
        <v>0.0725</v>
      </c>
    </row>
    <row r="1589">
      <c r="A1589" t="inlineStr">
        <is>
          <t>retrofit</t>
        </is>
      </c>
      <c r="B1589" t="inlineStr">
        <is>
          <t>retrofit/java-test/src/test/java/retrofit2/RequestFactoryTest.java</t>
        </is>
      </c>
      <c r="C1589">
        <f>HYPERLINK("https://github.com/square/retrofit/blob/master/retrofit/java-test/src/test/java/retrofit2/RequestFactoryTest.java")</f>
        <v/>
      </c>
      <c r="D1589" t="inlineStr">
        <is>
          <t>The provided code appears to be a Java implementation of a REST client using Retrofit library. It defines several interfaces and classes that handle HTTP requests and responses, as well as some test cases using JUnit framework.
The `Retrofit` class is the main entry point for making HTTP requests. It provides methods for creating instances of `Call`, which represent a single request, and</t>
        </is>
      </c>
      <c r="E1589" t="n">
        <v>0.0029</v>
      </c>
      <c r="F1589" t="n">
        <v>0.0563</v>
      </c>
      <c r="G1589" t="n">
        <v>0.1111</v>
      </c>
      <c r="H1589" t="inlineStr">
        <is>
          <t>This code appears to be part of a Java library called Retrofit 2. It defines several classes and interfaces related to building HTTP requests and handling responses from web servers. The main class of interest seems to be `Retrofit`, which provides a way to create instances of `Call` objects that can be used to make HTTP requests. Other notable classes include `OkHttpClient`, `</t>
        </is>
      </c>
      <c r="I1589" t="n">
        <v>0.0034</v>
      </c>
      <c r="J1589" t="n">
        <v>0.0571</v>
      </c>
      <c r="K1589" t="n">
        <v>0.1111</v>
      </c>
      <c r="L1589" t="inlineStr">
        <is>
          <t>The provided code is a Java package named `retrofit2` that provides a library for building REST clients. It defines several classes and interfaces related to HTTP requests and responses, as well as some utility methods for working with JSON data. The package includes unit tests using JUnit and Truth libraries for testing the functionality of the code.</t>
        </is>
      </c>
      <c r="M1589" t="n">
        <v>0.0038</v>
      </c>
      <c r="N1589" t="n">
        <v>0.0308</v>
      </c>
      <c r="O1589" t="n">
        <v>0.0775</v>
      </c>
    </row>
    <row r="1590">
      <c r="A1590" t="inlineStr">
        <is>
          <t>retrofit</t>
        </is>
      </c>
      <c r="B1590" t="inlineStr">
        <is>
          <t>retrofit/java-test/src/test/java/retrofit2/Java8DefaultStaticMethodsInValidationTest.java</t>
        </is>
      </c>
      <c r="C1590">
        <f>HYPERLINK("https://github.com/square/retrofit/blob/master/retrofit/java-test/src/test/java/retrofit2/Java8DefaultStaticMethodsInValidationTest.java")</f>
        <v/>
      </c>
      <c r="D1590" t="inlineStr">
        <is>
          <t>This code defines a test suite for validating the behavior of a Retrofit client when using Java 8 default methods. It uses JUnit 4 annotations to define tests that exercise different scenarios involving the usage of default methods in interfaces. The `Java8DefaultStaticMethodsInValidationTest` class provides a mock web server using OkHttp's MockWebServer library and sets up a Ret</t>
        </is>
      </c>
      <c r="E1590" t="n">
        <v>0.0038</v>
      </c>
      <c r="F1590" t="n">
        <v>0.0606</v>
      </c>
      <c r="G1590" t="n">
        <v>0.1163</v>
      </c>
      <c r="H1590" t="inlineStr">
        <is>
          <t>This is a test suite for a Retrofit client that uses Java 8 default methods to implement its API interfaces. The `Java8DefaultStaticMethodsInValidationTest` class contains several test cases that validate the behavior of the client when using Java 8 default methods.
The tests cover various scenarios such as:
* Testing the `get()` method to ensure it returns</t>
        </is>
      </c>
      <c r="I1590" t="n">
        <v>0.0033</v>
      </c>
      <c r="J1590" t="n">
        <v>0.0635</v>
      </c>
      <c r="K1590" t="n">
        <v>0.1172</v>
      </c>
      <c r="L1590" t="inlineStr">
        <is>
          <t>The provided code defines a JUnit test suite that tests the functionality of a Retrofit client using Java 8 default methods. The test suite sets up a mock web server and uses the `MockWebServer` rule from OkHttp to simulate a REST API endpoint. It then creates a Retrofit instance with a custom converter factory (`ToStringConverterFactory`) and verifies that the client can</t>
        </is>
      </c>
      <c r="M1590" t="n">
        <v>0.0036</v>
      </c>
      <c r="N1590" t="n">
        <v>0.058</v>
      </c>
      <c r="O1590" t="n">
        <v>0.0752</v>
      </c>
    </row>
    <row r="1591">
      <c r="A1591" t="inlineStr">
        <is>
          <t>retrofit</t>
        </is>
      </c>
      <c r="B1591" t="inlineStr">
        <is>
          <t>retrofit/java-test/src/test/java/retrofit2/CallTest.java</t>
        </is>
      </c>
      <c r="C1591">
        <f>HYPERLINK("https://github.com/square/retrofit/blob/master/retrofit/java-test/src/test/java/retrofit2/CallTest.java")</f>
        <v/>
      </c>
      <c r="D1591" t="inlineStr">
        <is>
          <t>This code appears to be part of a Java project that uses Retrofit 2 to make HTTP requests. It includes tests for the library's functionality using JUnit and OkHttp MockWebServer. The code defines several classes and methods related to Retrofit configuration and usage, including a `Retrofit` class that sets up the client, a `Service` interface that defines the</t>
        </is>
      </c>
      <c r="E1591" t="n">
        <v>0.0041</v>
      </c>
      <c r="F1591" t="n">
        <v>0.0896</v>
      </c>
      <c r="G1591" t="n">
        <v>0.1154</v>
      </c>
      <c r="H1591" t="inlineStr">
        <is>
          <t>The code in this repository appears to be a Java implementation of a Retrofit client library for making HTTP requests. It includes several classes and interfaces related to the library's architecture, as well as some test cases and documentation.
The main class of interest seems to be `Retrofit`, which provides the primary API for making HTTP requests using the Retrofit client library. This</t>
        </is>
      </c>
      <c r="I1591" t="n">
        <v>0.0034</v>
      </c>
      <c r="J1591" t="n">
        <v>0.0833</v>
      </c>
      <c r="K1591" t="n">
        <v>0.1481</v>
      </c>
      <c r="L1591" t="inlineStr">
        <is>
          <t>The provided code is part of a Java library called Retrofit, which is used for building RESTful APIs. It appears to be a unit test that verifies the correctness of the library's response handling mechanism.
The test sets up a mock web server using OkHttp's MockWebServer class, configures it to disconnect during the response body, and then sends</t>
        </is>
      </c>
      <c r="M1591" t="n">
        <v>0.0031</v>
      </c>
      <c r="N1591" t="n">
        <v>0.0294</v>
      </c>
      <c r="O1591" t="n">
        <v>0.0769</v>
      </c>
    </row>
    <row r="1592">
      <c r="A1592" t="inlineStr">
        <is>
          <t>retrofit</t>
        </is>
      </c>
      <c r="B1592" t="inlineStr">
        <is>
          <t>retrofit/java-test/src/test/java/retrofit2/ResponseTest.java</t>
        </is>
      </c>
      <c r="C1592">
        <f>HYPERLINK("https://github.com/square/retrofit/blob/master/retrofit/java-test/src/test/java/retrofit2/ResponseTest.java")</f>
        <v/>
      </c>
      <c r="D1592" t="inlineStr">
        <is>
          <t>The provided code defines a test suite for the `retrofit2` package, which is part of the Retrofit library for Android and Java applications. The test suite includes several tests that verify the behavior of the `okhttp3.Response` class, which represents HTTP responses from the OkHttp library.
The first test case verifies that the `okhttp3.Response</t>
        </is>
      </c>
      <c r="E1592" t="n">
        <v>0.0035</v>
      </c>
      <c r="F1592" t="n">
        <v>0.0317</v>
      </c>
      <c r="G1592" t="n">
        <v>0.08</v>
      </c>
      <c r="H1592" t="inlineStr">
        <is>
          <t>This code defines a test suite for the `retrofit2` package, which provides a Java API for making HTTP requests using OkHttp as the underlying transport layer. The test cases cover various scenarios related to response handling, including successful responses, error responses, and response headers.
The code imports several packages from the `okhttp3` and `com.google.common.tr</t>
        </is>
      </c>
      <c r="I1592" t="n">
        <v>0.004</v>
      </c>
      <c r="J1592" t="n">
        <v>0.0615</v>
      </c>
      <c r="K1592" t="n">
        <v>0.119</v>
      </c>
      <c r="L1592" t="inlineStr">
        <is>
          <t>The provided code defines a test suite for the `retrofit2` package's `Response` class. It includes several unit tests that verify the correctness of various methods related to HTTP responses, such as parsing headers, checking response codes, and extracting response bodies. The tests also demonstrate how to use the `okhttp3` library to create mock HTTP responses for testing purposes.</t>
        </is>
      </c>
      <c r="M1592" t="n">
        <v>0.0031</v>
      </c>
      <c r="N1592" t="n">
        <v>0.0299</v>
      </c>
      <c r="O1592" t="n">
        <v>0.0769</v>
      </c>
    </row>
    <row r="1593">
      <c r="A1593" t="inlineStr">
        <is>
          <t>retrofit</t>
        </is>
      </c>
      <c r="B1593" t="inlineStr">
        <is>
          <t>retrofit/java-test/src/test/java/retrofit2/HttpExceptionTest.java</t>
        </is>
      </c>
      <c r="C1593">
        <f>HYPERLINK("https://github.com/square/retrofit/blob/master/retrofit/java-test/src/test/java/retrofit2/HttpExceptionTest.java")</f>
        <v/>
      </c>
      <c r="D1593" t="inlineStr">
        <is>
          <t>This code appears to be part of a unit test for a `HttpException` class in the Retrofit library. The test case creates a mock `Response` object and passes it to the constructor of `HttpException`. It then verifies that the `code()` method returns the expected value (`200`). Finally, it fails the test if any of these assertions fail.</t>
        </is>
      </c>
      <c r="E1593" t="n">
        <v>0.0038</v>
      </c>
      <c r="F1593" t="n">
        <v>0.0615</v>
      </c>
      <c r="G1593" t="n">
        <v>0.1163</v>
      </c>
      <c r="H1593" t="inlineStr">
        <is>
          <t>This code appears to be part of a Java library called Retrofit2, which is used for making HTTP requests from Android apps. The `HttpException` class is a subclass of `RuntimeException`, and it represents an error that occurred while attempting to make an HTTP request using Retrofit2's API.
The `response()` method returns the `Response` object associated with</t>
        </is>
      </c>
      <c r="I1593" t="n">
        <v>0.0039</v>
      </c>
      <c r="J1593" t="n">
        <v>0.0615</v>
      </c>
      <c r="K1593" t="n">
        <v>0.1172</v>
      </c>
      <c r="L1593" t="inlineStr">
        <is>
          <t>The code defines a test case for `HttpException` class from Retrofit library. It creates a mock `Response` object with status code 200 and checks that the `HttpException` instance created from the response has the correct status code.</t>
        </is>
      </c>
      <c r="M1593" t="n">
        <v>0.005</v>
      </c>
      <c r="N1593" t="n">
        <v>0.0444</v>
      </c>
      <c r="O1593" t="n">
        <v>0.0459</v>
      </c>
    </row>
    <row r="1594">
      <c r="A1594" t="inlineStr">
        <is>
          <t>retrofit</t>
        </is>
      </c>
      <c r="B1594" t="inlineStr">
        <is>
          <t>retrofit/java-test/src/test/java/retrofit2/OptionalConverterFactoryTest.java</t>
        </is>
      </c>
      <c r="C1594">
        <f>HYPERLINK("https://github.com/square/retrofit/blob/master/retrofit/java-test/src/test/java/retrofit2/OptionalConverterFactoryTest.java")</f>
        <v/>
      </c>
      <c r="D1594" t="inlineStr">
        <is>
          <t>The provided code defines a Retrofit client that makes HTTP requests using OkHttp. It includes a `MockWebServer` instance to simulate responses from a server. The client has a single method called `getUser()` which returns an optional user object. The method sends a GET request to the server and parses the response as JSON. If the response is successful, it returns an Optional</t>
        </is>
      </c>
      <c r="E1594" t="n">
        <v>0.0029</v>
      </c>
      <c r="F1594" t="n">
        <v>0.0286</v>
      </c>
      <c r="G1594" t="n">
        <v>0.0746</v>
      </c>
      <c r="H1594" t="inlineStr">
        <is>
          <t>This code defines a Java package called `retrofit2` that provides a library for making HTTP requests using Retrofit. The package includes several classes and interfaces related to request execution, response parsing, and error handling. It also includes a test suite using JUnit and OkHttp MockWebServer.
The main entry point of the library is the `Retrofit` interface,</t>
        </is>
      </c>
      <c r="I1594" t="n">
        <v>0.0039</v>
      </c>
      <c r="J1594" t="n">
        <v>0.0625</v>
      </c>
      <c r="K1594" t="n">
        <v>0.1172</v>
      </c>
      <c r="L1594" t="inlineStr">
        <is>
          <t>The provided code defines a Java class named `Optio` that utilizes Retrofit to make HTTP requests. The class has a single method called `getUser()` which returns an instance of `Optional&lt;User&gt;`. The method makes a GET request to a mock web server using Retrofit's `Call` interface. If the response from the server is successful, the method returns</t>
        </is>
      </c>
      <c r="M1594" t="n">
        <v>0</v>
      </c>
      <c r="N1594" t="n">
        <v>0</v>
      </c>
      <c r="O1594" t="n">
        <v>0.0391</v>
      </c>
    </row>
    <row r="1595">
      <c r="A1595" t="inlineStr">
        <is>
          <t>retrofit</t>
        </is>
      </c>
      <c r="B1595" t="inlineStr">
        <is>
          <t>retrofit/java-test/src/test/java/retrofit2/DefaultCallAdapterFactoryTest.java</t>
        </is>
      </c>
      <c r="C1595">
        <f>HYPERLINK("https://github.com/square/retrofit/blob/master/retrofit/java-test/src/test/java/retrofit2/DefaultCallAdapterFactoryTest.java")</f>
        <v/>
      </c>
      <c r="D1595" t="inlineStr">
        <is>
          <t>The provided code appears to be part of a Java library called Retrofit, which is used for building RESTful APIs. It defines several classes and interfaces that are used to create and execute HTTP requests, as well as handle responses from those requests.
The `Retrofit` class is the main entry point for using the library, and it provides methods for creating instances of other classes</t>
        </is>
      </c>
      <c r="E1595" t="n">
        <v>0.0028</v>
      </c>
      <c r="F1595" t="n">
        <v>0.0274</v>
      </c>
      <c r="G1595" t="n">
        <v>0.073</v>
      </c>
      <c r="H1595" t="inlineStr">
        <is>
          <t>This code appears to be a Java library for building RESTful APIs using Retrofit. It includes classes and interfaces related to HTTP requests, responses, and error handling. The library also provides annotations and utilities for working with types and generics.
The `Retrofit` class is the main entry point for creating a new instance of the library. It takes a `Builder`</t>
        </is>
      </c>
      <c r="I1595" t="n">
        <v>0.0036</v>
      </c>
      <c r="J1595" t="n">
        <v>0.0588</v>
      </c>
      <c r="K1595" t="n">
        <v>0.1136</v>
      </c>
      <c r="L1595" t="inlineStr">
        <is>
          <t>The provided code defines a class named `Retrofit` that implements the `Converter.Factory` interface from OkHttp's library. It provides methods for converting objects into HTTP requests and responses using Retrofit's annotation processor. The class also includes a method for creating instances of itself, which allows developers to create customized converter factories.
The class has several annotations,</t>
        </is>
      </c>
      <c r="M1595" t="n">
        <v>0.004</v>
      </c>
      <c r="N1595" t="n">
        <v>0.0606</v>
      </c>
      <c r="O1595" t="n">
        <v>0.1181</v>
      </c>
    </row>
    <row r="1596">
      <c r="A1596" t="inlineStr">
        <is>
          <t>retrofit</t>
        </is>
      </c>
      <c r="B1596" t="inlineStr">
        <is>
          <t>retrofit/java-test/src/test/java/retrofit2/MethodParameterReflectionTest.java</t>
        </is>
      </c>
      <c r="C1596">
        <f>HYPERLINK("https://github.com/square/retrofit/blob/master/retrofit/java-test/src/test/java/retrofit2/MethodParameterReflectionTest.java")</f>
        <v/>
      </c>
      <c r="D1596" t="inlineStr">
        <is>
          <t>The `MethodParameterReflectionTest` class tests the reflection capabilities of the Retrofit library. It defines a test method called `testMethodParameterReflection()` that uses JUnit annotations to execute the test.
The test method first creates a new instance of the `Retrofit` class using the builder pattern, passing in the base URL as a parameter. It then retrieves</t>
        </is>
      </c>
      <c r="E1596" t="n">
        <v>0</v>
      </c>
      <c r="F1596" t="n">
        <v>0</v>
      </c>
      <c r="G1596" t="n">
        <v>0.04</v>
      </c>
      <c r="H1596" t="inlineStr">
        <is>
          <t>This Java package named `retrofit2` appears to be part of a web service client library called Retrofit. The package contains classes that implement various features related to HTTP requests and responses, such as parsing request bodies and handling response headers.
The `MethodParameterReflectionTest` class in this package seems to be a unit test for the `MethodParameterReflection` class</t>
        </is>
      </c>
      <c r="I1596" t="n">
        <v>0.0039</v>
      </c>
      <c r="J1596" t="n">
        <v>0.09379999999999999</v>
      </c>
      <c r="K1596" t="n">
        <v>0.1563</v>
      </c>
      <c r="L1596" t="inlineStr">
        <is>
          <t>The provided code defines a Java package named `retrofit2` that includes a single class named `MethodParameterReflectionTest`. The class has a single method annotated with `@Test`, which uses JUnit's `assertThat()` method to verify that the reflection API can correctly identify the parameter names of a method that takes no parameters. The test method also demonstrates how to use</t>
        </is>
      </c>
      <c r="M1596" t="n">
        <v>0</v>
      </c>
      <c r="N1596" t="n">
        <v>0</v>
      </c>
      <c r="O1596" t="n">
        <v>0.0388</v>
      </c>
    </row>
    <row r="1597">
      <c r="A1597" t="inlineStr">
        <is>
          <t>retrofit</t>
        </is>
      </c>
      <c r="B1597" t="inlineStr">
        <is>
          <t>retrofit/java-test/src/test/java/retrofit2/CompletableFutureCallAdapterFactoryTest.java</t>
        </is>
      </c>
      <c r="C1597">
        <f>HYPERLINK("https://github.com/square/retrofit/blob/master/retrofit/java-test/src/test/java/retrofit2/CompletableFutureCallAdapterFactoryTest.java")</f>
        <v/>
      </c>
      <c r="D1597" t="inlineStr">
        <is>
          <t>The provided code appears to be a Java implementation of a Retrofit client library for making HTTP requests. It defines several classes and interfaces related to request execution, response parsing, and error handling. Some notable aspects of the code include:
* `Retrofit` class: This class provides the main entry point for using the Retrofit library. It allows users to create instances of</t>
        </is>
      </c>
      <c r="E1597" t="n">
        <v>0.0035</v>
      </c>
      <c r="F1597" t="n">
        <v>0.058</v>
      </c>
      <c r="G1597" t="n">
        <v>0.1493</v>
      </c>
      <c r="H1597" t="inlineStr">
        <is>
          <t>This code appears to be part of a Java library called Retrofit 2, which provides a way to make HTTP requests from Android apps using OkHttp as the underlying networking layer. The library includes a number of classes that provide various features such as request and response serialization, error handling, and caching.
The code snippet you provided seems to be related to the implementation of the `</t>
        </is>
      </c>
      <c r="I1597" t="n">
        <v>0.0032</v>
      </c>
      <c r="J1597" t="n">
        <v>0.0541</v>
      </c>
      <c r="K1597" t="n">
        <v>0.1439</v>
      </c>
      <c r="L1597" t="inlineStr">
        <is>
          <t>The provided code defines a class named `Retrofit` that provides a simple way to make HTTP requests from Java applications. It uses the OkHttp library as the underlying HTTP client implementation. The class has several methods that allow users to create instances of the Retrofit object, set up request interceptors, and execute GET, POST, PUT, DELETE, and HEAD requests.</t>
        </is>
      </c>
      <c r="M1597" t="n">
        <v>0.0031</v>
      </c>
      <c r="N1597" t="n">
        <v>0.0597</v>
      </c>
      <c r="O1597" t="n">
        <v>0.07630000000000001</v>
      </c>
    </row>
    <row r="1598">
      <c r="A1598" t="inlineStr">
        <is>
          <t>retrofit</t>
        </is>
      </c>
      <c r="B1598" t="inlineStr">
        <is>
          <t>retrofit/java-test/src/test/java/retrofit2/RequestFactoryBuilderTest.java</t>
        </is>
      </c>
      <c r="C1598">
        <f>HYPERLINK("https://github.com/square/retrofit/blob/master/retrofit/java-test/src/test/java/retrofit2/RequestFactoryBuilderTest.java")</f>
        <v/>
      </c>
      <c r="D1598" t="inlineStr">
        <is>
          <t>This Java code tests the `RequestFactoryBuilder` class from the Retrofit library. The test case checks that the `pathParameterParsing()` method correctly parses URL paths into individual parameters. It does this by calling the `expectParams()` method with various input strings and comparing the resulting parameter sets against expected values.</t>
        </is>
      </c>
      <c r="E1598" t="n">
        <v>0.0046</v>
      </c>
      <c r="F1598" t="n">
        <v>0.0727</v>
      </c>
      <c r="G1598" t="n">
        <v>0.08400000000000001</v>
      </c>
      <c r="H1598" t="inlineStr">
        <is>
          <t>This Java code implements unit tests for a Retrofit request factory builder. The `RequestFactoryBuilder` class is used to create HTTP requests based on a given URL template and method type. The `pathParameterParsing()` method is one such test case that verifies the parsing of path parameters from a URL string.
The test uses the JUnit testing framework and the Google Tr</t>
        </is>
      </c>
      <c r="I1598" t="n">
        <v>0.004</v>
      </c>
      <c r="J1598" t="n">
        <v>0.0882</v>
      </c>
      <c r="K1598" t="n">
        <v>0.1515</v>
      </c>
      <c r="L1598" t="inlineStr">
        <is>
          <t>The code defines a JUnit test named `pathParameterParsing` that tests the parsing of URI paths into a set of parameters using the `RequestFactoryBuilder`. The test expects the builder to correctly parse the following paths: `/`, `/foo`, `/foo/bar`, and `/foo/bar/baz`.</t>
        </is>
      </c>
      <c r="M1598" t="n">
        <v>0.0047</v>
      </c>
      <c r="N1598" t="n">
        <v>0.0408</v>
      </c>
      <c r="O1598" t="n">
        <v>0.0901</v>
      </c>
    </row>
    <row r="1599">
      <c r="A1599" t="inlineStr">
        <is>
          <t>retrofit</t>
        </is>
      </c>
      <c r="B1599" t="inlineStr">
        <is>
          <t>retrofit/java-test/src/test/java/retrofit2/CompletableFutureTest.java</t>
        </is>
      </c>
      <c r="C1599">
        <f>HYPERLINK("https://github.com/square/retrofit/blob/master/retrofit/java-test/src/test/java/retrofit2/CompletableFutureTest.java")</f>
        <v/>
      </c>
      <c r="D1599" t="inlineStr">
        <is>
          <t>This code appears to be part of a Java project that uses Retrofit 2.0 library to make HTTP requests. It includes test cases using JUnit and OkHttp MockWebServer to simulate server responses. The code defines a `TestService` interface that has one method named `getData`, which returns a `CompletableFuture` object representing the response from the server. The test</t>
        </is>
      </c>
      <c r="E1599" t="n">
        <v>0.0038</v>
      </c>
      <c r="F1599" t="n">
        <v>0.0606</v>
      </c>
      <c r="G1599" t="n">
        <v>0.1163</v>
      </c>
      <c r="H1599" t="inlineStr">
        <is>
          <t>This code appears to be part of a Java project that uses Retrofit 2.0 library to make HTTP requests. The code defines a `Service` interface that has one method called `getData()` which returns a `CompletableFuture`. The implementation of this method makes a GET request to a mock web server using OkHttp's MockWebServer class. The response from the server</t>
        </is>
      </c>
      <c r="I1599" t="n">
        <v>0.0031</v>
      </c>
      <c r="J1599" t="n">
        <v>0.0588</v>
      </c>
      <c r="K1599" t="n">
        <v>0.1154</v>
      </c>
      <c r="L1599" t="inlineStr">
        <is>
          <t>The provided code is a Java implementation of the Retrofit library's HTTP client interface. It provides a simple way to make HTTP requests using OkHttp as the underlying transport layer. The code defines several classes that implement various aspects of the Retrofit API, including the `Retrofit` class, which represents a configured instance of the HTTP client, and the `Call` class,</t>
        </is>
      </c>
      <c r="M1599" t="n">
        <v>0.003</v>
      </c>
      <c r="N1599" t="n">
        <v>0.058</v>
      </c>
      <c r="O1599" t="n">
        <v>0.1136</v>
      </c>
    </row>
    <row r="1600">
      <c r="A1600" t="inlineStr">
        <is>
          <t>retrofit</t>
        </is>
      </c>
      <c r="B1600" t="inlineStr">
        <is>
          <t>retrofit/java-test/src/test/java/retrofit2/DefaultMethodsTest.java</t>
        </is>
      </c>
      <c r="C1600">
        <f>HYPERLINK("https://github.com/square/retrofit/blob/master/retrofit/java-test/src/test/java/retrofit2/DefaultMethodsTest.java")</f>
        <v/>
      </c>
      <c r="D1600" t="inlineStr">
        <is>
          <t>The provided code defines a test suite for a Retrofit client that uses default methods. It includes a mock web server, which simulates a REST API endpoint, and a set of tests that verify the behavior of the client when making requests to the endpoint.
The `DefaultMethodsTest` class defines two methods: `testGetMethod()` and `testPostMethod()`. These methods</t>
        </is>
      </c>
      <c r="E1600" t="n">
        <v>0.0033</v>
      </c>
      <c r="F1600" t="n">
        <v>0.0312</v>
      </c>
      <c r="G1600" t="n">
        <v>0.0781</v>
      </c>
      <c r="H1600" t="inlineStr">
        <is>
          <t>This code defines a Retrofit client that makes HTTP requests using OkHttp. It includes a `DefaultMethods` interface that provides default implementations for various methods used in the Retrofit library. The interface has several methods, including `get`, `post`, `put`, and `delete`. These methods make HTTP requests to the server and return responses asynchronously. The interface also includes a</t>
        </is>
      </c>
      <c r="I1600" t="n">
        <v>0.0038</v>
      </c>
      <c r="J1600" t="n">
        <v>0.09229999999999999</v>
      </c>
      <c r="K1600" t="n">
        <v>0.155</v>
      </c>
      <c r="L1600" t="inlineStr">
        <is>
          <t>The provided code defines a Java class named `DefaultMethodsTest` that tests the functionality of a Retrofit service interface. The test case uses JUnit annotations to define a unit test method called `testGetWithDefaultMethod`. The method sets up a mock web server using the OkHttp MockWebServer library and configures it to return a mock response containing a JSON payload. It then creates</t>
        </is>
      </c>
      <c r="M1600" t="n">
        <v>0.0036</v>
      </c>
      <c r="N1600" t="n">
        <v>0.0588</v>
      </c>
      <c r="O1600" t="n">
        <v>0.07580000000000001</v>
      </c>
    </row>
    <row r="1601">
      <c r="A1601" t="inlineStr">
        <is>
          <t>retrofit</t>
        </is>
      </c>
      <c r="B1601" t="inlineStr">
        <is>
          <t>retrofit/java-test/src/test/java/retrofit2/InvocationTest.java</t>
        </is>
      </c>
      <c r="C1601">
        <f>HYPERLINK("https://github.com/square/retrofit/blob/master/retrofit/java-test/src/test/java/retrofit2/InvocationTest.java")</f>
        <v/>
      </c>
      <c r="D1601" t="inlineStr">
        <is>
          <t>This code appears to be part of a Java project that uses Retrofit as a library for making HTTP requests from Android apps. The code defines several classes related to the `retrofit2` package, including a test class named `Retrofit2Test`.
The `Retrofit2Test` class contains several tests that verify the behavior of the Retrofit library when</t>
        </is>
      </c>
      <c r="E1601" t="n">
        <v>0.0034</v>
      </c>
      <c r="F1601" t="n">
        <v>0.0323</v>
      </c>
      <c r="G1601" t="n">
        <v>0.0794</v>
      </c>
      <c r="H1601" t="inlineStr">
        <is>
          <t>This code appears to be part of a Java library called Retrofit, which is used for building RESTful APIs. The library provides a way to create HTTP clients that can make requests and parse responses using annotations. The `retrofit2` package contains several classes and interfaces related to the implementation of these features.
The `Retrofit` class is the main entry point for</t>
        </is>
      </c>
      <c r="I1601" t="n">
        <v>0.0036</v>
      </c>
      <c r="J1601" t="n">
        <v>0.058</v>
      </c>
      <c r="K1601" t="n">
        <v>0.1504</v>
      </c>
      <c r="L1601" t="inlineStr">
        <is>
          <t>The provided code defines a class named `Retrofit` that provides a convenient way to make HTTP requests using Java interfaces. It uses OkHttp as the underlying networking library and allows developers to define their API endpoints using annotations. The class also includes methods for building and executing requests, as well as handling responses. Overall, the code appears to be designed to provide a simple and efficient way</t>
        </is>
      </c>
      <c r="M1601" t="n">
        <v>0.0027</v>
      </c>
      <c r="N1601" t="n">
        <v>0.0267</v>
      </c>
      <c r="O1601" t="n">
        <v>0.07190000000000001</v>
      </c>
    </row>
    <row r="1602">
      <c r="A1602" t="inlineStr">
        <is>
          <t>retrofit</t>
        </is>
      </c>
      <c r="B1602" t="inlineStr">
        <is>
          <t>retrofit/java-test/src/test/java/retrofit2/AnnotationArraySubject.java</t>
        </is>
      </c>
      <c r="C1602">
        <f>HYPERLINK("https://github.com/square/retrofit/blob/master/retrofit/java-test/src/test/java/retrofit2/AnnotationArraySubject.java")</f>
        <v/>
      </c>
      <c r="D1602" t="inlineStr">
        <is>
          <t>The code is a Java implementation of a custom Truth subject for asserting arrays of annotations. It provides a fluent API for making assertions about the contents of the array, such as checking if it contains at least one element of a certain type. The subject also allows for chaining multiple assertions together in a readable way.</t>
        </is>
      </c>
      <c r="E1602" t="n">
        <v>0</v>
      </c>
      <c r="F1602" t="n">
        <v>0.0308</v>
      </c>
      <c r="G1602" t="n">
        <v>0.0388</v>
      </c>
      <c r="H1602" t="inlineStr">
        <is>
          <t>This is a Java library for working with arrays of annotations. It provides a set of methods for asserting properties of these arrays, such as whether they contain at least one element of a certain type. The library uses Google Truth for assertion checking and Guava's `ArrayList` and `Collections` classes for manipulating lists of annotations.</t>
        </is>
      </c>
      <c r="I1602" t="n">
        <v>0.004</v>
      </c>
      <c r="J1602" t="n">
        <v>0.0625</v>
      </c>
      <c r="K1602" t="n">
        <v>0.1181</v>
      </c>
      <c r="L1602" t="inlineStr">
        <is>
          <t>The `AnnotationArraySubject` class provides a way to make assertions about arrays of annotations. It allows you to check if an array contains at least one element of a specific type using the `hasAtLeastOneElementOfType()` method.</t>
        </is>
      </c>
      <c r="M1602" t="n">
        <v>0</v>
      </c>
      <c r="N1602" t="n">
        <v>0</v>
      </c>
      <c r="O1602" t="n">
        <v>0.0472</v>
      </c>
    </row>
    <row r="1603">
      <c r="A1603" t="inlineStr">
        <is>
          <t>retrofit</t>
        </is>
      </c>
      <c r="B1603" t="inlineStr">
        <is>
          <t>retrofit/java-test/src/test/java/retrofit2/NonFatalError.java</t>
        </is>
      </c>
      <c r="C1603">
        <f>HYPERLINK("https://github.com/square/retrofit/blob/master/retrofit/java-test/src/test/java/retrofit2/NonFatalError.java")</f>
        <v/>
      </c>
      <c r="D1603" t="inlineStr">
        <is>
          <t>The provided code defines a `NonFatalError` class that inherits from Java's built-in `Error` class. It has a single constructor that takes a string argument representing the error message. This class is used as a custom exception type in the Retrofit library, which is a popular HTTP client for Android and Java applications.
The `NonFatalError`</t>
        </is>
      </c>
      <c r="E1603" t="n">
        <v>0.004</v>
      </c>
      <c r="F1603" t="n">
        <v>0.0625</v>
      </c>
      <c r="G1603" t="n">
        <v>0.119</v>
      </c>
      <c r="H1603" t="inlineStr">
        <is>
          <t>This code defines a custom error type called `NonFatalError` that inherits from Java's built-in `Error` class. The constructor takes a single string argument representing the error message. The class does not provide any additional methods or fields beyond what is inherited from `Error`.
The README file describes the purpose of the repository as being related to backend software components</t>
        </is>
      </c>
      <c r="I1603" t="n">
        <v>0.0037</v>
      </c>
      <c r="J1603" t="n">
        <v>0.058</v>
      </c>
      <c r="K1603" t="n">
        <v>0.07630000000000001</v>
      </c>
      <c r="L1603" t="inlineStr">
        <is>
          <t>The provided code defines a `NonFatalError` class that inherits from Java's built-in `Error` class. It has a single constructor that takes a string argument representing the error message. The class is used to represent non-fatal errors that can occur during the execution of Retrofit's HTTP client library.</t>
        </is>
      </c>
      <c r="M1603" t="n">
        <v>0</v>
      </c>
      <c r="N1603" t="n">
        <v>0</v>
      </c>
      <c r="O1603" t="n">
        <v>0.042</v>
      </c>
    </row>
    <row r="1604">
      <c r="A1604" t="inlineStr">
        <is>
          <t>retrofit</t>
        </is>
      </c>
      <c r="B1604" t="inlineStr">
        <is>
          <t>retrofit/src/main/java16/retrofit2/DefaultMethodSupport.java</t>
        </is>
      </c>
      <c r="C1604">
        <f>HYPERLINK("https://github.com/square/retrofit/blob/master/retrofit/src/main/java16/retrofit2/DefaultMethodSupport.java")</f>
        <v/>
      </c>
      <c r="D1604" t="inlineStr">
        <is>
          <t>The `DefaultMethodSupport` class provides a way to call default methods on a proxy object in Java 16 using reflection. It takes four parameters:
* `method`: the method that needs to be called on the proxy object
* `declaringClass`: the class that declares the default method
* `proxy`: the proxy object on which the method should be called</t>
        </is>
      </c>
      <c r="E1604" t="n">
        <v>0</v>
      </c>
      <c r="F1604" t="n">
        <v>0</v>
      </c>
      <c r="G1604" t="n">
        <v>0.0388</v>
      </c>
      <c r="H1604" t="inlineStr">
        <is>
          <t>This code defines a utility class called `DefaultMethodSupport` that provides a way to invoke default methods on a proxy object in Java 16. The class takes four parameters:
* `method`: A `Method` object representing the default method to be invoked.
* `declaringClass`: The class that declared the default method.
* `proxy`: The proxy object whose</t>
        </is>
      </c>
      <c r="I1604" t="n">
        <v>0.0033</v>
      </c>
      <c r="J1604" t="n">
        <v>0.0333</v>
      </c>
      <c r="K1604" t="n">
        <v>0.0394</v>
      </c>
      <c r="L1604" t="inlineStr">
        <is>
          <t>The `DefaultMethodSupport` class provides support for invoking default methods on a proxy object in Java 16. It defines a single `invoke` method that takes a `Method`, `Class`, `Object`, and optional `Object[]` arguments, and returns an `Object`. The method uses reflection to determine whether the given method is a default method and, if so, invokes</t>
        </is>
      </c>
      <c r="M1604" t="n">
        <v>0.0034</v>
      </c>
      <c r="N1604" t="n">
        <v>0.0323</v>
      </c>
      <c r="O1604" t="n">
        <v>0.0794</v>
      </c>
    </row>
    <row r="1605">
      <c r="A1605" t="inlineStr">
        <is>
          <t>retrofit</t>
        </is>
      </c>
      <c r="B1605" t="inlineStr">
        <is>
          <t>retrofit/src/main/java14/retrofit2/DefaultMethodSupport.java</t>
        </is>
      </c>
      <c r="C1605">
        <f>HYPERLINK("https://github.com/square/retrofit/blob/master/retrofit/src/main/java14/retrofit2/DefaultMethodSupport.java")</f>
        <v/>
      </c>
      <c r="D1605" t="inlineStr">
        <is>
          <t>This code defines a utility class called `DefaultMethodSupport` that provides support for calling default methods on interfaces using reflection. The class uses the `MethodHandles` API to perform the actual method invocation, which allows it to work even when the interface declaring the default method is not trusted.
The `invoke()` method takes two parameters: the `Method` object representing the default</t>
        </is>
      </c>
      <c r="E1605" t="n">
        <v>0.0031</v>
      </c>
      <c r="F1605" t="n">
        <v>0.0299</v>
      </c>
      <c r="G1605" t="n">
        <v>0.07630000000000001</v>
      </c>
      <c r="H1605" t="inlineStr">
        <is>
          <t>The `DefaultMethodSupport` class provides a way to call default methods on interfaces using reflection in Java 14. It uses a regular (non-trusted) lookup to successfully invoke default methods, which was previously not possible due to a bug in Java's type system. This is useful when working with interfaces that have default methods, as it allows developers to call those methods without having</t>
        </is>
      </c>
      <c r="I1605" t="n">
        <v>0.0029</v>
      </c>
      <c r="J1605" t="n">
        <v>0.0278</v>
      </c>
      <c r="K1605" t="n">
        <v>0.0746</v>
      </c>
      <c r="L1605" t="inlineStr">
        <is>
          <t>The `DefaultMethodSupport` class provides support for calling default methods on interfaces using reflection in Java 14. It achieves this by using a regular (non-trusted) lookup to successfully call default methods. The class is used to implement the `retrofit2` library's ability to call default methods on interface implementations.</t>
        </is>
      </c>
      <c r="M1605" t="n">
        <v>0</v>
      </c>
      <c r="N1605" t="n">
        <v>0.0702</v>
      </c>
      <c r="O1605" t="n">
        <v>0.1261</v>
      </c>
    </row>
    <row r="1606">
      <c r="A1606" t="inlineStr">
        <is>
          <t>retrofit</t>
        </is>
      </c>
      <c r="B1606" t="inlineStr">
        <is>
          <t>retrofit/src/main/java/retrofit2/OptionalConverterFactory.java</t>
        </is>
      </c>
      <c r="C1606">
        <f>HYPERLINK("https://github.com/square/retrofit/blob/master/retrofit/src/main/java/retrofit2/OptionalConverterFactory.java")</f>
        <v/>
      </c>
      <c r="D1606" t="inlineStr">
        <is>
          <t>This code defines a `Converter` factory class called `Retrofit`. It provides methods for converting between raw HTTP responses and Java objects using a `Converter` interface. The `Converter` interface has two methods: `fromBody()` and `toBody()`. The `fromBody()` method takes a response body as input and returns an object of type T, while the `toBody()` method</t>
        </is>
      </c>
      <c r="E1606" t="n">
        <v>0.004</v>
      </c>
      <c r="F1606" t="n">
        <v>0.0645</v>
      </c>
      <c r="G1606" t="n">
        <v>0.119</v>
      </c>
      <c r="H1606" t="inlineStr">
        <is>
          <t>This code defines a Retrofit converter factory that supports converting responses from HTTP requests into Java objects. The factory takes advantage of annotations such as `@Path` and `@Query` to extract values from the request URL and query parameters, respectively. It also uses reflection to determine the type of the response body and create an instance of it using the `createInstance()` method. Finally, it returns the</t>
        </is>
      </c>
      <c r="I1606" t="n">
        <v>0.0033</v>
      </c>
      <c r="J1606" t="n">
        <v>0.0548</v>
      </c>
      <c r="K1606" t="n">
        <v>0.1095</v>
      </c>
      <c r="L1606" t="inlineStr">
        <is>
          <t>The provided code defines a Retrofit converter factory that supports converting responses from HTTP requests into Java objects. It uses the OkHttp library's response body to extract the data and then converts it using a custom converter. The factory also takes care of handling errors and providing default values if necessary.</t>
        </is>
      </c>
      <c r="M1606" t="n">
        <v>0.0036</v>
      </c>
      <c r="N1606" t="n">
        <v>0.0333</v>
      </c>
      <c r="O1606" t="n">
        <v>0.0813</v>
      </c>
    </row>
    <row r="1607">
      <c r="A1607" t="inlineStr">
        <is>
          <t>retrofit</t>
        </is>
      </c>
      <c r="B1607" t="inlineStr">
        <is>
          <t>retrofit/src/main/java/retrofit2/Call.java</t>
        </is>
      </c>
      <c r="C1607">
        <f>HYPERLINK("https://github.com/square/retrofit/blob/master/retrofit/src/main/java/retrofit2/Call.java")</f>
        <v/>
      </c>
      <c r="D1607" t="inlineStr">
        <is>
          <t>The provided code defines a class called `Retrofit` which represents a client for making API requests using the Retrofit framework. It has several methods, including `create`, `call`, `enqueue`, and `await`. These methods allow users to create instances of `Call`, which represent individual API requests, and execute them asynchronously or synchronously. The `Call` class</t>
        </is>
      </c>
      <c r="E1607" t="n">
        <v>0.0035</v>
      </c>
      <c r="F1607" t="n">
        <v>0.0328</v>
      </c>
      <c r="G1607" t="n">
        <v>0.08</v>
      </c>
      <c r="H1607" t="inlineStr">
        <is>
          <t>This code defines a class called `Retrofit` which represents a client for making HTTP requests using OkHttp. The class has several methods for configuring the client, such as `addConverterFactory`, `addCallAdapterFactory`, and `setBaseUrl`. It also includes a `create` method for creating instances of the `Retrofit` object.
The `call`</t>
        </is>
      </c>
      <c r="I1607" t="n">
        <v>0.0046</v>
      </c>
      <c r="J1607" t="n">
        <v>0.0727</v>
      </c>
      <c r="K1607" t="n">
        <v>0.1261</v>
      </c>
      <c r="L1607" t="inlineStr">
        <is>
          <t>The code defines a class named `Retrofit` that represents an invocation of a Retrofit method. It has several methods, including `clone()`, which creates a new instance of the class with the same parameters as the original one. The class also includes fields such as `request`, `response`, and `timeout`. The overall purpose of the class seems to be to encapsulate</t>
        </is>
      </c>
      <c r="M1607" t="n">
        <v>0.0031</v>
      </c>
      <c r="N1607" t="n">
        <v>0.0299</v>
      </c>
      <c r="O1607" t="n">
        <v>0.0382</v>
      </c>
    </row>
    <row r="1608">
      <c r="A1608" t="inlineStr">
        <is>
          <t>retrofit</t>
        </is>
      </c>
      <c r="B1608" t="inlineStr">
        <is>
          <t>retrofit/src/main/java/retrofit2/HttpException.java</t>
        </is>
      </c>
      <c r="C1608">
        <f>HYPERLINK("https://github.com/square/retrofit/blob/master/retrofit/src/main/java/retrofit2/HttpException.java")</f>
        <v/>
      </c>
      <c r="D1608" t="inlineStr">
        <is>
          <t>The `HttpException` class represents an exception that occurs when a non-2xx HTTP response is received from a server. It has two constructors: one that takes a `Response` object as its argument and another that takes a message string and a cause exception. The `getMessage()` method returns a string representation of the error message based on the status code and message of the response.</t>
        </is>
      </c>
      <c r="E1608" t="n">
        <v>0.0029</v>
      </c>
      <c r="F1608" t="n">
        <v>0.0278</v>
      </c>
      <c r="G1608" t="n">
        <v>0.037</v>
      </c>
      <c r="H1608" t="inlineStr">
        <is>
          <t>This is a Java package called `retrofit2` that provides a way to make HTTP requests from Android applications. The package includes several classes, including `HttpException`, which represents an exception for unexpected, non-2xx HTTP responses. The `getMessage()` method returns a string representation of the error message based on the HTTP status code and message received in the response.</t>
        </is>
      </c>
      <c r="I1608" t="n">
        <v>0.0038</v>
      </c>
      <c r="J1608" t="n">
        <v>0.0606</v>
      </c>
      <c r="K1608" t="n">
        <v>0.0775</v>
      </c>
      <c r="L1608" t="inlineStr">
        <is>
          <t>The provided code defines a custom exception called `HttpException` that represents an unexpected, non-2xx HTTP response. It takes a `Response` object as input and provides a message based on the response's status code and message.</t>
        </is>
      </c>
      <c r="M1608" t="n">
        <v>0.0053</v>
      </c>
      <c r="N1608" t="n">
        <v>0.0444</v>
      </c>
      <c r="O1608" t="n">
        <v>0.0467</v>
      </c>
    </row>
    <row r="1609">
      <c r="A1609" t="inlineStr">
        <is>
          <t>retrofit</t>
        </is>
      </c>
      <c r="B1609" t="inlineStr">
        <is>
          <t>retrofit/src/main/java/retrofit2/RequestBuilder.java</t>
        </is>
      </c>
      <c r="C1609">
        <f>HYPERLINK("https://github.com/square/retrofit/blob/master/retrofit/src/main/java/retrofit2/RequestBuilder.java")</f>
        <v/>
      </c>
      <c r="D1609" t="inlineStr">
        <is>
          <t>The `RequestBuilder` class provides methods for building HTTP requests using the Retrofit library. It takes care of constructing the request body, headers, and URL based on the input parameters passed to it. The class also has some utility methods for working with HTTP requests and responses.</t>
        </is>
      </c>
      <c r="E1609" t="n">
        <v>0.004</v>
      </c>
      <c r="F1609" t="n">
        <v>0.037</v>
      </c>
      <c r="G1609" t="n">
        <v>0.0847</v>
      </c>
      <c r="H1609" t="inlineStr">
        <is>
          <t>The `RequestBuilder` class is part of the Retrofit library for Android and Java applications. It provides methods for building HTTP requests using OkHttp's request builder API. The class has several methods that allow users to set various properties of the request, such as its method type, URL, headers, body, etc.
The constructor of the class takes an instance of the `</t>
        </is>
      </c>
      <c r="I1609" t="n">
        <v>0.003</v>
      </c>
      <c r="J1609" t="n">
        <v>0.029</v>
      </c>
      <c r="K1609" t="n">
        <v>0.0752</v>
      </c>
      <c r="L1609" t="inlineStr">
        <is>
          <t>The `RequestBuilder` class is part of the Retrofit library and provides methods for building HTTP requests. It allows users to set various request properties such as headers, query parameters, form data, etc. The class uses the OkHttp library for sending requests over the network.
The `build()` method returns a `Request` object that can be used to send the request. The</t>
        </is>
      </c>
      <c r="M1609" t="n">
        <v>0.003</v>
      </c>
      <c r="N1609" t="n">
        <v>0.0294</v>
      </c>
      <c r="O1609" t="n">
        <v>0.07580000000000001</v>
      </c>
    </row>
    <row r="1610">
      <c r="A1610" t="inlineStr">
        <is>
          <t>retrofit</t>
        </is>
      </c>
      <c r="B1610" t="inlineStr">
        <is>
          <t>retrofit/src/main/java/retrofit2/CallAdapter.java</t>
        </is>
      </c>
      <c r="C1610">
        <f>HYPERLINK("https://github.com/square/retrofit/blob/master/retrofit/src/main/java/retrofit2/CallAdapter.java")</f>
        <v/>
      </c>
      <c r="D1610" t="inlineStr">
        <is>
          <t>The code defines a class called `ResponseBodyConverter` that implements the `Converter` interface from the `retrofit2` package. It has one method, `convert`, which takes a `Call` object as input and returns an instance of `T`. The method checks if the response body is null, and if so, it returns null. Otherwise, it uses reflection to get the</t>
        </is>
      </c>
      <c r="E1610" t="n">
        <v>0.0039</v>
      </c>
      <c r="F1610" t="n">
        <v>0.0625</v>
      </c>
      <c r="G1610" t="n">
        <v>0.1172</v>
      </c>
      <c r="H1610" t="inlineStr">
        <is>
          <t>This code defines a class called `Retrofit` that provides a way to create instances of a `Call` interface with a specified response type. The class has several methods, including a constructor, getters, and setters. It also includes annotations and comments that provide information about the purpose and usage of the class.
The `Retrofit` class takes a `factory`</t>
        </is>
      </c>
      <c r="I1610" t="n">
        <v>0.0038</v>
      </c>
      <c r="J1610" t="n">
        <v>0.0615</v>
      </c>
      <c r="K1610" t="n">
        <v>0.0775</v>
      </c>
      <c r="L1610" t="inlineStr">
        <is>
          <t>The provided code defines a class called `Retrofit` that serves as a client for making API requests using the Retrofit library. It has several methods, including `create`, `getService`, and `call`. The `create` method takes a `Class` object representing the API interface and returns an instance of the service interface, while the `getService` method retrieves a</t>
        </is>
      </c>
      <c r="M1610" t="n">
        <v>0.0033</v>
      </c>
      <c r="N1610" t="n">
        <v>0.0317</v>
      </c>
      <c r="O1610" t="n">
        <v>0.07870000000000001</v>
      </c>
    </row>
    <row r="1611">
      <c r="A1611" t="inlineStr">
        <is>
          <t>retrofit</t>
        </is>
      </c>
      <c r="B1611" t="inlineStr">
        <is>
          <t>retrofit/src/main/java/retrofit2/package-info.java</t>
        </is>
      </c>
      <c r="C1611">
        <f>HYPERLINK("https://github.com/square/retrofit/blob/master/retrofit/src/main/java/retrofit2/package-info.java")</f>
        <v/>
      </c>
      <c r="D1611" t="inlineStr">
        <is>
          <t>The provided code is part of a Java library called "Retrofit" that allows developers to create interfaces for their REST APIs. It provides a way to define HTTP requests as methods on an interface, with annotations such as `@GET`, `@POST`, etc. to specify the request type and path parameters. The `listRepos` method in this example takes a single parameter, `String user`,</t>
        </is>
      </c>
      <c r="E1611" t="n">
        <v>0.003</v>
      </c>
      <c r="F1611" t="n">
        <v>0.029</v>
      </c>
      <c r="G1611" t="n">
        <v>0.1128</v>
      </c>
      <c r="H1611" t="inlineStr">
        <is>
          <t>This is a Java package called "retrofit2" that provides a way to turn a RESTful API into a Java interface using annotations. The package includes a single class called "GitHubService" which has one method called "listRepos" that takes in a string parameter representing the username and returns a list of repositories for that user. The method is annotated with "@GET" to</t>
        </is>
      </c>
      <c r="I1611" t="n">
        <v>0.0036</v>
      </c>
      <c r="J1611" t="n">
        <v>0.058</v>
      </c>
      <c r="K1611" t="n">
        <v>0.1128</v>
      </c>
      <c r="L1611" t="inlineStr">
        <is>
          <t>The code is a part of the Retrofit library for Android development, which converts REST APIs into Java interfaces. It defines a GitHubService interface that allows developers to access the GitHub API by making HTTP requests using the Retrofit client.</t>
        </is>
      </c>
      <c r="M1611" t="n">
        <v>0</v>
      </c>
      <c r="N1611" t="n">
        <v>0</v>
      </c>
      <c r="O1611" t="n">
        <v>0.0446</v>
      </c>
    </row>
    <row r="1612">
      <c r="A1612" t="inlineStr">
        <is>
          <t>retrofit</t>
        </is>
      </c>
      <c r="B1612" t="inlineStr">
        <is>
          <t>retrofit/src/main/java/retrofit2/OkHttpCall.java</t>
        </is>
      </c>
      <c r="C1612">
        <f>HYPERLINK("https://github.com/square/retrofit/blob/master/retrofit/src/main/java/retrofit2/OkHttpCall.java")</f>
        <v/>
      </c>
      <c r="D1612" t="inlineStr">
        <is>
          <t>The provided code defines a `Retrofit` class that implements the `okhttp3.ResponseBody` interface. It provides a custom implementation of the `source()` method that returns a new instance of the `ForwardingSource` class, which wraps the original response body source and adds additional logic to handle errors. Specifically, it catches any fatal exceptions thrown during reading from the</t>
        </is>
      </c>
      <c r="E1612" t="n">
        <v>0.004</v>
      </c>
      <c r="F1612" t="n">
        <v>0.09379999999999999</v>
      </c>
      <c r="G1612" t="n">
        <v>0.07870000000000001</v>
      </c>
      <c r="H1612" t="inlineStr">
        <is>
          <t>This code implements a Retrofit library that allows developers to easily make HTTP requests from their Android applications. The library uses OkHttp as its underlying networking layer and provides a simple API for making GET, POST, PUT, DELETE, etc. requests. It also includes features such as request headers, query parameters, and body content. The code is well-documented and has been optimized</t>
        </is>
      </c>
      <c r="I1612" t="n">
        <v>0.0039</v>
      </c>
      <c r="J1612" t="n">
        <v>0.0857</v>
      </c>
      <c r="K1612" t="n">
        <v>0.1504</v>
      </c>
      <c r="L1612" t="inlineStr">
        <is>
          <t>The provided code defines a Retrofit response body that wraps an OkHttp response body and provides additional features such as caching and retrying. It implements the `ResponseBody` interface from OkHttp and adds support for caching and retrying. The class has several fields, including `source`, which stores the wrapped OkHttp response body, and `cacheControl`, which stores the cache</t>
        </is>
      </c>
      <c r="M1612" t="n">
        <v>0.0038</v>
      </c>
      <c r="N1612" t="n">
        <v>0.0615</v>
      </c>
      <c r="O1612" t="n">
        <v>0.0775</v>
      </c>
    </row>
    <row r="1613">
      <c r="A1613" t="inlineStr">
        <is>
          <t>retrofit</t>
        </is>
      </c>
      <c r="B1613" t="inlineStr">
        <is>
          <t>retrofit/src/main/java/retrofit2/BuiltInFactories.java</t>
        </is>
      </c>
      <c r="C1613">
        <f>HYPERLINK("https://github.com/square/retrofit/blob/master/retrofit/src/main/java/retrofit2/BuiltInFactories.java")</f>
        <v/>
      </c>
      <c r="D1613" t="inlineStr">
        <is>
          <t>The `BuiltInFactories` class provides a list of default call adapter factories that can be used when creating a Retrofit instance. These factories are responsible for converting HTTP responses into Java objects and vice versa. The class uses the `static` keyword to indicate that it does not need to be instantiated and can only be accessed through its methods.
The `</t>
        </is>
      </c>
      <c r="E1613" t="n">
        <v>0.003</v>
      </c>
      <c r="F1613" t="n">
        <v>0.0299</v>
      </c>
      <c r="G1613" t="n">
        <v>0.07580000000000001</v>
      </c>
      <c r="H1613" t="inlineStr">
        <is>
          <t>This code defines a class called `BuiltInFactories` that provides default implementations of call adapter factories used by Retrofit. The class has several methods that return lists of call adapter factory objects, each representing a different type of call adapter. These include:
* `createDefaultCallAdapterFactories`: Returns a list of call adapter factories that can be used as defaults</t>
        </is>
      </c>
      <c r="I1613" t="n">
        <v>0.0033</v>
      </c>
      <c r="J1613" t="n">
        <v>0.0635</v>
      </c>
      <c r="K1613" t="n">
        <v>0.1172</v>
      </c>
      <c r="L1613" t="inlineStr">
        <is>
          <t>The `BuiltInFactories` class provides a list of default call adapter factories used by Retrofit. It defines several methods that return lists of call adapter factories based on different criteria, such as whether they support synchronous execution or asynchronous execution using executors. Each factory in the list is created using a combination of static utility methods and constructor calls, which allows for customization</t>
        </is>
      </c>
      <c r="M1613" t="n">
        <v>0.0029</v>
      </c>
      <c r="N1613" t="n">
        <v>0.0286</v>
      </c>
      <c r="O1613" t="n">
        <v>0.0746</v>
      </c>
    </row>
    <row r="1614">
      <c r="A1614" t="inlineStr">
        <is>
          <t>retrofit</t>
        </is>
      </c>
      <c r="B1614" t="inlineStr">
        <is>
          <t>retrofit/src/main/java/retrofit2/ParameterHandler.java</t>
        </is>
      </c>
      <c r="C1614">
        <f>HYPERLINK("https://github.com/square/retrofit/blob/master/retrofit/src/main/java/retrofit2/ParameterHandler.java")</f>
        <v/>
      </c>
      <c r="D1614" t="inlineStr">
        <is>
          <t>This code defines an abstract class called `ParameterHandler` that represents a parameter handler for a request. It has one method called `apply` that takes two parameters: a `RequestBuilder` object and a value of type `T`. The method applies the value to the request builder using some logic defined by the subclass.
The class also has several static methods that create instances of different types</t>
        </is>
      </c>
      <c r="E1614" t="n">
        <v>0.0034</v>
      </c>
      <c r="F1614" t="n">
        <v>0.0833</v>
      </c>
      <c r="G1614" t="n">
        <v>0.1103</v>
      </c>
      <c r="H1614" t="inlineStr">
        <is>
          <t>The `ParameterHandler` class is part of the Retrofit library for Android and Java. It represents a parameter handler that can be used to handle parameters when making HTTP requests using Retrofit. The class has several methods, including `apply`, which takes a request builder and a value as input and applies the parameter to the request. The class also has a number of static factory methods for</t>
        </is>
      </c>
      <c r="I1614" t="n">
        <v>0.0028</v>
      </c>
      <c r="J1614" t="n">
        <v>0.027</v>
      </c>
      <c r="K1614" t="n">
        <v>0.0725</v>
      </c>
      <c r="L1614" t="inlineStr">
        <is>
          <t>The `ParameterHandler` class is part of the Retrofit library for Android and Java. It provides a way to handle method parameters when making HTTP requests using the Retrofit framework. The class has several methods that can be used to modify the request based on the parameter type and value.
The `apply()` method is the primary entry point for handling parameters. It takes two arguments</t>
        </is>
      </c>
      <c r="M1614" t="n">
        <v>0.0028</v>
      </c>
      <c r="N1614" t="n">
        <v>0.0278</v>
      </c>
      <c r="O1614" t="n">
        <v>0.0735</v>
      </c>
    </row>
    <row r="1615">
      <c r="A1615" t="inlineStr">
        <is>
          <t>retrofit</t>
        </is>
      </c>
      <c r="B1615" t="inlineStr">
        <is>
          <t>retrofit/src/main/java/retrofit2/Response.java</t>
        </is>
      </c>
      <c r="C1615">
        <f>HYPERLINK("https://github.com/square/retrofit/blob/master/retrofit/src/main/java/retrofit2/Response.java")</f>
        <v/>
      </c>
      <c r="D1615" t="inlineStr">
        <is>
          <t>The `Response` class represents an HTTP response from a server. It has several fields that provide information about the response, such as the status code, headers, and body. The `success()` method creates a synthetic successful response with a given deserialized body.</t>
        </is>
      </c>
      <c r="E1615" t="n">
        <v>0.0045</v>
      </c>
      <c r="F1615" t="n">
        <v>0.0408</v>
      </c>
      <c r="G1615" t="n">
        <v>0.0442</v>
      </c>
      <c r="H1615" t="inlineStr">
        <is>
          <t>This code defines a Java class called `Response` that represents an HTTP response. It has several fields and methods, including a constructor that takes a request object and returns a new response object, a method to get the response headers, a method to get the response status code, and a method to get the response body. The class also includes some annotations and imports from other packages.</t>
        </is>
      </c>
      <c r="I1615" t="n">
        <v>0.0032</v>
      </c>
      <c r="J1615" t="n">
        <v>0.0533</v>
      </c>
      <c r="K1615" t="n">
        <v>0.07190000000000001</v>
      </c>
      <c r="L1615" t="inlineStr">
        <is>
          <t>The `retrofit2.Response` class represents an HTTP response. It provides methods for creating synthetic successful responses with a deserialized body, as well as other utility methods for working with HTTP responses.</t>
        </is>
      </c>
      <c r="M1615" t="n">
        <v>0</v>
      </c>
      <c r="N1615" t="n">
        <v>0</v>
      </c>
      <c r="O1615" t="n">
        <v>0.049</v>
      </c>
    </row>
    <row r="1616">
      <c r="A1616" t="inlineStr">
        <is>
          <t>retrofit</t>
        </is>
      </c>
      <c r="B1616" t="inlineStr">
        <is>
          <t>retrofit/src/main/java/retrofit2/KotlinExtensions.kt</t>
        </is>
      </c>
      <c r="C1616">
        <f>HYPERLINK("https://github.com/square/retrofit/blob/master/retrofit/src/main/java/retrofit2/KotlinExtensions.kt")</f>
        <v/>
      </c>
      <c r="D1616" t="inlineStr">
        <is>
          <t>This code defines a set of extensions for the `retrofit2` library that allow it to be used with coroutines in Kotlin. The main function defined in this file is `suspendCancellableCoroutine`, which allows a suspending function to be called from within a coroutine context. It takes a lambda as its argument, which will be executed when</t>
        </is>
      </c>
      <c r="E1616" t="n">
        <v>0.0033</v>
      </c>
      <c r="F1616" t="n">
        <v>0.0635</v>
      </c>
      <c r="G1616" t="n">
        <v>0.07870000000000001</v>
      </c>
      <c r="H1616" t="inlineStr">
        <is>
          <t>This code implements a set of utility functions for working with coroutines in Kotlin. The main function is `suspendCancellableCoroutine`, which allows for suspending a coroutine until a cancellation signal is received. It also provides a number of other utility functions for working with coroutines, such as `suspendCoroutineUnintercepted</t>
        </is>
      </c>
      <c r="I1616" t="n">
        <v>0.0046</v>
      </c>
      <c r="J1616" t="n">
        <v>0.1091</v>
      </c>
      <c r="K1616" t="n">
        <v>0.1261</v>
      </c>
      <c r="L1616" t="inlineStr">
        <is>
          <t>The code defines a set of extensions for the Retrofit library that allow for suspending function calls using coroutines. It includes functions for creating a suspendable call object from a normal call object, as well as functions for waiting for the response and handling errors. The code also uses the Kotlin standard library's `kotlinx.coroutines` module to provide support for</t>
        </is>
      </c>
      <c r="M1616" t="n">
        <v>0.0037</v>
      </c>
      <c r="N1616" t="n">
        <v>0.058</v>
      </c>
      <c r="O1616" t="n">
        <v>0.1145</v>
      </c>
    </row>
    <row r="1617">
      <c r="A1617" t="inlineStr">
        <is>
          <t>retrofit</t>
        </is>
      </c>
      <c r="B1617" t="inlineStr">
        <is>
          <t>retrofit/src/main/java/retrofit2/HttpServiceMethod.java</t>
        </is>
      </c>
      <c r="C1617">
        <f>HYPERLINK("https://github.com/square/retrofit/blob/master/retrofit/src/main/java/retrofit2/HttpServiceMethod.java")</f>
        <v/>
      </c>
      <c r="D1617" t="inlineStr">
        <is>
          <t>The code defines a class called `Retrofit` that provides a way to make HTTP requests using Retrofit's API. It has several methods, including `create()`, which creates a new instance of the `Retrofit` object, and `call()`, which makes an HTTP request. The `Retrofit` class also includes several other utility methods, such as `enqueue</t>
        </is>
      </c>
      <c r="E1617" t="n">
        <v>0.0035</v>
      </c>
      <c r="F1617" t="n">
        <v>0.0328</v>
      </c>
      <c r="G1617" t="n">
        <v>0.0806</v>
      </c>
      <c r="H1617" t="inlineStr">
        <is>
          <t>This code defines a class called `Retrofit` that provides a way to make HTTP requests using OkHttp as the underlying networking library. The class has several methods that can be used to create instances of Retrofit, such as `create()` and `newBuilder()`. It also includes utility methods for working with annotations and types, such as `getRawType()` and `methodError()`.</t>
        </is>
      </c>
      <c r="I1617" t="n">
        <v>0.0038</v>
      </c>
      <c r="J1617" t="n">
        <v>0.0615</v>
      </c>
      <c r="K1617" t="n">
        <v>0.1163</v>
      </c>
      <c r="L1617" t="inlineStr">
        <is>
          <t>The provided code defines a Retrofit converter factory that adapts an invocation method into a request body and response body type. It uses annotations to determine the input and output types of the method. The factory also handles errors and returns a continuation object if the conversion fails.</t>
        </is>
      </c>
      <c r="M1617" t="n">
        <v>0.0038</v>
      </c>
      <c r="N1617" t="n">
        <v>0.0357</v>
      </c>
      <c r="O1617" t="n">
        <v>0.0833</v>
      </c>
    </row>
    <row r="1618">
      <c r="A1618" t="inlineStr">
        <is>
          <t>retrofit</t>
        </is>
      </c>
      <c r="B1618" t="inlineStr">
        <is>
          <t>retrofit/src/main/java/retrofit2/Retrofit.java</t>
        </is>
      </c>
      <c r="C1618">
        <f>HYPERLINK("https://github.com/square/retrofit/blob/master/retrofit/src/main/java/retrofit2/Retrofit.java")</f>
        <v/>
      </c>
      <c r="D1618" t="inlineStr">
        <is>
          <t>The provided code defines a Java class called `Retrofit` that implements the `Service` interface. It has several methods, including `create()`, `call()`, and `enqueue()`. The `create()` method takes a URL as input and returns a proxy object that can be used to call RESTful APIs. The `call()` method makes a synchronous HTTP request to the API endpoint specified</t>
        </is>
      </c>
      <c r="E1618" t="n">
        <v>0.0038</v>
      </c>
      <c r="F1618" t="n">
        <v>0.0615</v>
      </c>
      <c r="G1618" t="n">
        <v>0.1163</v>
      </c>
      <c r="H1618" t="inlineStr">
        <is>
          <t>This code appears to be part of a Java library called Retrofit, which provides a way to create type-safe HTTP clients and API interfaces. The package `retrofit2` contains several classes that implement various features of the Retrofit library, including the `Retrofit` class itself, which is used to create instances of the client, and the `CallAdapter` interface</t>
        </is>
      </c>
      <c r="I1618" t="n">
        <v>0.0039</v>
      </c>
      <c r="J1618" t="n">
        <v>0.09229999999999999</v>
      </c>
      <c r="K1618" t="n">
        <v>0.1563</v>
      </c>
      <c r="L1618" t="inlineStr">
        <is>
          <t>The provided code defines a class named `Retrofit` that creates instances of service interfaces based on their definitions. It also provides methods for building URLs from relative paths and query parameters. The class uses reflection to create proxies for service interfaces and implements the `InvocationHandler` interface to handle method calls on those proxies. The code is well-documented and includes comments explaining its</t>
        </is>
      </c>
      <c r="M1618" t="n">
        <v>0.0035</v>
      </c>
      <c r="N1618" t="n">
        <v>0.0563</v>
      </c>
      <c r="O1618" t="n">
        <v>0.1119</v>
      </c>
    </row>
    <row r="1619">
      <c r="A1619" t="inlineStr">
        <is>
          <t>retrofit</t>
        </is>
      </c>
      <c r="B1619" t="inlineStr">
        <is>
          <t>retrofit/src/main/java/retrofit2/CompletableFutureCallAdapterFactory.java</t>
        </is>
      </c>
      <c r="C1619">
        <f>HYPERLINK("https://github.com/square/retrofit/blob/master/retrofit/src/main/java/retrofit2/CompletableFutureCallAdapterFactory.java")</f>
        <v/>
      </c>
      <c r="D1619" t="inlineStr">
        <is>
          <t>This code appears to be part of a Java library called Retrofit, which provides a way to make HTTP requests from Android apps. The code defines a class called `CallAdapter` that has several methods related to adapting calls to different types of responses.
The main method in this class is `get`, which takes a type parameter `T` and returns an instance of `Call</t>
        </is>
      </c>
      <c r="E1619" t="n">
        <v>0.0034</v>
      </c>
      <c r="F1619" t="n">
        <v>0.0563</v>
      </c>
      <c r="G1619" t="n">
        <v>0.1111</v>
      </c>
      <c r="H1619" t="inlineStr">
        <is>
          <t>This is a Java package called "retrofit2" that provides a way to make HTTP requests from Android apps. It uses the CompletableFuture class to handle asynchronous operations and has a complexity of O(N). The code includes annotations such as @IgnoreJRERequirement and @Nullable, which indicate that certain features require Java 8 or later, respectively. The package</t>
        </is>
      </c>
      <c r="I1619" t="n">
        <v>0.004</v>
      </c>
      <c r="J1619" t="n">
        <v>0.0625</v>
      </c>
      <c r="K1619" t="n">
        <v>0.1181</v>
      </c>
      <c r="L1619" t="inlineStr">
        <is>
          <t>The code defines a class called `Retrofit` that provides a way to make HTTP requests from Android apps using the Retrofit library. It has several methods, including `create`, which creates a new instance of the `Retrofit` object based on the given parameters, and `callAdapter`, which returns a call adapter for the specified method. Other methods include `responseBodyConverter</t>
        </is>
      </c>
      <c r="M1619" t="n">
        <v>0.0032</v>
      </c>
      <c r="N1619" t="n">
        <v>0.0308</v>
      </c>
      <c r="O1619" t="n">
        <v>0.0775</v>
      </c>
    </row>
    <row r="1620">
      <c r="A1620" t="inlineStr">
        <is>
          <t>retrofit</t>
        </is>
      </c>
      <c r="B1620" t="inlineStr">
        <is>
          <t>retrofit/src/main/java/retrofit2/Platform.java</t>
        </is>
      </c>
      <c r="C1620">
        <f>HYPERLINK("https://github.com/square/retrofit/blob/master/retrofit/src/main/java/retrofit2/Platform.java")</f>
        <v/>
      </c>
      <c r="D1620" t="inlineStr">
        <is>
          <t>The `Platform` class provides various utilities and factories for working with Android's platform APIs. It has three main methods:
* `callbackExecutor`: Returns an executor that can be used to execute asynchronous tasks on the UI thread. This method returns null if the current VM is Dalvik, as it does not support executing tasks on the UI thread.
* `ref</t>
        </is>
      </c>
      <c r="E1620" t="n">
        <v>0.0037</v>
      </c>
      <c r="F1620" t="n">
        <v>0.0303</v>
      </c>
      <c r="G1620" t="n">
        <v>0.1145</v>
      </c>
      <c r="H1620" t="inlineStr">
        <is>
          <t>The `Platform` class is part of the Retrofit library and provides various utility methods for working with Android platforms. It has three main functions:
1. `callbackExecutor`: This method returns a thread pool executor that can be used to execute asynchronous tasks. If the current platform is Android, it will return a dedicated executor that uses the Android Looper mechanism to ensure that</t>
        </is>
      </c>
      <c r="I1620" t="n">
        <v>0.0035</v>
      </c>
      <c r="J1620" t="n">
        <v>0.0286</v>
      </c>
      <c r="K1620" t="n">
        <v>0.1119</v>
      </c>
      <c r="L1620" t="inlineStr">
        <is>
          <t>The `Platform` class provides various utility methods for working with the Android platform. It includes support for executing callbacks on different threads, as well as factories for creating instances of various classes. The class also includes a number of constants that provide information about the current platform, such as the version of the Java Virtual Machine (JVM) being used.</t>
        </is>
      </c>
      <c r="M1620" t="n">
        <v>0</v>
      </c>
      <c r="N1620" t="n">
        <v>0</v>
      </c>
      <c r="O1620" t="n">
        <v>0.0382</v>
      </c>
    </row>
    <row r="1621">
      <c r="A1621" t="inlineStr">
        <is>
          <t>retrofit</t>
        </is>
      </c>
      <c r="B1621" t="inlineStr">
        <is>
          <t>retrofit/src/main/java/retrofit2/SkipCallbackExecutorImpl.java</t>
        </is>
      </c>
      <c r="C1621">
        <f>HYPERLINK("https://github.com/square/retrofit/blob/master/retrofit/src/main/java/retrofit2/SkipCallbackExecutorImpl.java")</f>
        <v/>
      </c>
      <c r="D1621" t="inlineStr">
        <is>
          <t>The `SkipCallbackExecutor` interface is used to indicate that a callback should be skipped when it is executed. It has one method, `ensurePresent`, which takes an array of annotations as input and returns an updated array of annotations where the `SkipCallbackExecutor` annotation is added if it was not already present.</t>
        </is>
      </c>
      <c r="E1621" t="n">
        <v>0.0037</v>
      </c>
      <c r="F1621" t="n">
        <v>0.0351</v>
      </c>
      <c r="G1621" t="n">
        <v>0.08260000000000001</v>
      </c>
      <c r="H1621" t="inlineStr">
        <is>
          <t>The `SkipCallbackExecutor` interface is used to execute callback methods asynchronously without blocking the current thread. It is implemented by the `SkipCallbackExecutorImpl` class, which provides a single instance that can be reused across multiple calls.
The `ensurePresent` method takes an array of annotations as input and returns a new array with the same elements, but with</t>
        </is>
      </c>
      <c r="I1621" t="n">
        <v>0.0033</v>
      </c>
      <c r="J1621" t="n">
        <v>0.0635</v>
      </c>
      <c r="K1621" t="n">
        <v>0.1181</v>
      </c>
      <c r="L1621" t="inlineStr">
        <is>
          <t>The `SkipCallbackExecutorImpl` class provides a way to skip callback execution when using Retrofit's API. It is used as part of the `Retrofit` library to handle HTTP requests and responses. The class is marked as a singleton and has a single method called `ensurePresent`, which takes an array of annotations as input and returns a modified version of that array</t>
        </is>
      </c>
      <c r="M1621" t="n">
        <v>0.0031</v>
      </c>
      <c r="N1621" t="n">
        <v>0.0294</v>
      </c>
      <c r="O1621" t="n">
        <v>0.07630000000000001</v>
      </c>
    </row>
    <row r="1622">
      <c r="A1622" t="inlineStr">
        <is>
          <t>retrofit</t>
        </is>
      </c>
      <c r="B1622" t="inlineStr">
        <is>
          <t>retrofit/src/main/java/retrofit2/Converter.java</t>
        </is>
      </c>
      <c r="C1622">
        <f>HYPERLINK("https://github.com/square/retrofit/blob/master/retrofit/src/main/java/retrofit2/Converter.java")</f>
        <v/>
      </c>
      <c r="D1622" t="inlineStr">
        <is>
          <t>This code appears to be part of a Java library called Retrofit 2, which provides a convenient way to make HTTP requests from Android apps. The code defines several classes and interfaces related to request and response bodies, headers, and fields. It also includes annotations that can be used to specify parameters for API calls. Overall, this code seems to be focused on providing a simple and efficient</t>
        </is>
      </c>
      <c r="E1622" t="n">
        <v>0.0032</v>
      </c>
      <c r="F1622" t="n">
        <v>0.0526</v>
      </c>
      <c r="G1622" t="n">
        <v>0.1071</v>
      </c>
      <c r="H1622" t="inlineStr">
        <is>
          <t>This code appears to be part of a Java library called Retrofit 2, which provides a way to make HTTP requests from Android apps using a type-safe API. The code defines several classes and interfaces that can be used to create RESTful APIs, including `Retrofit`, `Call`, `Callback`, and `Converter`. It also includes some utility methods for working with JSON data</t>
        </is>
      </c>
      <c r="I1622" t="n">
        <v>0.0036</v>
      </c>
      <c r="J1622" t="n">
        <v>0.058</v>
      </c>
      <c r="K1622" t="n">
        <v>0.1136</v>
      </c>
      <c r="L1622" t="inlineStr">
        <is>
          <t>The provided code defines a Retrofit service interface that exposes methods for making HTTP requests using OkHttp. It includes several annotations such as `@GET`, `@POST`, `@PUT`, `@DELETE`, `@HEAD`, and `@Multipart`. Each method takes one or more parameters, including the request body, query parameters, headers, and field maps. The return type of each method can be</t>
        </is>
      </c>
      <c r="M1622" t="n">
        <v>0.0033</v>
      </c>
      <c r="N1622" t="n">
        <v>0.0317</v>
      </c>
      <c r="O1622" t="n">
        <v>0.07870000000000001</v>
      </c>
    </row>
    <row r="1623">
      <c r="A1623" t="inlineStr">
        <is>
          <t>retrofit</t>
        </is>
      </c>
      <c r="B1623" t="inlineStr">
        <is>
          <t>retrofit/src/main/java/retrofit2/Reflection.java</t>
        </is>
      </c>
      <c r="C1623">
        <f>HYPERLINK("https://github.com/square/retrofit/blob/master/retrofit/src/main/java/retrofit2/Reflection.java")</f>
        <v/>
      </c>
      <c r="D1623" t="inlineStr">
        <is>
          <t>The `Reflection` class provides methods for working with Java reflection API. It has two methods:
* `isDefaultMethod`: This method takes a `Method` object as input and returns whether it represents a default method in a Java interface. Default methods are methods that are defined in an interface but have no implementation in any concrete classes that implement the interface.
* `invokeDefault</t>
        </is>
      </c>
      <c r="E1623" t="n">
        <v>0.0036</v>
      </c>
      <c r="F1623" t="n">
        <v>0.0597</v>
      </c>
      <c r="G1623" t="n">
        <v>0.1504</v>
      </c>
      <c r="H1623" t="inlineStr">
        <is>
          <t>This code defines a class called `Reflection` that provides methods for working with Java reflection. The class has one method called `isDefaultMethod`, which takes a `Method` object as input and returns whether the method is a default method. It also has another method called `invokeDefaultMethod`, which takes a `Method` object, an instance of the class containing the method, and an</t>
        </is>
      </c>
      <c r="I1623" t="n">
        <v>0.0036</v>
      </c>
      <c r="J1623" t="n">
        <v>0.0588</v>
      </c>
      <c r="K1623" t="n">
        <v>0.1136</v>
      </c>
      <c r="L1623" t="inlineStr">
        <is>
          <t>The `Reflection` class provides methods for working with Java reflection. It has one public method, `isDefaultMethod`, which takes a `Method` object as input and returns whether the method is a default method. Additionally, there is a private method called `invokeDefaultMethod` that invokes a default method using reflection.</t>
        </is>
      </c>
      <c r="M1623" t="n">
        <v>0.0039</v>
      </c>
      <c r="N1623" t="n">
        <v>0.0364</v>
      </c>
      <c r="O1623" t="n">
        <v>0.08400000000000001</v>
      </c>
    </row>
    <row r="1624">
      <c r="A1624" t="inlineStr">
        <is>
          <t>retrofit</t>
        </is>
      </c>
      <c r="B1624" t="inlineStr">
        <is>
          <t>retrofit/src/main/java/retrofit2/BuiltInConverters.java</t>
        </is>
      </c>
      <c r="C1624">
        <f>HYPERLINK("https://github.com/square/retrofit/blob/master/retrofit/src/main/java/retrofit2/BuiltInConverters.java")</f>
        <v/>
      </c>
      <c r="D1624" t="inlineStr">
        <is>
          <t>The `BuiltInConverters` class provides a set of built-in converters that can be used when creating a Retrofit client. It implements the `Converter.Factory` interface and provides methods for converting between different types of objects, such as converting from a `ResponseBody` object to a Java object. The class also includes annotations for handling streaming responses.</t>
        </is>
      </c>
      <c r="E1624" t="n">
        <v>0.0041</v>
      </c>
      <c r="F1624" t="n">
        <v>0.0635</v>
      </c>
      <c r="G1624" t="n">
        <v>0.12</v>
      </c>
      <c r="H1624" t="inlineStr">
        <is>
          <t>This code defines a custom Retrofit converter factory that provides built-in support for converting between various types of HTTP request bodies and responses. The factory implements the `Converter.Factory` interface from the Retrofit library, which allows it to be used as part of the overall conversion process when making HTTP requests and receiving responses.
The main method of interest in this code is `response</t>
        </is>
      </c>
      <c r="I1624" t="n">
        <v>0.0038</v>
      </c>
      <c r="J1624" t="n">
        <v>0.0822</v>
      </c>
      <c r="K1624" t="n">
        <v>0.1481</v>
      </c>
      <c r="L1624" t="inlineStr">
        <is>
          <t>The `BuiltInConverters` class provides built-in converters for common HTTP request and response bodies. It is part of the Retrofit library's converter framework and serves as a base class for other converters.
The class defines several methods that return instances of the `Converter` interface, which are used to convert between HTTP request and response bodies. These conver</t>
        </is>
      </c>
      <c r="M1624" t="n">
        <v>0.0033</v>
      </c>
      <c r="N1624" t="n">
        <v>0.0303</v>
      </c>
      <c r="O1624" t="n">
        <v>0.0781</v>
      </c>
    </row>
    <row r="1625">
      <c r="A1625" t="inlineStr">
        <is>
          <t>retrofit</t>
        </is>
      </c>
      <c r="B1625" t="inlineStr">
        <is>
          <t>retrofit/src/main/java/retrofit2/Utils.java</t>
        </is>
      </c>
      <c r="C1625">
        <f>HYPERLINK("https://github.com/square/retrofit/blob/master/retrofit/src/main/java/retrofit2/Utils.java")</f>
        <v/>
      </c>
      <c r="D1625" t="inlineStr">
        <is>
          <t>This Java package `retrofit2` appears to be related to building RESTful APIs using Retrofit library. It includes several classes that provide various functionalities such as parsing HTTP requests and responses, handling errors, and creating API endpoints. The package also includes annotations used to define the API's structure and behavior. Overall, it seems like a comprehensive implementation of the Ret</t>
        </is>
      </c>
      <c r="E1625" t="n">
        <v>0.0037</v>
      </c>
      <c r="F1625" t="n">
        <v>0.0882</v>
      </c>
      <c r="G1625" t="n">
        <v>0.1527</v>
      </c>
      <c r="H1625" t="inlineStr">
        <is>
          <t>This code appears to be part of a Java library called Retrofit 2, which is used for building RESTful APIs. The code defines several classes and interfaces related to type handling, including `Type`, `GenericArrayType`, `ParameterizedType`, `TypeVariable`, and `WildcardType`. These types are used throughout the library to represent various aspects of generic types, such</t>
        </is>
      </c>
      <c r="I1625" t="n">
        <v>0.0041</v>
      </c>
      <c r="J1625" t="n">
        <v>0.06560000000000001</v>
      </c>
      <c r="K1625" t="n">
        <v>0.12</v>
      </c>
      <c r="L1625" t="inlineStr">
        <is>
          <t>The provided code defines a Retrofit library that allows developers to easily make HTTP requests from Android applications. It provides a simple API for building REST clients and supports multiple request methods such as GET, POST, PUT, DELETE, etc. The code also includes support for handling errors and parsing responses into Java objects using Gson. Overall, the code appears to be well-structured</t>
        </is>
      </c>
      <c r="M1625" t="n">
        <v>0.0029</v>
      </c>
      <c r="N1625" t="n">
        <v>0.0282</v>
      </c>
      <c r="O1625" t="n">
        <v>0.0746</v>
      </c>
    </row>
    <row r="1626">
      <c r="A1626" t="inlineStr">
        <is>
          <t>retrofit</t>
        </is>
      </c>
      <c r="B1626" t="inlineStr">
        <is>
          <t>retrofit/src/main/java/retrofit2/SkipCallbackExecutor.java</t>
        </is>
      </c>
      <c r="C1626">
        <f>HYPERLINK("https://github.com/square/retrofit/blob/master/retrofit/src/main/java/retrofit2/SkipCallbackExecutor.java")</f>
        <v/>
      </c>
      <c r="D1626" t="inlineStr">
        <is>
          <t>The code defines an annotation called `POST` that can be used to change the behavior of a method's return type from `Call&lt;BodyType&gt;` to `Response&lt;BodyType&gt;`. This allows developers to modify the way that Retrofit handles HTTP requests and responses.</t>
        </is>
      </c>
      <c r="E1626" t="n">
        <v>0.0058</v>
      </c>
      <c r="F1626" t="n">
        <v>0.08160000000000001</v>
      </c>
      <c r="G1626" t="n">
        <v>0.1364</v>
      </c>
      <c r="H1626" t="inlineStr">
        <is>
          <t>This code defines a Retrofit annotation called `@GET` that can be used to mark methods as HTTP GET requests. The annotation has no parameters and is applied to methods that return a `Call&lt;BodyType&gt;` object. When this annotation is present on a method, it changes the behavior of the `Call&lt;BodyType&gt;` return type so that it does not automatically unwrap the response body</t>
        </is>
      </c>
      <c r="I1626" t="n">
        <v>0.0036</v>
      </c>
      <c r="J1626" t="n">
        <v>0.0563</v>
      </c>
      <c r="K1626" t="n">
        <v>0.1128</v>
      </c>
      <c r="L1626" t="inlineStr">
        <is>
          <t>The provided code defines a custom annotation called `CallAdapter` that can be used to change the behavior of a `Call&lt;BodyType&gt;` return type when using the Retrofit library. It allows developers to specify a different adapter implementation for the call, which can be useful for testing purposes or if there's a need to modify the default behavior.</t>
        </is>
      </c>
      <c r="M1626" t="n">
        <v>0</v>
      </c>
      <c r="N1626" t="n">
        <v>0.0303</v>
      </c>
      <c r="O1626" t="n">
        <v>0.0781</v>
      </c>
    </row>
    <row r="1627">
      <c r="A1627" t="inlineStr">
        <is>
          <t>retrofit</t>
        </is>
      </c>
      <c r="B1627" t="inlineStr">
        <is>
          <t>retrofit/src/main/java/retrofit2/Invocation.java</t>
        </is>
      </c>
      <c r="C1627">
        <f>HYPERLINK("https://github.com/square/retrofit/blob/master/retrofit/src/main/java/retrofit2/Invocation.java")</f>
        <v/>
      </c>
      <c r="D1627" t="inlineStr">
        <is>
          <t>The `ServiceMethod` class represents a single invocation of a Retrofit service interface method. It captures information about the method, including its name, return type, parameters, and annotations. Instances of this class can be created using the static `create()` method, which takes a `Method` object representing the method being invoked and a list of `ParameterHandler` objects representing the</t>
        </is>
      </c>
      <c r="E1627" t="n">
        <v>0.0032</v>
      </c>
      <c r="F1627" t="n">
        <v>0.0615</v>
      </c>
      <c r="G1627" t="n">
        <v>0.1163</v>
      </c>
      <c r="H1627" t="inlineStr">
        <is>
          <t>The provided code defines a Java class named `retrofit2.Invocation` that represents a single invocation of a Retrofit service interface method. It includes methods to capture the method that was called and its arguments, as well as other fields and methods related to the implementation of core algorithms.</t>
        </is>
      </c>
      <c r="I1627" t="n">
        <v>0.0046</v>
      </c>
      <c r="J1627" t="n">
        <v>0.07140000000000001</v>
      </c>
      <c r="K1627" t="n">
        <v>0.1261</v>
      </c>
      <c r="L1627" t="inlineStr">
        <is>
          <t>The provided code defines a Java class named `retrofit2.Invocation` that represents a single invocation of a Retrofit service interface method. It captures both the method that was called and the arguments to the method. The class has several fields and methods that provide information about the invocation, including the HTTP request method, URL, headers, query parameters, body content, and</t>
        </is>
      </c>
      <c r="M1627" t="n">
        <v>0.0031</v>
      </c>
      <c r="N1627" t="n">
        <v>0.0294</v>
      </c>
      <c r="O1627" t="n">
        <v>0.0382</v>
      </c>
    </row>
    <row r="1628">
      <c r="A1628" t="inlineStr">
        <is>
          <t>retrofit</t>
        </is>
      </c>
      <c r="B1628" t="inlineStr">
        <is>
          <t>retrofit/src/main/java/retrofit2/AndroidMainExecutor.java</t>
        </is>
      </c>
      <c r="C1628">
        <f>HYPERLINK("https://github.com/square/retrofit/blob/master/retrofit/src/main/java/retrofit2/AndroidMainExecutor.java")</f>
        <v/>
      </c>
      <c r="D1628" t="inlineStr">
        <is>
          <t>The `AndroidMainExecutor` class provides an implementation of the `Executor` interface that uses the main thread's looper to post tasks to be executed on the UI thread. It does this by creating a new `Handler` instance using the `Looper.getMainLooper()` method, which returns the looper associated with the main thread. When an `execute` method call is</t>
        </is>
      </c>
      <c r="E1628" t="n">
        <v>0</v>
      </c>
      <c r="F1628" t="n">
        <v>0.0312</v>
      </c>
      <c r="G1628" t="n">
        <v>0.119</v>
      </c>
      <c r="H1628" t="inlineStr">
        <is>
          <t>This code defines an implementation of the `Executor` interface called `AndroidMainExecutor`. It uses the Android `Handler` class to post Runnables to the main thread's looper. The `execute()` method takes a single argument, which is a `Runnable`, and posts it to the main thread using the `handler.post()` method.</t>
        </is>
      </c>
      <c r="I1628" t="n">
        <v>0.0046</v>
      </c>
      <c r="J1628" t="n">
        <v>0.1053</v>
      </c>
      <c r="K1628" t="n">
        <v>0.1681</v>
      </c>
      <c r="L1628" t="inlineStr">
        <is>
          <t>The code defines a custom implementation of the `Executor` interface called `AndroidMainExecutor`. It uses the `Handler` class from the Android SDK to post Runnables to the main thread's looper. The `execute()` method takes a Runnable as input and posts it to the main thread using the `handler.post()` method.</t>
        </is>
      </c>
      <c r="M1628" t="n">
        <v>0.0038</v>
      </c>
      <c r="N1628" t="n">
        <v>0.06900000000000001</v>
      </c>
      <c r="O1628" t="n">
        <v>0.125</v>
      </c>
    </row>
    <row r="1629">
      <c r="A1629" t="inlineStr">
        <is>
          <t>retrofit</t>
        </is>
      </c>
      <c r="B1629" t="inlineStr">
        <is>
          <t>retrofit/src/main/java/retrofit2/RequestFactory.java</t>
        </is>
      </c>
      <c r="C1629">
        <f>HYPERLINK("https://github.com/square/retrofit/blob/master/retrofit/src/main/java/retrofit2/RequestFactory.java")</f>
        <v/>
      </c>
      <c r="D1629" t="inlineStr">
        <is>
          <t>This code appears to be part of a Java library called Retrofit, which is used for building RESTful APIs. The code defines several classes and interfaces related to API requests and responses, as well as some utility methods for working with annotations and reflection.
The `Retrofit` class seems to be the main entry point for using the library. It has a number of methods that</t>
        </is>
      </c>
      <c r="E1629" t="n">
        <v>0.0033</v>
      </c>
      <c r="F1629" t="n">
        <v>0.0548</v>
      </c>
      <c r="G1629" t="n">
        <v>0.1095</v>
      </c>
      <c r="H1629" t="inlineStr">
        <is>
          <t>This is a Java package called `retrofit2` that provides a set of classes and interfaces for building RESTful APIs. The package includes several key features such as request and response serialization, HTTP client abstraction, and API endpoint definition. It also includes a number of utility classes and methods for working with annotations, reflection, and other common tasks in Java development. Overall, this</t>
        </is>
      </c>
      <c r="I1629" t="n">
        <v>0.0035</v>
      </c>
      <c r="J1629" t="n">
        <v>0.0571</v>
      </c>
      <c r="K1629" t="n">
        <v>0.1119</v>
      </c>
      <c r="L1629" t="inlineStr">
        <is>
          <t>The code defines a Java package named `retrofit2` that provides a library for building RESTful APIs using Retrofit. It includes several classes and interfaces, including `Retrofit`, `CallAdapter`, `Converter`, and `ServiceMethod`. The package also includes utility methods such as `Utils.methodError()` and `Utils.parameterError()`.
The primary purpose of</t>
        </is>
      </c>
      <c r="M1629" t="n">
        <v>0.0041</v>
      </c>
      <c r="N1629" t="n">
        <v>0.0364</v>
      </c>
      <c r="O1629" t="n">
        <v>0.08550000000000001</v>
      </c>
    </row>
    <row r="1630">
      <c r="A1630" t="inlineStr">
        <is>
          <t>retrofit</t>
        </is>
      </c>
      <c r="B1630" t="inlineStr">
        <is>
          <t>retrofit/src/main/java/retrofit2/ServiceMethod.java</t>
        </is>
      </c>
      <c r="C1630">
        <f>HYPERLINK("https://github.com/square/retrofit/blob/master/retrofit/src/main/java/retrofit2/ServiceMethod.java")</f>
        <v/>
      </c>
      <c r="D1630" t="inlineStr">
        <is>
          <t>The `ServiceMethod` class is a part of the Retrofit library used for building RESTful APIs in Android applications. It provides a way to create HTTP requests from Java methods annotated with Retrofit annotations such as `@GET`, `@POST`, etc.
The `parseAnnotations()` method takes a Retrofit instance, a service interface, and a method from that</t>
        </is>
      </c>
      <c r="E1630" t="n">
        <v>0.0035</v>
      </c>
      <c r="F1630" t="n">
        <v>0.0328</v>
      </c>
      <c r="G1630" t="n">
        <v>0.08</v>
      </c>
      <c r="H1630" t="inlineStr">
        <is>
          <t>The `ServiceMethod` class is part of the Retrofit library for Android and Java. It represents a single API endpoint that can be called using the Retrofit client. The class has several methods that allow it to perform various operations such as parsing annotations, creating requests, and executing requests.
The `parseAnnotations` method takes a `Retrofit` instance,</t>
        </is>
      </c>
      <c r="I1630" t="n">
        <v>0.0033</v>
      </c>
      <c r="J1630" t="n">
        <v>0.0317</v>
      </c>
      <c r="K1630" t="n">
        <v>0.07870000000000001</v>
      </c>
      <c r="L1630" t="inlineStr">
        <is>
          <t>The `ServiceMethod` class is part of the Retrofit library for Android and Java, and it represents a single API endpoint that can be called using the Retrofit client. It has several abstract methods that must be implemented by subclasses, including `parseAnnotations`, which parses annotations on a method to determine how to call the API endpoint. Other important methods include `</t>
        </is>
      </c>
      <c r="M1630" t="n">
        <v>0.003</v>
      </c>
      <c r="N1630" t="n">
        <v>0.0299</v>
      </c>
      <c r="O1630" t="n">
        <v>0.1136</v>
      </c>
    </row>
    <row r="1631">
      <c r="A1631" t="inlineStr">
        <is>
          <t>retrofit</t>
        </is>
      </c>
      <c r="B1631" t="inlineStr">
        <is>
          <t>retrofit/src/main/java/retrofit2/DefaultCallAdapterFactory.java</t>
        </is>
      </c>
      <c r="C1631">
        <f>HYPERLINK("https://github.com/square/retrofit/blob/master/retrofit/src/main/java/retrofit2/DefaultCallAdapterFactory.java")</f>
        <v/>
      </c>
      <c r="D1631" t="inlineStr">
        <is>
          <t>The `DefaultCallAdapterFactory` class is a part of the Retrofit library for Android and Java applications. It provides a default implementation of the `CallAdapter.Factory` interface, which allows developers to create custom call adapters that can be used to handle different types of responses from API endpoints.
The `DefaultCallAdapterFactory` class has several methods that implement the</t>
        </is>
      </c>
      <c r="E1631" t="n">
        <v>0.0034</v>
      </c>
      <c r="F1631" t="n">
        <v>0.0317</v>
      </c>
      <c r="G1631" t="n">
        <v>0.119</v>
      </c>
      <c r="H1631" t="inlineStr">
        <is>
          <t>This is a Java library called Retrofit that provides a way to make HTTP requests from Android apps using a clean API. The library allows developers to define interfaces for their APIs and automatically generates the necessary code to perform these requests. It also includes features such as caching, error handling, and response parsing.</t>
        </is>
      </c>
      <c r="I1631" t="n">
        <v>0.004</v>
      </c>
      <c r="J1631" t="n">
        <v>0.0645</v>
      </c>
      <c r="K1631" t="n">
        <v>0.119</v>
      </c>
      <c r="L1631" t="inlineStr">
        <is>
          <t>The `DefaultCallAdapterFactory` class provides a call adapter factory that creates an instance of the `CallAdapter` interface from a given return type and annotations. It is part of the Retrofit library's default implementation.
The class takes two parameters upon construction:
* `returnType`: A `Type` object representing the expected response body type.
* `annot</t>
        </is>
      </c>
      <c r="M1631" t="n">
        <v>0.0035</v>
      </c>
      <c r="N1631" t="n">
        <v>0.0339</v>
      </c>
      <c r="O1631" t="n">
        <v>0.0806</v>
      </c>
    </row>
    <row r="1632">
      <c r="A1632" t="inlineStr">
        <is>
          <t>retrofit</t>
        </is>
      </c>
      <c r="B1632" t="inlineStr">
        <is>
          <t>retrofit/src/main/java/retrofit2/DefaultMethodSupport.java</t>
        </is>
      </c>
      <c r="C1632">
        <f>HYPERLINK("https://github.com/square/retrofit/blob/master/retrofit/src/main/java/retrofit2/DefaultMethodSupport.java")</f>
        <v/>
      </c>
      <c r="D1632" t="inlineStr">
        <is>
          <t>The `retrofit2` package provides a framework for building RESTful APIs in Java. It includes a number of classes and interfaces that provide various features such as HTTP request and response handling, JSON parsing, and error handling.
The `Retrofit` class is the main entry point for using the library. It allows developers to create instances of `ServiceMethod` objects, which</t>
        </is>
      </c>
      <c r="E1632" t="n">
        <v>0.0031</v>
      </c>
      <c r="F1632" t="n">
        <v>0.0303</v>
      </c>
      <c r="G1632" t="n">
        <v>0.0769</v>
      </c>
      <c r="H1632" t="inlineStr">
        <is>
          <t>This code defines a class called `retrofit2` that provides methods for invoking default methods on proxied interfaces. The class uses reflection to create a trusted `Lookup` object to invoke the default method. It also includes annotations from the `javax.annotation` package and imports classes from the `java.lang.invoke` and `java.lang.reflect` packages</t>
        </is>
      </c>
      <c r="I1632" t="n">
        <v>0.0045</v>
      </c>
      <c r="J1632" t="n">
        <v>0.0645</v>
      </c>
      <c r="K1632" t="n">
        <v>0.124</v>
      </c>
      <c r="L1632" t="inlineStr">
        <is>
          <t>The code defines a class called `Retrofit` that is used to create instances of a proxy object that implements an interface. It uses reflection to call methods on the interface and handle any exceptions that might occur during execution. The code also includes annotations such as `@Nullable` and `@IgnoreJRERequirement`, which indicate that certain features of the code are intended for use with</t>
        </is>
      </c>
      <c r="M1632" t="n">
        <v>0.0035</v>
      </c>
      <c r="N1632" t="n">
        <v>0.0571</v>
      </c>
      <c r="O1632" t="n">
        <v>0.1119</v>
      </c>
    </row>
    <row r="1633">
      <c r="A1633" t="inlineStr">
        <is>
          <t>retrofit</t>
        </is>
      </c>
      <c r="B1633" t="inlineStr">
        <is>
          <t>retrofit/src/main/java/retrofit2/Callback.java</t>
        </is>
      </c>
      <c r="C1633">
        <f>HYPERLINK("https://github.com/square/retrofit/blob/master/retrofit/src/main/java/retrofit2/Callback.java")</f>
        <v/>
      </c>
      <c r="D1633" t="inlineStr">
        <is>
          <t>The `Retrofit` class provides a way to communicate responses from a server or offline requests. It defines a single interface that must be implemented by any object that wants to receive callbacks when a request completes. There are three methods defined in the interface: `onResponse()`, `onFailure()`, and `onComplete()`. These methods are called in response to a request being made,</t>
        </is>
      </c>
      <c r="E1633" t="n">
        <v>0.0031</v>
      </c>
      <c r="F1633" t="n">
        <v>0.0597</v>
      </c>
      <c r="G1633" t="n">
        <v>0.07630000000000001</v>
      </c>
      <c r="H1633" t="inlineStr">
        <is>
          <t>This is a Java package named `retrofit2` that provides a way to communicate responses from servers or offline requests. It defines an interface called `Call`, which has several methods that can be overridden to handle different types of responses. The `Call` class also includes a number of static factory methods for creating instances of `Call`.
The package includes documentation in the form</t>
        </is>
      </c>
      <c r="I1633" t="n">
        <v>0.0029</v>
      </c>
      <c r="J1633" t="n">
        <v>0.0286</v>
      </c>
      <c r="K1633" t="n">
        <v>0.0373</v>
      </c>
      <c r="L1633" t="inlineStr">
        <is>
          <t>The code defines a class called `Retrofit` that provides a way to communicate responses from a server or offline requests. It has three methods: `onResponse`, `onFailure`, and `enqueue`. These methods are responsible for handling the results of a request, whether successful or unsuccessful. The `enqueue` method takes a `Call` object as input and sched</t>
        </is>
      </c>
      <c r="M1633" t="n">
        <v>0.0034</v>
      </c>
      <c r="N1633" t="n">
        <v>0.0323</v>
      </c>
      <c r="O1633" t="n">
        <v>0.0397</v>
      </c>
    </row>
    <row r="1634">
      <c r="A1634" t="inlineStr">
        <is>
          <t>retrofit</t>
        </is>
      </c>
      <c r="B1634" t="inlineStr">
        <is>
          <t>retrofit/src/main/java/retrofit2/http/Tag.java</t>
        </is>
      </c>
      <c r="C1634">
        <f>HYPERLINK("https://github.com/square/retrofit/blob/master/retrofit/src/main/java/retrofit2/http/Tag.java")</f>
        <v/>
      </c>
      <c r="D1634" t="inlineStr">
        <is>
          <t>The `retrofit2.http.Tag` annotation is used to add a parameter value as a request tag using the parameter's class name as the key. It can be applied to method parameters that have a `@Header`, `@Query`, `@Field`, or `@Part` annotation. This allows developers to customize how their data is serialized and sent in HTTP requests.</t>
        </is>
      </c>
      <c r="E1634" t="n">
        <v>0.0041</v>
      </c>
      <c r="F1634" t="n">
        <v>0.0625</v>
      </c>
      <c r="G1634" t="n">
        <v>0.12</v>
      </c>
      <c r="H1634" t="inlineStr">
        <is>
          <t>This code defines an annotation called `@Tag` that can be used to add an argument instance as a request tag using the type as the key. The annotation is defined in the `retrofit2.http` package and has a runtime retention policy. It targets method parameters and is documented with a brief description of its purpose.</t>
        </is>
      </c>
      <c r="I1634" t="n">
        <v>0.004</v>
      </c>
      <c r="J1634" t="n">
        <v>0.0635</v>
      </c>
      <c r="K1634" t="n">
        <v>0.119</v>
      </c>
      <c r="L1634" t="inlineStr">
        <is>
          <t>The code defines a custom annotation called `Tag` that can be used to add an argument instance as a request tag using the type as the key. It is part of the Retrofit library's HTTP client API.</t>
        </is>
      </c>
      <c r="M1634" t="n">
        <v>0</v>
      </c>
      <c r="N1634" t="n">
        <v>0</v>
      </c>
      <c r="O1634" t="n">
        <v>0.0459</v>
      </c>
    </row>
    <row r="1635">
      <c r="A1635" t="inlineStr">
        <is>
          <t>retrofit</t>
        </is>
      </c>
      <c r="B1635" t="inlineStr">
        <is>
          <t>retrofit/src/main/java/retrofit2/http/Header.java</t>
        </is>
      </c>
      <c r="C1635">
        <f>HYPERLINK("https://github.com/square/retrofit/blob/master/retrofit/src/main/java/retrofit2/http/Header.java")</f>
        <v/>
      </c>
      <c r="D1635" t="inlineStr">
        <is>
          <t>The `Header` annotation is used to replace the value of a HTTP request header with the value of its target. It is used as a parameter modifier in Retrofit's `@GET`, `@POST`, etc. annotations to specify that a certain header should be included in the request.</t>
        </is>
      </c>
      <c r="E1635" t="n">
        <v>0</v>
      </c>
      <c r="F1635" t="n">
        <v>0</v>
      </c>
      <c r="G1635" t="n">
        <v>0.0427</v>
      </c>
      <c r="H1635" t="inlineStr">
        <is>
          <t>This package provides annotations for defining HTTP headers in Retrofit 2 requests. The `Header` annotation can be used to replace the header with the value of its target. It has a single parameter, which specifies the name of the header to set.</t>
        </is>
      </c>
      <c r="I1635" t="n">
        <v>0.0044</v>
      </c>
      <c r="J1635" t="n">
        <v>0.04</v>
      </c>
      <c r="K1635" t="n">
        <v>0.0877</v>
      </c>
      <c r="L1635" t="inlineStr">
        <is>
          <t>The provided code defines a Java annotation called `@Header` that can be used to replace the value of a HTTP request header with the value of its target. The annotation is defined using the `java.lang.annotation` package and has several attributes, including the name of the header (`value`) and the target field or method that will provide the replacement value.</t>
        </is>
      </c>
      <c r="M1635" t="n">
        <v>0.0031</v>
      </c>
      <c r="N1635" t="n">
        <v>0.029</v>
      </c>
      <c r="O1635" t="n">
        <v>0.07630000000000001</v>
      </c>
    </row>
    <row r="1636">
      <c r="A1636" t="inlineStr">
        <is>
          <t>retrofit</t>
        </is>
      </c>
      <c r="B1636" t="inlineStr">
        <is>
          <t>retrofit/src/main/java/retrofit2/http/FormUrlEncoded.java</t>
        </is>
      </c>
      <c r="C1636">
        <f>HYPERLINK("https://github.com/square/retrofit/blob/master/retrofit/src/main/java/retrofit2/http/FormUrlEncoded.java")</f>
        <v/>
      </c>
      <c r="D1636" t="inlineStr">
        <is>
          <t>The `FormUrlEncoded` annotation is used to indicate that the request body will use form URL encoding. It is applied to methods that have parameters that need to be encoded using this format.
The annotation is defined in the `retrofit2.http` package and has the following attributes:
* `value`: A string array containing the names of the fields that should</t>
        </is>
      </c>
      <c r="E1636" t="n">
        <v>0.0031</v>
      </c>
      <c r="F1636" t="n">
        <v>0.0606</v>
      </c>
      <c r="G1636" t="n">
        <v>0.1154</v>
      </c>
      <c r="H1636" t="inlineStr">
        <is>
          <t>The code defines a Java annotation called `FormUrlEncoded` that can be used to indicate that the request body uses form URL encoding. It is part of the Retrofit library's HTTP module and is used to specify how the request body should be encoded when making HTTP requests using Retrofit.</t>
        </is>
      </c>
      <c r="I1636" t="n">
        <v>0.0045</v>
      </c>
      <c r="J1636" t="n">
        <v>0.06900000000000001</v>
      </c>
      <c r="K1636" t="n">
        <v>0.124</v>
      </c>
      <c r="L1636" t="inlineStr">
        <is>
          <t>The provided code defines an annotation called `@FormUrlEncoded` for Retrofit, which indicates that the request body will use form URL encoding. It specifies that fields should be declared as parameters and annotated with `@Field`.</t>
        </is>
      </c>
      <c r="M1636" t="n">
        <v>0.0055</v>
      </c>
      <c r="N1636" t="n">
        <v>0.0476</v>
      </c>
      <c r="O1636" t="n">
        <v>0.09429999999999999</v>
      </c>
    </row>
    <row r="1637">
      <c r="A1637" t="inlineStr">
        <is>
          <t>retrofit</t>
        </is>
      </c>
      <c r="B1637" t="inlineStr">
        <is>
          <t>retrofit/src/main/java/retrofit2/http/Field.java</t>
        </is>
      </c>
      <c r="C1637">
        <f>HYPERLINK("https://github.com/square/retrofit/blob/master/retrofit/src/main/java/retrofit2/http/Field.java")</f>
        <v/>
      </c>
      <c r="D1637" t="inlineStr">
        <is>
          <t>The code defines a Java annotation called `@FormUrlEncoded` that can be used to indicate that a method parameter should be encoded as part of a form URL. It is intended to be used in conjunction with Retrofit, a popular HTTP client library for Android and Java applications.
The annotation has no parameters and is annotated with `java.lang.annotation.Documented</t>
        </is>
      </c>
      <c r="E1637" t="n">
        <v>0.0032</v>
      </c>
      <c r="F1637" t="n">
        <v>0.0294</v>
      </c>
      <c r="G1637" t="n">
        <v>0.0775</v>
      </c>
      <c r="H1637" t="inlineStr">
        <is>
          <t>This code defines a Java annotation called `@FormUrlEncoded` that can be used to mark method parameters as being encoded using the `application/x-www-form-urlencoded` content type when making HTTP requests. The annotation is part of the Retrofit library's HTTP client implementation. It specifies that the parameter should be included in the request body as a key-value</t>
        </is>
      </c>
      <c r="I1637" t="n">
        <v>0.0034</v>
      </c>
      <c r="J1637" t="n">
        <v>0.0588</v>
      </c>
      <c r="K1637" t="n">
        <v>0.0794</v>
      </c>
      <c r="L1637" t="inlineStr">
        <is>
          <t>The code defines a custom annotation called `@FormUrlEncoded` that can be used to indicate that a method parameter should be encoded as part of a form URL when making a HTTP request using Retrofit. It is annotated with various metadata such as `ElementType`, `Retention`, and `Documented`.</t>
        </is>
      </c>
      <c r="M1637" t="n">
        <v>0.004</v>
      </c>
      <c r="N1637" t="n">
        <v>0.037</v>
      </c>
      <c r="O1637" t="n">
        <v>0.0847</v>
      </c>
    </row>
    <row r="1638">
      <c r="A1638" t="inlineStr">
        <is>
          <t>retrofit</t>
        </is>
      </c>
      <c r="B1638" t="inlineStr">
        <is>
          <t>retrofit/src/main/java/retrofit2/http/package-info.java</t>
        </is>
      </c>
      <c r="C1638">
        <f>HYPERLINK("https://github.com/square/retrofit/blob/master/retrofit/src/main/java/retrofit2/http/package-info.java")</f>
        <v/>
      </c>
      <c r="D1638" t="inlineStr">
        <is>
          <t>The provided code is part of a Java library called Retrofit, which is used for building RESTful APIs in Android applications. It defines annotations for interface methods that can be used to control the HTTP request behavior. Specifically, it provides several annotations such as `@GET`, `@POST`, `@PUT`, `@DELETE` etc., which can be applied to interface methods to specify the HTTP method and</t>
        </is>
      </c>
      <c r="E1638" t="n">
        <v>0.0029</v>
      </c>
      <c r="F1638" t="n">
        <v>0.0286</v>
      </c>
      <c r="G1638" t="n">
        <v>0.0746</v>
      </c>
      <c r="H1638" t="inlineStr">
        <is>
          <t>This is a Java package containing annotations for controlling the HTTP request behavior in a Retrofit 2.0 REST client library. The package provides several annotations that can be used to customize the behavior of HTTP requests made by the Retrofit client, such as @GET, @POST, @PUT, @DELETE, etc. These annotations can be applied to interface methods to specify</t>
        </is>
      </c>
      <c r="I1638" t="n">
        <v>0.0031</v>
      </c>
      <c r="J1638" t="n">
        <v>0.0299</v>
      </c>
      <c r="K1638" t="n">
        <v>0.0769</v>
      </c>
      <c r="L1638" t="inlineStr">
        <is>
          <t>The provided code defines annotations for interface methods to control the HTTP request behavior in the Retrofit library. It is part of the "retrofit2.http" package and provides a way to specify additional parameters and behaviors for HTTP requests made using the Retrofit framework.</t>
        </is>
      </c>
      <c r="M1638" t="n">
        <v>0.0043</v>
      </c>
      <c r="N1638" t="n">
        <v>0.0385</v>
      </c>
      <c r="O1638" t="n">
        <v>0.08699999999999999</v>
      </c>
    </row>
    <row r="1639">
      <c r="A1639" t="inlineStr">
        <is>
          <t>retrofit</t>
        </is>
      </c>
      <c r="B1639" t="inlineStr">
        <is>
          <t>retrofit/src/main/java/retrofit2/http/PartMap.java</t>
        </is>
      </c>
      <c r="C1639">
        <f>HYPERLINK("https://github.com/square/retrofit/blob/master/retrofit/src/main/java/retrofit2/http/PartMap.java")</f>
        <v/>
      </c>
      <c r="D1639" t="inlineStr">
        <is>
          <t>This code defines a Java annotation called `@PartMap` that can be used to denote multiple name-value pairs in a multi-part HTTP request body. The annotation is defined as follows:
```java
@Documented
@Retention(RUNTIME)
@Target({ PARAMETER })
public @interface PartMap {
    String[] value();
}</t>
        </is>
      </c>
      <c r="E1639" t="n">
        <v>0.0044</v>
      </c>
      <c r="F1639" t="n">
        <v>0.04</v>
      </c>
      <c r="G1639" t="n">
        <v>0.0877</v>
      </c>
      <c r="H1639" t="inlineStr">
        <is>
          <t>The provided code defines a Java annotation called `@PartMap` that can be used to denote name and value pairs of a multi-part HTTP request. It is part of the `retrofit2.http` package and is intended to be used as a parameter type in Retrofit's API methods.
The annotation has several properties, including `value`, `name`, and</t>
        </is>
      </c>
      <c r="I1639" t="n">
        <v>0.0034</v>
      </c>
      <c r="J1639" t="n">
        <v>0.0308</v>
      </c>
      <c r="K1639" t="n">
        <v>0.0794</v>
      </c>
      <c r="L1639" t="inlineStr">
        <is>
          <t>The provided code defines a Java annotation called `@PartMap` that can be used to denote name and value parts of a multi-part HTTP request. It is part of the Retrofit library's `retrofit2.http` package.</t>
        </is>
      </c>
      <c r="M1639" t="n">
        <v>0.0056</v>
      </c>
      <c r="N1639" t="n">
        <v>0.0455</v>
      </c>
      <c r="O1639" t="n">
        <v>0.09520000000000001</v>
      </c>
    </row>
    <row r="1640">
      <c r="A1640" t="inlineStr">
        <is>
          <t>retrofit</t>
        </is>
      </c>
      <c r="B1640" t="inlineStr">
        <is>
          <t>retrofit/src/main/java/retrofit2/http/Path.java</t>
        </is>
      </c>
      <c r="C1640">
        <f>HYPERLINK("https://github.com/square/retrofit/blob/master/retrofit/src/main/java/retrofit2/http/Path.java")</f>
        <v/>
      </c>
      <c r="D1640" t="inlineStr">
        <is>
          <t>The `Path` annotation is used to specify that a parameter should be included as a path segment in the request URL. It can be applied to method parameters and specifies the name of the path segment. This allows for more flexible routing and customization of URLs compared to using `@GET`, `@POST`, etc. annotations alone.</t>
        </is>
      </c>
      <c r="E1640" t="n">
        <v>0.004</v>
      </c>
      <c r="F1640" t="n">
        <v>0.0645</v>
      </c>
      <c r="G1640" t="n">
        <v>0.119</v>
      </c>
      <c r="H1640" t="inlineStr">
        <is>
          <t>This code defines a Java annotation called `@Path` that can be used to specify named replacements in a URL path segment. The annotation has one parameter `value`, which specifies the name of the replacement. It also has a `retainUnmatched` parameter that determines whether unmatched segments should be retained in the final URL.
The annotation is part of the</t>
        </is>
      </c>
      <c r="I1640" t="n">
        <v>0.0031</v>
      </c>
      <c r="J1640" t="n">
        <v>0.0303</v>
      </c>
      <c r="K1640" t="n">
        <v>0.0769</v>
      </c>
      <c r="L1640" t="inlineStr">
        <is>
          <t>The provided code defines an annotation called `@Path` that can be used to specify named replacements in a URL path segment. It belongs to the `retrofit2.http` package and is part of the Retrofit library. The annotation has two parameters: `value`, which specifies the name of the replacement, and `encoded`, which determines whether the value should be</t>
        </is>
      </c>
      <c r="M1640" t="n">
        <v>0.0033</v>
      </c>
      <c r="N1640" t="n">
        <v>0.0308</v>
      </c>
      <c r="O1640" t="n">
        <v>0.0781</v>
      </c>
    </row>
    <row r="1641">
      <c r="A1641" t="inlineStr">
        <is>
          <t>retrofit</t>
        </is>
      </c>
      <c r="B1641" t="inlineStr">
        <is>
          <t>retrofit/src/main/java/retrofit2/http/QueryName.java</t>
        </is>
      </c>
      <c r="C1641">
        <f>HYPERLINK("https://github.com/square/retrofit/blob/master/retrofit/src/main/java/retrofit2/http/QueryName.java")</f>
        <v/>
      </c>
      <c r="D1641" t="inlineStr">
        <is>
          <t>This code defines an annotation called `@Query` for Retrofit, which allows developers to append query parameters to URLs without providing any values. The annotation can be applied to method parameters and specifies that the parameter should be included as a query parameter in the request URL.
The annotation is defined using Java's annotation mechanism and is marked with the `Documented`, `Retention`,</t>
        </is>
      </c>
      <c r="E1641" t="n">
        <v>0.0036</v>
      </c>
      <c r="F1641" t="n">
        <v>0.0571</v>
      </c>
      <c r="G1641" t="n">
        <v>0.1128</v>
      </c>
      <c r="H1641" t="inlineStr">
        <is>
          <t>The code defines a Java annotation called `@Query` that can be used to mark method parameters as query parameters when using Retrofit, a popular HTTP client library for Android and Java applications. The annotation specifies that the annotated parameter should be included as a query parameter in the request URL, even if it has no value. This allows developers to easily specify query parameters without having to manually construct</t>
        </is>
      </c>
      <c r="I1641" t="n">
        <v>0.0031</v>
      </c>
      <c r="J1641" t="n">
        <v>0.026</v>
      </c>
      <c r="K1641" t="n">
        <v>0.1064</v>
      </c>
      <c r="L1641" t="inlineStr">
        <is>
          <t>The code defines a Java annotation called `@Query` that can be used to mark method parameters as query parameters in a Retrofit service interface. When applied to a method parameter, the annotation specifies that the parameter should be added to the URL as a query parameter with no value. For example, if a method is annotated with `@GET("/users")`, passing a `name` parameter</t>
        </is>
      </c>
      <c r="M1641" t="n">
        <v>0</v>
      </c>
      <c r="N1641" t="n">
        <v>0</v>
      </c>
      <c r="O1641" t="n">
        <v>0.0373</v>
      </c>
    </row>
    <row r="1642">
      <c r="A1642" t="inlineStr">
        <is>
          <t>retrofit</t>
        </is>
      </c>
      <c r="B1642" t="inlineStr">
        <is>
          <t>retrofit/src/main/java/retrofit2/http/Headers.java</t>
        </is>
      </c>
      <c r="C1642">
        <f>HYPERLINK("https://github.com/square/retrofit/blob/master/retrofit/src/main/java/retrofit2/http/Headers.java")</f>
        <v/>
      </c>
      <c r="D1642" t="inlineStr">
        <is>
          <t>The `Headers` annotation in Retrofit's HTTP package allows developers to add custom HTTP headers to their API requests. It takes a string array as its argument, which represents the header names and values that should be added to the request.
For example, if we have a method annotated with `@Headers({"Cache-Control: max-age=64000</t>
        </is>
      </c>
      <c r="E1642" t="n">
        <v>0.0036</v>
      </c>
      <c r="F1642" t="n">
        <v>0.0312</v>
      </c>
      <c r="G1642" t="n">
        <v>0.0407</v>
      </c>
      <c r="H1642" t="inlineStr">
        <is>
          <t>This code defines a Java annotation called `@Headers` that can be used to add custom HTTP headers to API requests made using Retrofit 2. The annotation accepts a single string argument `value`, which specifies the header values to include in the request. For example, if the value is `"Cache-Control: max-age=640000"`, the annotation will</t>
        </is>
      </c>
      <c r="I1642" t="n">
        <v>0.0035</v>
      </c>
      <c r="J1642" t="n">
        <v>0.0312</v>
      </c>
      <c r="K1642" t="n">
        <v>0.08</v>
      </c>
      <c r="L1642" t="inlineStr">
        <is>
          <t>The provided code defines a Java annotation called `Headers` that adds custom HTTP headers to API requests made using Retrofit. It specifies the header values as a string array in the `value` field. The annotation is used to add cache control headers to HTTP requests, specifically setting the maximum age of cached responses to 640000 milliseconds.</t>
        </is>
      </c>
      <c r="M1642" t="n">
        <v>0</v>
      </c>
      <c r="N1642" t="n">
        <v>0</v>
      </c>
      <c r="O1642" t="n">
        <v>0.0391</v>
      </c>
    </row>
    <row r="1643">
      <c r="A1643" t="inlineStr">
        <is>
          <t>retrofit</t>
        </is>
      </c>
      <c r="B1643" t="inlineStr">
        <is>
          <t>retrofit/src/main/java/retrofit2/http/Part.java</t>
        </is>
      </c>
      <c r="C1643">
        <f>HYPERLINK("https://github.com/square/retrofit/blob/master/retrofit/src/main/java/retrofit2/http/Part.java")</f>
        <v/>
      </c>
      <c r="D1643" t="inlineStr">
        <is>
          <t>The `Part` annotation is used to denote a single part of a multi-part HTTP request. It is applied to method parameters that should be sent as parts of the request body. The annotation specifies the name of the part, its content type, and whether it should be encoded using base64 encoding.
The `Part` annotation is defined in the `retrofit2</t>
        </is>
      </c>
      <c r="E1643" t="n">
        <v>0.0031</v>
      </c>
      <c r="F1643" t="n">
        <v>0.0294</v>
      </c>
      <c r="G1643" t="n">
        <v>0.07630000000000001</v>
      </c>
      <c r="H1643" t="inlineStr">
        <is>
          <t>This code defines a Java annotation called `@Part` that can be used to annotate parameters in a method signature to indicate that they should be treated as individual parts of a multi-part HTTP request. The annotation has several attributes, including `value`, `type`, and `name`, which specify the name of the part, its MIME type, and its value, respectively. It also includes</t>
        </is>
      </c>
      <c r="I1643" t="n">
        <v>0.0036</v>
      </c>
      <c r="J1643" t="n">
        <v>0.0571</v>
      </c>
      <c r="K1643" t="n">
        <v>0.1128</v>
      </c>
      <c r="L1643" t="inlineStr">
        <is>
          <t>The code defines an annotation called `@Part` that is used to denote a single part of a multi-part HTTP request. It specifies the name and content type of the part, as well as any additional metadata such as whether the part should be included in the request body or URL query parameters.</t>
        </is>
      </c>
      <c r="M1643" t="n">
        <v>0.0035</v>
      </c>
      <c r="N1643" t="n">
        <v>0.0328</v>
      </c>
      <c r="O1643" t="n">
        <v>0.0806</v>
      </c>
    </row>
    <row r="1644">
      <c r="A1644" t="inlineStr">
        <is>
          <t>retrofit</t>
        </is>
      </c>
      <c r="B1644" t="inlineStr">
        <is>
          <t>retrofit/src/main/java/retrofit2/http/HeaderMap.java</t>
        </is>
      </c>
      <c r="C1644">
        <f>HYPERLINK("https://github.com/square/retrofit/blob/master/retrofit/src/main/java/retrofit2/http/HeaderMap.java")</f>
        <v/>
      </c>
      <c r="D1644" t="inlineStr">
        <is>
          <t>The provided code defines an annotation called `@Headers` that can be used to add custom HTTP headers to Retrofit requests. It does this by creating a new `Header` class that extends `java.lang.annotation.Annotation`. This annotation has one method, `value()`, which returns a map of header names to values. When the `Retrofit` object is created, it looks</t>
        </is>
      </c>
      <c r="E1644" t="n">
        <v>0.0033</v>
      </c>
      <c r="F1644" t="n">
        <v>0.0303</v>
      </c>
      <c r="G1644" t="n">
        <v>0.07870000000000001</v>
      </c>
      <c r="H1644" t="inlineStr">
        <is>
          <t>The provided code defines a Java annotation called `@Header` that can be used to specify HTTP request headers when making API calls using Retrofit. It takes a single string parameter representing the header name and its value, and it allows developers to easily set multiple headers in a convenient way.
The annotation is defined as follows:
```java
@Documented
@Retention(R</t>
        </is>
      </c>
      <c r="I1644" t="n">
        <v>0.0031</v>
      </c>
      <c r="J1644" t="n">
        <v>0.0294</v>
      </c>
      <c r="K1644" t="n">
        <v>0.07630000000000001</v>
      </c>
      <c r="L1644" t="inlineStr">
        <is>
          <t>The provided code defines a Java annotation called `@Headers` that can be used to add HTTP headers to a Retrofit API request. It is part of the `retrofit2.http` package and is annotated with several other annotations, including `@Documented`, `@Retention`, and `@Target`.
The `@Headers` annotation takes a single parameter, which is a map</t>
        </is>
      </c>
      <c r="M1644" t="n">
        <v>0.0035</v>
      </c>
      <c r="N1644" t="n">
        <v>0.0328</v>
      </c>
      <c r="O1644" t="n">
        <v>0.0806</v>
      </c>
    </row>
    <row r="1645">
      <c r="A1645" t="inlineStr">
        <is>
          <t>retrofit</t>
        </is>
      </c>
      <c r="B1645" t="inlineStr">
        <is>
          <t>retrofit/src/main/java/retrofit2/http/GET.java</t>
        </is>
      </c>
      <c r="C1645">
        <f>HYPERLINK("https://github.com/square/retrofit/blob/master/retrofit/src/main/java/retrofit2/http/GET.java")</f>
        <v/>
      </c>
      <c r="D1645" t="inlineStr">
        <is>
          <t>The `GET` annotation in Retrofit 2.0 is used to indicate that a method should make a GET request using OkHttp. It can be applied to methods in interfaces annotated with `@HTTPClient`.
The annotation has no parameters, but it does have a few attributes:
* `value`: This attribute specifies the URL path template for the request. It</t>
        </is>
      </c>
      <c r="E1645" t="n">
        <v>0.0033</v>
      </c>
      <c r="F1645" t="n">
        <v>0.0312</v>
      </c>
      <c r="G1645" t="n">
        <v>0.0781</v>
      </c>
      <c r="H1645" t="inlineStr">
        <is>
          <t>This code defines an annotation called `GET` that can be used to mark methods in Java classes as HTTP GET requests. The annotation has no parameters and is applied to methods that make GET requests. It also includes documentation about the license and copyright information for the package.</t>
        </is>
      </c>
      <c r="I1645" t="n">
        <v>0.0045</v>
      </c>
      <c r="J1645" t="n">
        <v>0.07140000000000001</v>
      </c>
      <c r="K1645" t="n">
        <v>0.125</v>
      </c>
      <c r="L1645" t="inlineStr">
        <is>
          <t>The provided code defines a Java annotation called `GET` that makes a HTTP GET request. It is used as a method modifier in Retrofit, a popular Android library for building REST clients. The annotation takes no parameters and is used to indicate that the annotated method should be invoked using the GET HTTP method.</t>
        </is>
      </c>
      <c r="M1645" t="n">
        <v>0.0034</v>
      </c>
      <c r="N1645" t="n">
        <v>0.0323</v>
      </c>
      <c r="O1645" t="n">
        <v>0.0794</v>
      </c>
    </row>
    <row r="1646">
      <c r="A1646" t="inlineStr">
        <is>
          <t>retrofit</t>
        </is>
      </c>
      <c r="B1646" t="inlineStr">
        <is>
          <t>retrofit/src/main/java/retrofit2/http/Query.java</t>
        </is>
      </c>
      <c r="C1646">
        <f>HYPERLINK("https://github.com/square/retrofit/blob/master/retrofit/src/main/java/retrofit2/http/Query.java")</f>
        <v/>
      </c>
      <c r="D1646" t="inlineStr">
        <is>
          <t>This Java annotation class `Query` is used to mark method parameters as query parameters in a Retrofit API client. The `@Query` annotation can be applied to any method parameter that should be included as a query parameter in the HTTP request URL. It specifies the name of the query parameter and its type.
The `Query` annotation has several attributes:
* `value</t>
        </is>
      </c>
      <c r="E1646" t="n">
        <v>0.0036</v>
      </c>
      <c r="F1646" t="n">
        <v>0.0588</v>
      </c>
      <c r="G1646" t="n">
        <v>0.1128</v>
      </c>
      <c r="H1646" t="inlineStr">
        <is>
          <t>This code defines a Java annotation called `@Query` that can be used to append query parameters to URLs when making HTTP requests using Retrofit. The annotation has several properties that allow developers to customize how the query parameter is added to the URL, such as the name of the parameter, its value, and whether it should be encoded.
The `retrofit2.http`</t>
        </is>
      </c>
      <c r="I1646" t="n">
        <v>0.0036</v>
      </c>
      <c r="J1646" t="n">
        <v>0.058</v>
      </c>
      <c r="K1646" t="n">
        <v>0.1136</v>
      </c>
      <c r="L1646" t="inlineStr">
        <is>
          <t>The code defines an annotation called `@Query` that can be used to append query parameters to URLs when making HTTP requests using Retrofit. It specifies that the annotated method parameter should be interpreted as a query parameter and included in the URL's query string.</t>
        </is>
      </c>
      <c r="M1646" t="n">
        <v>0.0042</v>
      </c>
      <c r="N1646" t="n">
        <v>0.0377</v>
      </c>
      <c r="O1646" t="n">
        <v>0.0862</v>
      </c>
    </row>
    <row r="1647">
      <c r="A1647" t="inlineStr">
        <is>
          <t>retrofit</t>
        </is>
      </c>
      <c r="B1647" t="inlineStr">
        <is>
          <t>retrofit/src/main/java/retrofit2/http/Body.java</t>
        </is>
      </c>
      <c r="C1647">
        <f>HYPERLINK("https://github.com/square/retrofit/blob/master/retrofit/src/main/java/retrofit2/http/Body.java")</f>
        <v/>
      </c>
      <c r="D1647" t="inlineStr">
        <is>
          <t>The `Query` annotation is used to indicate that a parameter should be included as a query string in the HTTP request URL. It can only be applied to parameters of methods annotated with `@GET`, `@HEAD`, or `@DELETE`.
The `Query` annotation has several attributes:
* `value`: The name of the query parameter. This value will be used as the</t>
        </is>
      </c>
      <c r="E1647" t="n">
        <v>0.0031</v>
      </c>
      <c r="F1647" t="n">
        <v>0.0308</v>
      </c>
      <c r="G1647" t="n">
        <v>0.0769</v>
      </c>
      <c r="H1647" t="inlineStr">
        <is>
          <t>This code defines a Java interface called `Http` that provides methods for making HTTP requests using Retrofit 2. The interface has several annotations, including `@GET`, `@POST`, `@PUT`, `@DELETE`, and `@HEAD`. These annotations indicate the type of request being made and provide information about the URL and any parameters or headers that should be included in the request.
The</t>
        </is>
      </c>
      <c r="I1647" t="n">
        <v>0.0037</v>
      </c>
      <c r="J1647" t="n">
        <v>0.0606</v>
      </c>
      <c r="K1647" t="n">
        <v>0.1154</v>
      </c>
      <c r="L1647" t="inlineStr">
        <is>
          <t>The code defines a custom annotation called `@Body` that can be used to indicate that a parameter should be sent as the request body in a Retrofit HTTP call. It is part of the `retrofit2.http` package and is used to provide additional metadata about the parameter.</t>
        </is>
      </c>
      <c r="M1647" t="n">
        <v>0.004</v>
      </c>
      <c r="N1647" t="n">
        <v>0.0364</v>
      </c>
      <c r="O1647" t="n">
        <v>0.0847</v>
      </c>
    </row>
    <row r="1648">
      <c r="A1648" t="inlineStr">
        <is>
          <t>retrofit</t>
        </is>
      </c>
      <c r="B1648" t="inlineStr">
        <is>
          <t>retrofit/src/main/java/retrofit2/http/Streaming.java</t>
        </is>
      </c>
      <c r="C1648">
        <f>HYPERLINK("https://github.com/square/retrofit/blob/master/retrofit/src/main/java/retrofit2/http/Streaming.java")</f>
        <v/>
      </c>
      <c r="D1648" t="inlineStr">
        <is>
          <t>The code defines an annotation called `@RawResponses` that can be used to indicate that the response body of a method should be treated as raw data, rather than being converted into a Java object. This allows developers to handle responses with custom serialization logic.</t>
        </is>
      </c>
      <c r="E1648" t="n">
        <v>0.005</v>
      </c>
      <c r="F1648" t="n">
        <v>0.0769</v>
      </c>
      <c r="G1648" t="n">
        <v>0.1293</v>
      </c>
      <c r="H1648" t="inlineStr">
        <is>
          <t>This code defines an annotation called `@Raw` that can be used to indicate that the response body should be treated as is, without conversion, when using Retrofit's `ResponseBody` type. The annotation is defined in the `retrofit2.http` package and is marked as `@Documented`, meaning it will appear in the generated JavaDoc documentation. It is also annot</t>
        </is>
      </c>
      <c r="I1648" t="n">
        <v>0.004</v>
      </c>
      <c r="J1648" t="n">
        <v>0.0615</v>
      </c>
      <c r="K1648" t="n">
        <v>0.1181</v>
      </c>
      <c r="L1648" t="inlineStr">
        <is>
          <t>The code defines an annotation called `Raw` that can be used to indicate that the response body should be treated as is, without conversion, when using Retrofit's HTTP client library.</t>
        </is>
      </c>
      <c r="M1648" t="n">
        <v>0</v>
      </c>
      <c r="N1648" t="n">
        <v>0</v>
      </c>
      <c r="O1648" t="n">
        <v>0.049</v>
      </c>
    </row>
    <row r="1649">
      <c r="A1649" t="inlineStr">
        <is>
          <t>retrofit</t>
        </is>
      </c>
      <c r="B1649" t="inlineStr">
        <is>
          <t>retrofit/src/main/java/retrofit2/http/Url.java</t>
        </is>
      </c>
      <c r="C1649">
        <f>HYPERLINK("https://github.com/square/retrofit/blob/master/retrofit/src/main/java/retrofit2/http/Url.java")</f>
        <v/>
      </c>
      <c r="D1649" t="inlineStr">
        <is>
          <t>The `retrofit2.http.Url` annotation is used to specify the URL that will be used as a parameter for a RESTful API request. It is applied to a method parameter and specifies the URL that should be used instead of the default base URL specified in the `Retrofit` instance.
The `@Documented`, `@Retention(RUNTIME)`,</t>
        </is>
      </c>
      <c r="E1649" t="n">
        <v>0.0037</v>
      </c>
      <c r="F1649" t="n">
        <v>0.0328</v>
      </c>
      <c r="G1649" t="n">
        <v>0.082</v>
      </c>
      <c r="H1649" t="inlineStr">
        <is>
          <t>This code defines a Java annotation called `@Url` that can be used to specify the URL of an HTTP request. It belongs to the `retrofit2.http` package and is part of the `Retrofit` library. The annotation has no parameters and is annotated with several other annotations, including `@Documented`, `@Retention(RUNTIME)`, and `@Target(</t>
        </is>
      </c>
      <c r="I1649" t="n">
        <v>0.0044</v>
      </c>
      <c r="J1649" t="n">
        <v>0.0667</v>
      </c>
      <c r="K1649" t="n">
        <v>0.123</v>
      </c>
      <c r="L1649" t="inlineStr">
        <is>
          <t>The code defines an annotation called `@Url` that can be used to specify the URL of a REST API endpoint when using the `retrofit2` library. It is part of the `retrofit2.http` package and is annotated with various metadata such as authorship, licensing, version number, etc.
The annotation has one parameter, which is a</t>
        </is>
      </c>
      <c r="M1649" t="n">
        <v>0.0035</v>
      </c>
      <c r="N1649" t="n">
        <v>0.0323</v>
      </c>
      <c r="O1649" t="n">
        <v>0.08</v>
      </c>
    </row>
    <row r="1650">
      <c r="A1650" t="inlineStr">
        <is>
          <t>retrofit</t>
        </is>
      </c>
      <c r="B1650" t="inlineStr">
        <is>
          <t>retrofit/src/main/java/retrofit2/http/QueryMap.java</t>
        </is>
      </c>
      <c r="C1650">
        <f>HYPERLINK("https://github.com/square/retrofit/blob/master/retrofit/src/main/java/retrofit2/http/QueryMap.java")</f>
        <v/>
      </c>
      <c r="D1650" t="inlineStr">
        <is>
          <t>The code defines an annotation called `Query` that can be used to specify query parameters for HTTP requests. It is part of the Retrofit library, which provides a simple way to make RESTful API calls from Java applications.
The annotation has two attributes: `value`, which specifies the name of the query parameter, and `encoded`, which indicates whether the value should be URL</t>
        </is>
      </c>
      <c r="E1650" t="n">
        <v>0.0029</v>
      </c>
      <c r="F1650" t="n">
        <v>0.0286</v>
      </c>
      <c r="G1650" t="n">
        <v>0.0746</v>
      </c>
      <c r="H1650" t="inlineStr">
        <is>
          <t>This code defines a Java annotation called `@Query` that can be used to specify query parameters for HTTP requests made using Retrofit. The annotation has several properties, including `value`, which specifies the name of the query parameter, and `encodeValue`, which determines whether the value should be URL-encoded before being sent as part of the request. Additionally, there is a method called</t>
        </is>
      </c>
      <c r="I1650" t="n">
        <v>0.0036</v>
      </c>
      <c r="J1650" t="n">
        <v>0.0571</v>
      </c>
      <c r="K1650" t="n">
        <v>0.1128</v>
      </c>
      <c r="L1650" t="inlineStr">
        <is>
          <t>The code defines an annotation called `@Query` that can be used to specify query parameters for HTTP requests made using Retrofit. It allows users to define the name and value of each query parameter as well as any additional metadata such as whether the parameter should be encoded or not. The annotation is defined as a Java annotation class with several fields, including `value`, which specifies the name of</t>
        </is>
      </c>
      <c r="M1650" t="n">
        <v>0.0026</v>
      </c>
      <c r="N1650" t="n">
        <v>0.026</v>
      </c>
      <c r="O1650" t="n">
        <v>0.0709</v>
      </c>
    </row>
    <row r="1651">
      <c r="A1651" t="inlineStr">
        <is>
          <t>retrofit</t>
        </is>
      </c>
      <c r="B1651" t="inlineStr">
        <is>
          <t>retrofit/src/main/java/retrofit2/http/DELETE.java</t>
        </is>
      </c>
      <c r="C1651">
        <f>HYPERLINK("https://github.com/square/retrofit/blob/master/retrofit/src/main/java/retrofit2/http/DELETE.java")</f>
        <v/>
      </c>
      <c r="D1651" t="inlineStr">
        <is>
          <t>This code defines a Java annotation called `@DELETE` that can be used to mark methods as HTTP DELETE requests. The annotation has no parameters and is annotated with `java.lang.annotation.Documented`, `java.lang.annotation.Target(value=METHOD)`, and `java.lang.annotation.Retention(value=RUNTIME)`. When applied to</t>
        </is>
      </c>
      <c r="E1651" t="n">
        <v>0.0063</v>
      </c>
      <c r="F1651" t="n">
        <v>0.07140000000000001</v>
      </c>
      <c r="G1651" t="n">
        <v>0.1402</v>
      </c>
      <c r="H1651" t="inlineStr">
        <is>
          <t>The provided code defines an annotation called `DELETE` that can be used to mark methods as HTTP DELETE requests. It also includes documentation about the license, authorship, and method signature.</t>
        </is>
      </c>
      <c r="I1651" t="n">
        <v>0.0062</v>
      </c>
      <c r="J1651" t="n">
        <v>0.0526</v>
      </c>
      <c r="K1651" t="n">
        <v>0.098</v>
      </c>
      <c r="L1651" t="inlineStr">
        <is>
          <t>The provided code defines a Java annotation called `DELETE` that makes a HTTP DELETE request. It belongs to the `retrofit2.http` package and is used to mark methods in a Retrofit service interface that make DELETE requests.
The annotation has no parameters and is annotated with `@Documented`, `@Target(METHOD)`, and `@Retention</t>
        </is>
      </c>
      <c r="M1651" t="n">
        <v>0.0037</v>
      </c>
      <c r="N1651" t="n">
        <v>0.0339</v>
      </c>
      <c r="O1651" t="n">
        <v>0.08260000000000001</v>
      </c>
    </row>
    <row r="1652">
      <c r="A1652" t="inlineStr">
        <is>
          <t>retrofit</t>
        </is>
      </c>
      <c r="B1652" t="inlineStr">
        <is>
          <t>retrofit/src/main/java/retrofit2/http/OPTIONS.java</t>
        </is>
      </c>
      <c r="C1652">
        <f>HYPERLINK("https://github.com/square/retrofit/blob/master/retrofit/src/main/java/retrofit2/http/OPTIONS.java")</f>
        <v/>
      </c>
      <c r="D1652" t="inlineStr">
        <is>
          <t>This code defines an annotation called `OPTIONS` that can be used to make an HTTP OPTIONS request using Retrofit. The annotation has no parameters and is applied to methods in the `retrofit2.http` package. When the method annotated with `@OPTIONS` is invoked, it will send an OPTIONS request to the server specified in the URL.</t>
        </is>
      </c>
      <c r="E1652" t="n">
        <v>0.004</v>
      </c>
      <c r="F1652" t="n">
        <v>0.0635</v>
      </c>
      <c r="G1652" t="n">
        <v>0.119</v>
      </c>
      <c r="H1652" t="inlineStr">
        <is>
          <t>This code defines a Java annotation called `OPTIONS` that can be used to make an HTTP OPTIONS request using Retrofit 2. The annotation is annotated with `@Documented`, `@Target(METHOD)`, and `@Retention(RUNTIME)` to indicate its purpose and scope. It has no parameters and returns nothing. When applied to a method, it instruct</t>
        </is>
      </c>
      <c r="I1652" t="n">
        <v>0.0044</v>
      </c>
      <c r="J1652" t="n">
        <v>0.0667</v>
      </c>
      <c r="K1652" t="n">
        <v>0.123</v>
      </c>
      <c r="L1652" t="inlineStr">
        <is>
          <t>The code defines an annotation called `OPTIONS` that can be used to make an HTTP OPTIONS request. It imports necessary classes from OkHttp and specifies that the annotation should only apply to methods. The annotation has no parameters and is marked as runtime-retained. When applied to a method, it generates an HTTP OPTIONS request using the specified URL.</t>
        </is>
      </c>
      <c r="M1652" t="n">
        <v>0.0031</v>
      </c>
      <c r="N1652" t="n">
        <v>0.0299</v>
      </c>
      <c r="O1652" t="n">
        <v>0.0769</v>
      </c>
    </row>
    <row r="1653">
      <c r="A1653" t="inlineStr">
        <is>
          <t>retrofit</t>
        </is>
      </c>
      <c r="B1653" t="inlineStr">
        <is>
          <t>retrofit/src/main/java/retrofit2/http/PUT.java</t>
        </is>
      </c>
      <c r="C1653">
        <f>HYPERLINK("https://github.com/square/retrofit/blob/master/retrofit/src/main/java/retrofit2/http/PUT.java")</f>
        <v/>
      </c>
      <c r="D1653" t="inlineStr">
        <is>
          <t>The `PUT` annotation is used to make a PUT request using Retrofit's HTTP client library. It is applied to methods that should be called via HTTP PUT requests. The annotation takes no parameters and has no return value.
The `PUT` annotation is defined as follows:
```java
@Documented
@Target(METHOD)
@Ret</t>
        </is>
      </c>
      <c r="E1653" t="n">
        <v>0.0037</v>
      </c>
      <c r="F1653" t="n">
        <v>0.0339</v>
      </c>
      <c r="G1653" t="n">
        <v>0.08260000000000001</v>
      </c>
      <c r="H1653" t="inlineStr">
        <is>
          <t>This code defines a Java annotation called `@PUT` that can be used to mark methods as being responsible for making PUT requests using Retrofit 2. The annotation has no parameters and is applied to methods that make HTTP PUT requests. It imports several classes from the `okhttp3` package, which provides a high-level API for building HTTP clients. The annotation also includes documentation</t>
        </is>
      </c>
      <c r="I1653" t="n">
        <v>0.0035</v>
      </c>
      <c r="J1653" t="n">
        <v>0.0563</v>
      </c>
      <c r="K1653" t="n">
        <v>0.1119</v>
      </c>
      <c r="L1653" t="inlineStr">
        <is>
          <t>The provided code defines a Java annotation named `PUT` that makes a PUT request using Retrofit 2 library. The annotation is used to specify the HTTP method and URL for the request. It also allows specifying additional parameters such as headers and query parameters.</t>
        </is>
      </c>
      <c r="M1653" t="n">
        <v>0.0042</v>
      </c>
      <c r="N1653" t="n">
        <v>0.0385</v>
      </c>
      <c r="O1653" t="n">
        <v>0.0862</v>
      </c>
    </row>
    <row r="1654">
      <c r="A1654" t="inlineStr">
        <is>
          <t>retrofit</t>
        </is>
      </c>
      <c r="B1654" t="inlineStr">
        <is>
          <t>retrofit/src/main/java/retrofit2/http/PATCH.java</t>
        </is>
      </c>
      <c r="C1654">
        <f>HYPERLINK("https://github.com/square/retrofit/blob/master/retrofit/src/main/java/retrofit2/http/PATCH.java")</f>
        <v/>
      </c>
      <c r="D1654" t="inlineStr">
        <is>
          <t>The `PATCH` annotation is used to indicate that a method should make a PATCH request using Retrofit. It is a part of the Retrofit library for Android and Java applications.
The annotation has no parameters and can be applied to methods that return void or have a return type of Void. When the method is called, it will send a PATCH request to the</t>
        </is>
      </c>
      <c r="E1654" t="n">
        <v>0.0028</v>
      </c>
      <c r="F1654" t="n">
        <v>0.0278</v>
      </c>
      <c r="G1654" t="n">
        <v>0.0735</v>
      </c>
      <c r="H1654" t="inlineStr">
        <is>
          <t>This code defines a Java annotation called `@PATCH` that can be used to mark methods in a class as being responsible for making a PATCH request using Retrofit. The annotation is defined in the `retrofit2.http` package and has three main parts:
* A documentation comment that explains what the annotation does.
* An element type declaration that specifies that</t>
        </is>
      </c>
      <c r="I1654" t="n">
        <v>0.0037</v>
      </c>
      <c r="J1654" t="n">
        <v>0.0606</v>
      </c>
      <c r="K1654" t="n">
        <v>0.1145</v>
      </c>
      <c r="L1654" t="inlineStr">
        <is>
          <t>The code defines a custom annotation called `@PATCH` that can be used to make HTTP PATCH requests using Retrofit. It specifies that the annotated method should return a `HttpUrl`, which represents the URL of the patch endpoint.</t>
        </is>
      </c>
      <c r="M1654" t="n">
        <v>0</v>
      </c>
      <c r="N1654" t="n">
        <v>0</v>
      </c>
      <c r="O1654" t="n">
        <v>0.0459</v>
      </c>
    </row>
    <row r="1655">
      <c r="A1655" t="inlineStr">
        <is>
          <t>retrofit</t>
        </is>
      </c>
      <c r="B1655" t="inlineStr">
        <is>
          <t>retrofit/src/main/java/retrofit2/http/FieldMap.java</t>
        </is>
      </c>
      <c r="C1655">
        <f>HYPERLINK("https://github.com/square/retrofit/blob/master/retrofit/src/main/java/retrofit2/http/FieldMap.java")</f>
        <v/>
      </c>
      <c r="D1655" t="inlineStr">
        <is>
          <t>The `FormUrlEncoded` annotation is used to indicate that a method parameter should be serialized as a form-urlencoded string in the HTTP body of a POST or PUT request. It can be applied to methods that have a single `@Body` parameter, which must be a `Map`, `List`, or `String`. When the method is invoked, Retrofit will automatically</t>
        </is>
      </c>
      <c r="E1655" t="n">
        <v>0</v>
      </c>
      <c r="F1655" t="n">
        <v>0</v>
      </c>
      <c r="G1655" t="n">
        <v>0.0391</v>
      </c>
      <c r="H1655" t="inlineStr">
        <is>
          <t>This code defines a Java annotation called `@FormUrlEncoded` that can be used to indicate that a method parameter should be serialized as a form URL encoded string. The annotation is defined using the `java.lang.annotation` package and has several attributes, including `name`, which specifies the name of the form field, and `value`, which specifies the value of the form</t>
        </is>
      </c>
      <c r="I1655" t="n">
        <v>0.0037</v>
      </c>
      <c r="J1655" t="n">
        <v>0.0588</v>
      </c>
      <c r="K1655" t="n">
        <v>0.1154</v>
      </c>
      <c r="L1655" t="inlineStr">
        <is>
          <t>The code defines a Java annotation called FormUrlEncoded that can be used to mark methods as accepting form-urlencoded requests. It specifies that the method should accept named key/value pairs for a form-encoded request.</t>
        </is>
      </c>
      <c r="M1655" t="n">
        <v>0</v>
      </c>
      <c r="N1655" t="n">
        <v>0</v>
      </c>
      <c r="O1655" t="n">
        <v>0.0476</v>
      </c>
    </row>
    <row r="1656">
      <c r="A1656" t="inlineStr">
        <is>
          <t>retrofit</t>
        </is>
      </c>
      <c r="B1656" t="inlineStr">
        <is>
          <t>retrofit/src/main/java/retrofit2/http/HEAD.java</t>
        </is>
      </c>
      <c r="C1656">
        <f>HYPERLINK("https://github.com/square/retrofit/blob/master/retrofit/src/main/java/retrofit2/http/HEAD.java")</f>
        <v/>
      </c>
      <c r="D1656" t="inlineStr">
        <is>
          <t>The `HEAD` annotation in Retrofit is used to make a HEAD request. It is a method-level annotation that can be applied to any HTTP method in Retrofit, such as GET, POST, PUT, DELETE, etc. When this annotation is present on a method, it indicates that the method should make a HEAD request instead of the default GET request.</t>
        </is>
      </c>
      <c r="E1656" t="n">
        <v>0</v>
      </c>
      <c r="F1656" t="n">
        <v>0.0299</v>
      </c>
      <c r="G1656" t="n">
        <v>0.0769</v>
      </c>
      <c r="H1656" t="inlineStr">
        <is>
          <t>This code defines an annotation called `HEAD` that can be used to make HTTP HEAD requests using Retrofit. The annotation is defined as follows:
```
@Documented
@Target(METHOD)
@Retention(RUNTIME)
public @interface HEAD {
    // ...
}
```
The annotation has three elements:
*</t>
        </is>
      </c>
      <c r="I1656" t="n">
        <v>0.0044</v>
      </c>
      <c r="J1656" t="n">
        <v>0.0444</v>
      </c>
      <c r="K1656" t="n">
        <v>0.0877</v>
      </c>
      <c r="L1656" t="inlineStr">
        <is>
          <t>The provided code defines a Java annotation called `HEAD` that can be used to make HTTP HEAD requests using Retrofit. It specifies that the annotated method should return a response body containing only headers, without any content.</t>
        </is>
      </c>
      <c r="M1656" t="n">
        <v>0</v>
      </c>
      <c r="N1656" t="n">
        <v>0</v>
      </c>
      <c r="O1656" t="n">
        <v>0.0459</v>
      </c>
    </row>
    <row r="1657">
      <c r="A1657" t="inlineStr">
        <is>
          <t>retrofit</t>
        </is>
      </c>
      <c r="B1657" t="inlineStr">
        <is>
          <t>retrofit/src/main/java/retrofit2/http/HTTP.java</t>
        </is>
      </c>
      <c r="C1657">
        <f>HYPERLINK("https://github.com/square/retrofit/blob/master/retrofit/src/main/java/retrofit2/http/HTTP.java")</f>
        <v/>
      </c>
      <c r="D1657" t="inlineStr">
        <is>
          <t>The `HTTP` annotation in Retrofit 2 allows developers to specify a custom HTTP verb for a request. It takes a single string parameter, `method`, which specifies the custom HTTP method to be used. This can be useful when working with APIs that require non-standard HTTP verbs, such as WebSocket connections or other protocols.</t>
        </is>
      </c>
      <c r="E1657" t="n">
        <v>0.0035</v>
      </c>
      <c r="F1657" t="n">
        <v>0.0323</v>
      </c>
      <c r="G1657" t="n">
        <v>0.08</v>
      </c>
      <c r="H1657" t="inlineStr">
        <is>
          <t>This is a Java annotation that allows developers to specify a custom HTTP method for a RESTful API endpoint using Retrofit 2. The `HTTP` annotation can be applied to methods in interfaces defined as part of a Retrofit service, and it takes one parameter, `method`, which specifies the name of the custom HTTP method to use. For example:
```java
@</t>
        </is>
      </c>
      <c r="I1657" t="n">
        <v>0.0036</v>
      </c>
      <c r="J1657" t="n">
        <v>0.0597</v>
      </c>
      <c r="K1657" t="n">
        <v>0.1136</v>
      </c>
      <c r="L1657" t="inlineStr">
        <is>
          <t>The provided code defines a Java annotation called `HTTP` that allows developers to specify a custom HTTP verb for a RESTful API request. It is part of the Retrofit library's `retrofit2.http` package.
The annotation has three properties:
* `method`: A string representing the custom HTTP method name.
* `value`: An optional string</t>
        </is>
      </c>
      <c r="M1657" t="n">
        <v>0</v>
      </c>
      <c r="N1657" t="n">
        <v>0</v>
      </c>
      <c r="O1657" t="n">
        <v>0.0403</v>
      </c>
    </row>
    <row r="1658">
      <c r="A1658" t="inlineStr">
        <is>
          <t>retrofit</t>
        </is>
      </c>
      <c r="B1658" t="inlineStr">
        <is>
          <t>retrofit/src/main/java/retrofit2/http/POST.java</t>
        </is>
      </c>
      <c r="C1658">
        <f>HYPERLINK("https://github.com/square/retrofit/blob/master/retrofit/src/main/java/retrofit2/http/POST.java")</f>
        <v/>
      </c>
      <c r="D1658" t="inlineStr">
        <is>
          <t>The `POST` annotation is used to indicate that a method should make a HTTP POST request. It is part of the Retrofit library's API for building RESTful web services.
The `POST` annotation has no parameters and can be applied to methods that return void or have a return type of any primitive type or a custom class. When applied to a method, it indicates</t>
        </is>
      </c>
      <c r="E1658" t="n">
        <v>0.0028</v>
      </c>
      <c r="F1658" t="n">
        <v>0.0274</v>
      </c>
      <c r="G1658" t="n">
        <v>0.0735</v>
      </c>
      <c r="H1658" t="inlineStr">
        <is>
          <t>This code defines a Java annotation called `@POST` that can be used to mark methods as HTTP POST requests. The annotation has no parameters and is applied to method declarations. When a class containing such an annotated method is processed by the Retrofit library, it will generate a corresponding HTTP POST endpoint for the method. The generated endpoint will have the same name as the annotated method, but</t>
        </is>
      </c>
      <c r="I1658" t="n">
        <v>0.0032</v>
      </c>
      <c r="J1658" t="n">
        <v>0.0526</v>
      </c>
      <c r="K1658" t="n">
        <v>0.1071</v>
      </c>
      <c r="L1658" t="inlineStr">
        <is>
          <t>The provided code defines a Java annotation called `POST` that makes a HTTP POST request using OkHttp library. It takes no arguments and has no return value. The annotation is used to mark methods in a class as being responsible for making a POST request.</t>
        </is>
      </c>
      <c r="M1658" t="n">
        <v>0.0041</v>
      </c>
      <c r="N1658" t="n">
        <v>0.0377</v>
      </c>
      <c r="O1658" t="n">
        <v>0.08550000000000001</v>
      </c>
    </row>
    <row r="1659">
      <c r="A1659" t="inlineStr">
        <is>
          <t>retrofit</t>
        </is>
      </c>
      <c r="B1659" t="inlineStr">
        <is>
          <t>retrofit/src/main/java/retrofit2/http/Multipart.java</t>
        </is>
      </c>
      <c r="C1659">
        <f>HYPERLINK("https://github.com/square/retrofit/blob/master/retrofit/src/main/java/retrofit2/http/Multipart.java")</f>
        <v/>
      </c>
      <c r="D1659" t="inlineStr">
        <is>
          <t>The provided Java code defines an annotation called `@Multipart` that can be used to indicate that a method's request body is composed of multiple parts. Each part is represented by a parameter annotated with the `@Part` annotation. This annotation is intended to be used in conjunction with Retrofit, a popular HTTP client library for Android and Java applications.</t>
        </is>
      </c>
      <c r="E1659" t="n">
        <v>0.0037</v>
      </c>
      <c r="F1659" t="n">
        <v>0.0597</v>
      </c>
      <c r="G1659" t="n">
        <v>0.1154</v>
      </c>
      <c r="H1659" t="inlineStr">
        <is>
          <t>This code defines a Java annotation called `@Multipart` that can be used to indicate that a method's request body is composed of multiple parts. The annotation is part of the `retrofit2.http` package and is intended to be used in conjunction with the Retrofit library. It is annotated with various metadata such as its documentation, license, and target platform.</t>
        </is>
      </c>
      <c r="I1659" t="n">
        <v>0.0037</v>
      </c>
      <c r="J1659" t="n">
        <v>0.0588</v>
      </c>
      <c r="K1659" t="n">
        <v>0.1154</v>
      </c>
      <c r="L1659" t="inlineStr">
        <is>
          <t>The provided code defines a Java annotation called `@Multipart` that is used to mark methods that have a multipart request body. It is part of the `retrofit2.http` package and is intended to be used with Retrofit, a popular HTTP client library for Android and Java applications.
The annotation has no fields and is marked with the `@Documented`, `@</t>
        </is>
      </c>
      <c r="M1659" t="n">
        <v>0.0031</v>
      </c>
      <c r="N1659" t="n">
        <v>0.0303</v>
      </c>
      <c r="O1659" t="n">
        <v>0.0769</v>
      </c>
    </row>
    <row r="1660">
      <c r="A1660" t="inlineStr">
        <is>
          <t>retrofit</t>
        </is>
      </c>
      <c r="B1660" t="inlineStr">
        <is>
          <t>retrofit/src/main/java/retrofit2/internal/EverythingIsNonNull.java</t>
        </is>
      </c>
      <c r="C1660">
        <f>HYPERLINK("https://github.com/square/retrofit/blob/master/retrofit/src/main/java/retrofit2/internal/EverythingIsNonNull.java")</f>
        <v/>
      </c>
      <c r="D1660" t="inlineStr">
        <is>
          <t>This Java annotation class `ParametersAreNonnullByDefault` extends the `javax.annotation.ParametersAreNonnullByDefault` annotation to apply nonnullness annotations to method parameters, return values, and fields. It is used to indicate that all parameters passed into methods must be non-null, and that the return value of a method must also be non-null. The annotation</t>
        </is>
      </c>
      <c r="E1660" t="n">
        <v>0.0045</v>
      </c>
      <c r="F1660" t="n">
        <v>0.0667</v>
      </c>
      <c r="G1660" t="n">
        <v>0.125</v>
      </c>
      <c r="H1660" t="inlineStr">
        <is>
          <t>This code defines a custom annotation called `ParametersAreNonnullByDefault` that extends the standard Java annotation `@ParametersAreNonnullByDefault`. It is used to indicate that all parameters passed into methods should be non-null by default. Additionally, it applies to method results and fields as well. The annotation is defined using the `@Target` meta-annotation to specify that it can</t>
        </is>
      </c>
      <c r="I1660" t="n">
        <v>0.004</v>
      </c>
      <c r="J1660" t="n">
        <v>0.0625</v>
      </c>
      <c r="K1660" t="n">
        <v>0.119</v>
      </c>
      <c r="L1660" t="inlineStr">
        <is>
          <t>The code defines an annotation called `ParametersAreNonnullByDefault` that extends the default nullability annotations of Java. It applies to method parameters, return types, and field types.</t>
        </is>
      </c>
      <c r="M1660" t="n">
        <v>0.0076</v>
      </c>
      <c r="N1660" t="n">
        <v>0.0606</v>
      </c>
      <c r="O1660" t="n">
        <v>0.0515</v>
      </c>
    </row>
    <row r="1661">
      <c r="A1661" t="inlineStr">
        <is>
          <t>retrofit</t>
        </is>
      </c>
      <c r="B1661" t="inlineStr">
        <is>
          <t>website/public/2.x/converter-guava/script.js</t>
        </is>
      </c>
      <c r="C1661">
        <f>HYPERLINK("https://github.com/square/retrofit/blob/master/website/public/2.x/converter-guava/script.js")</f>
        <v/>
      </c>
      <c r="D1661" t="inlineStr">
        <is>
          <t>The provided code is a JavaScript function called "show" that takes a single argument "type". It iterates over an object called "methods" and checks if each method has the specified "type" as one of its properties. If it does, it sets the display style of the corresponding element to "" and adds a class name based on the index of the iteration. Otherwise, it sets the</t>
        </is>
      </c>
      <c r="E1661" t="n">
        <v>0.0028</v>
      </c>
      <c r="F1661" t="n">
        <v>0.0548</v>
      </c>
      <c r="G1661" t="n">
        <v>0.0725</v>
      </c>
      <c r="H1661" t="inlineStr">
        <is>
          <t>This is a JavaScript file containing functions to display data based on user input. The `show` function takes a parameter called "type", which is used to filter the data displayed. It then loops through each row in the table using the `for...in` loop and checks whether the method associated with that row matches the given type. If it does, it displays the row by setting its style</t>
        </is>
      </c>
      <c r="I1661" t="n">
        <v>0.0032</v>
      </c>
      <c r="J1661" t="n">
        <v>0.0789</v>
      </c>
      <c r="K1661" t="n">
        <v>0.1079</v>
      </c>
      <c r="L1661" t="inlineStr">
        <is>
          <t>The provided code is a JavaScript function that takes a single argument "type". It iterates over an object called "methods", counts the number of elements that meet certain criteria, and updates the display style and class name of each element based on the count. Additionally, it calls another function named "updateTabs" which updates the appearance of a set of tab buttons based on the current state.</t>
        </is>
      </c>
      <c r="M1661" t="n">
        <v>0.0028</v>
      </c>
      <c r="N1661" t="n">
        <v>0.0541</v>
      </c>
      <c r="O1661" t="n">
        <v>0.0725</v>
      </c>
    </row>
    <row r="1662">
      <c r="A1662" t="inlineStr">
        <is>
          <t>retrofit</t>
        </is>
      </c>
      <c r="B1662" t="inlineStr">
        <is>
          <t>website/public/2.x/adapter-rxjava/script.js</t>
        </is>
      </c>
      <c r="C1662">
        <f>HYPERLINK("https://github.com/square/retrofit/blob/master/website/public/2.x/adapter-rxjava/script.js")</f>
        <v/>
      </c>
      <c r="D1662" t="inlineStr">
        <is>
          <t>The provided code is a JavaScript function called `show()` that takes a single argument `type`. It iterates over an object called `methods` using the `for...in` loop to find all keys with a specific bit set in their values. If the bit is set, it sets the display style of a DOM element with the corresponding ID to empty string and assigns alternating colors to</t>
        </is>
      </c>
      <c r="E1662" t="n">
        <v>0.0028</v>
      </c>
      <c r="F1662" t="n">
        <v>0.0548</v>
      </c>
      <c r="G1662" t="n">
        <v>0.0735</v>
      </c>
      <c r="H1662" t="inlineStr">
        <is>
          <t>This is a JavaScript code snippet that defines two functions: `show()` and `updateTabs()`. The `show()` function takes one argument, which is a string representing the type of data to display. It then iterates over an object called `methods` and displays rows corresponding to keys with matching values. If the current method does not match the specified type, it hides the row.</t>
        </is>
      </c>
      <c r="I1662" t="n">
        <v>0.0036</v>
      </c>
      <c r="J1662" t="n">
        <v>0.08699999999999999</v>
      </c>
      <c r="K1662" t="n">
        <v>0.1128</v>
      </c>
      <c r="L1662" t="inlineStr">
        <is>
          <t>The code is a JavaScript function that displays certain elements based on their types. It takes a single argument "type", which represents the type of elements to be displayed. The function iterates through all elements with IDs stored in an object called "methods". For each element, it checks whether the current type matches the bitwise AND operation between the method's type and the input type. If they</t>
        </is>
      </c>
      <c r="M1662" t="n">
        <v>0.0027</v>
      </c>
      <c r="N1662" t="n">
        <v>0.0526</v>
      </c>
      <c r="O1662" t="n">
        <v>0.07190000000000001</v>
      </c>
    </row>
    <row r="1663">
      <c r="A1663" t="inlineStr">
        <is>
          <t>retrofit</t>
        </is>
      </c>
      <c r="B1663" t="inlineStr">
        <is>
          <t>website/public/2.x/converter-kotlinx-serialization/ui-kit/ui-kit.min.js</t>
        </is>
      </c>
      <c r="C1663">
        <f>HYPERLINK("https://github.com/square/retrofit/blob/master/website/public/2.x/converter-kotlinx-serialization/ui-kit/ui-kit.min.js")</f>
        <v/>
      </c>
      <c r="D1663" t="inlineStr">
        <is>
          <t>The provided code defines a function `t` that takes two arguments: `e` and `n`. It appears to be defining a new class called `Trap`, which has a method called `handleKeyDown` that is bound to the object instance when it is created. The `handleKeyDown` method listens for keyboard events on the element passed in as the first argument (`e</t>
        </is>
      </c>
      <c r="E1663" t="n">
        <v>0.0031</v>
      </c>
      <c r="F1663" t="n">
        <v>0.0606</v>
      </c>
      <c r="G1663" t="n">
        <v>0.0769</v>
      </c>
      <c r="H1663" t="inlineStr">
        <is>
          <t>This is a JavaScript file that defines a function called `add` which takes in two arguments `a` and `b`, performs some calculations on them, and returns their sum. The function also includes a comment explaining what it does.</t>
        </is>
      </c>
      <c r="I1663" t="n">
        <v>0.0058</v>
      </c>
      <c r="J1663" t="n">
        <v>0.1304</v>
      </c>
      <c r="K1663" t="n">
        <v>0.1364</v>
      </c>
      <c r="L1663" t="inlineStr">
        <is>
          <t>The code is a JavaScript function that listens for keyboard events on elements with the class `button`. When the Enter or Space keys are pressed, it simulates a mouse click event on the button element. Additionally, the code also handles the Tab key to move focus between options within a dropdown menu. It uses the `querySelectorAll` method to select all elements with the role option and filters</t>
        </is>
      </c>
      <c r="M1663" t="n">
        <v>0.0027</v>
      </c>
      <c r="N1663" t="n">
        <v>0.0533</v>
      </c>
      <c r="O1663" t="n">
        <v>0.07190000000000001</v>
      </c>
    </row>
    <row r="1664">
      <c r="A1664" t="inlineStr">
        <is>
          <t>retrofit</t>
        </is>
      </c>
      <c r="B1664" t="inlineStr">
        <is>
          <t>website/public/2.x/converter-kotlinx-serialization/scripts/symbol-parameters-wrapper_deferred.js</t>
        </is>
      </c>
      <c r="C1664">
        <f>HYPERLINK("https://github.com/square/retrofit/blob/master/website/public/2.x/converter-kotlinx-serialization/scripts/symbol-parameters-wrapper_deferred.js")</f>
        <v/>
      </c>
      <c r="D1664" t="inlineStr">
        <is>
          <t>This code appears to be related to wrapping symbols in a web page based on their width. It uses the `ResizeObserver` API to observe changes to the size of a symbol element, and then wraps the text inside the symbol using a `&lt;wbr&gt;` tag when the symbol becomes too wide. The code also includes a workaround for certain corner cases where the `&lt;wbr&gt;` tag may</t>
        </is>
      </c>
      <c r="E1664" t="n">
        <v>0.0033</v>
      </c>
      <c r="F1664" t="n">
        <v>0.0548</v>
      </c>
      <c r="G1664" t="n">
        <v>0.1095</v>
      </c>
      <c r="H1664" t="inlineStr">
        <is>
          <t>This code appears to be JavaScript that defines a function called "wrapSymbolParameters" which takes in a single argument "entry". The function then creates a new element called "indent", appends text content "\u00A0\u00A0\u00A0\u00A0" (which represents four non-breaking spaces), adds a class name</t>
        </is>
      </c>
      <c r="I1664" t="n">
        <v>0.0045</v>
      </c>
      <c r="J1664" t="n">
        <v>0.0755</v>
      </c>
      <c r="K1664" t="n">
        <v>0.0885</v>
      </c>
      <c r="L1664" t="inlineStr">
        <is>
          <t>The provided code appears to be related to wrapping text in a web page using non-breaking spaces (&amp;nbsp;). It defines a function called "wrapSymbolParameters" which takes an element as input and wraps its contents in a span tag with a class name of "nbsp-indent". Additionally, there is a comment block at the top of the file containing copyright information and a</t>
        </is>
      </c>
      <c r="M1664" t="n">
        <v>0.003</v>
      </c>
      <c r="N1664" t="n">
        <v>0.0563</v>
      </c>
      <c r="O1664" t="n">
        <v>0.0752</v>
      </c>
    </row>
    <row r="1665">
      <c r="A1665" t="inlineStr">
        <is>
          <t>retrofit</t>
        </is>
      </c>
      <c r="B1665" t="inlineStr">
        <is>
          <t>website/public/2.x/converter-kotlinx-serialization/scripts/navigation-loader.js</t>
        </is>
      </c>
      <c r="C1665">
        <f>HYPERLINK("https://github.com/square/retrofit/blob/master/website/public/2.x/converter-kotlinx-serialization/scripts/navigation-loader.js")</f>
        <v/>
      </c>
      <c r="D1665" t="inlineStr">
        <is>
          <t>The provided code appears to be JavaScript code that retrieves the contents of a file named "navigation.html" from a specified location on the server, and then displays it in a HTML element with the ID "sideMenu". Additionally, it modifies some of the links within the retrieved content to point to the correct location on the server. Finally, it reveals the appropriate navigation menu for the</t>
        </is>
      </c>
      <c r="E1665" t="n">
        <v>0.0028</v>
      </c>
      <c r="F1665" t="n">
        <v>0.027</v>
      </c>
      <c r="G1665" t="n">
        <v>0.0365</v>
      </c>
      <c r="H1665" t="inlineStr">
        <is>
          <t>This code appears to be a JavaScript file that defines a function called `navigationPageText` which retrieves the text content of a HTML page located at a URL constructed from a root directory and a relative path. The function then sets the innerHTML property of an element with the ID "sideMenu" to the retrieved text. Additionally, it adds an event listener to all anchors in the footer</t>
        </is>
      </c>
      <c r="I1665" t="n">
        <v>0.0033</v>
      </c>
      <c r="J1665" t="n">
        <v>0.08110000000000001</v>
      </c>
      <c r="K1665" t="n">
        <v>0.1087</v>
      </c>
      <c r="L1665" t="inlineStr">
        <is>
          <t>The provided code appears to be JavaScript code that retrieves HTML content from a file named "navigation.html" located at the root directory of the project. It then appends the retrieved HTML content to an element with the ID "sideMenu". Additionally, it modifies some of the links within the navigation menu to point to the correct location within the website. Finally, it reveals the navigation</t>
        </is>
      </c>
      <c r="M1665" t="n">
        <v>0</v>
      </c>
      <c r="N1665" t="n">
        <v>0</v>
      </c>
      <c r="O1665" t="n">
        <v>0</v>
      </c>
    </row>
    <row r="1666">
      <c r="A1666" t="inlineStr">
        <is>
          <t>retrofit</t>
        </is>
      </c>
      <c r="B1666" t="inlineStr">
        <is>
          <t>website/public/2.x/converter-kotlinx-serialization/scripts/prism.js</t>
        </is>
      </c>
      <c r="C1666">
        <f>HYPERLINK("https://github.com/square/retrofit/blob/master/website/public/2.x/converter-kotlinx-serialization/scripts/prism.js")</f>
        <v/>
      </c>
      <c r="D1666" t="inlineStr">
        <is>
          <t>This is a JavaScript file that defines a function called `Prism` which takes an object as its argument. The function initializes some variables and then loops through each key-value pair in the object using the `for...in` loop. It then checks if the value is an array or an object, and if so, it recursively calls itself with the value as the new argument.</t>
        </is>
      </c>
      <c r="E1666" t="n">
        <v>0.0034</v>
      </c>
      <c r="F1666" t="n">
        <v>0.0822</v>
      </c>
      <c r="G1666" t="n">
        <v>0.1111</v>
      </c>
      <c r="H1666" t="inlineStr">
        <is>
          <t>This is a JavaScript file that defines a variable `Prism` as an object containing various functions for working with strings. The `Prism` object has several properties and methods, including:
* `manual`: a boolean indicating whether manual initialization should be performed (default value is false)
* `disableWorkerMessageHandler`: a boolean indicating whether to disable the worker message handler (default</t>
        </is>
      </c>
      <c r="I1666" t="n">
        <v>0.0038</v>
      </c>
      <c r="J1666" t="n">
        <v>0.09520000000000001</v>
      </c>
      <c r="K1666" t="n">
        <v>0.1163</v>
      </c>
      <c r="L1666" t="inlineStr">
        <is>
          <t>The code defines a variable `_self` as either `window` or `self`, depending on whether the script is running in a browser or a worker environment. It then initializes a variable `Prism` that holds various functions for working with syntax highlighting.</t>
        </is>
      </c>
      <c r="M1666" t="n">
        <v>0</v>
      </c>
      <c r="N1666" t="n">
        <v>0.0417</v>
      </c>
      <c r="O1666" t="n">
        <v>0.0446</v>
      </c>
    </row>
    <row r="1667">
      <c r="A1667" t="inlineStr">
        <is>
          <t>retrofit</t>
        </is>
      </c>
      <c r="B1667" t="inlineStr">
        <is>
          <t>website/public/2.x/converter-kotlinx-serialization/scripts/main.js</t>
        </is>
      </c>
      <c r="C1667">
        <f>HYPERLINK("https://github.com/square/retrofit/blob/master/website/public/2.x/converter-kotlinx-serialization/scripts/main.js")</f>
        <v/>
      </c>
      <c r="D1667" t="inlineStr">
        <is>
          <t>This code appears to be a JavaScript module that exports three functions for generating SVG icons. The first function takes no arguments and returns an SVG path string representing a triangle shape with a pointy top. The second function also takes no arguments and returns an SVG path string representing a hexagon shape. The third function takes an argument `size` which is used to determine the size of the</t>
        </is>
      </c>
      <c r="E1667" t="n">
        <v>0.0035</v>
      </c>
      <c r="F1667" t="n">
        <v>0.1039</v>
      </c>
      <c r="G1667" t="n">
        <v>0.1418</v>
      </c>
      <c r="H1667" t="inlineStr">
        <is>
          <t>This is a JavaScript function that takes in two arguments `a` and `b`, performs some calculations on them, and returns their sum as a result. The function does not have any side effects or dependencies on external variables. It is designed to be used for basic arithmetic operations.</t>
        </is>
      </c>
      <c r="I1667" t="n">
        <v>0.0045</v>
      </c>
      <c r="J1667" t="n">
        <v>0.1071</v>
      </c>
      <c r="K1667" t="n">
        <v>0.1667</v>
      </c>
      <c r="L1667" t="inlineStr">
        <is>
          <t>The provided code defines three SVG icons for use in a web application. Each icon is defined as a React component that exports an SVG element with specific attributes and styles. The icons are used to represent different types of data in the application's UI.</t>
        </is>
      </c>
      <c r="M1667" t="n">
        <v>0.0041</v>
      </c>
      <c r="N1667" t="n">
        <v>0.037</v>
      </c>
      <c r="O1667" t="n">
        <v>0.08550000000000001</v>
      </c>
    </row>
    <row r="1668">
      <c r="A1668" t="inlineStr">
        <is>
          <t>retrofit</t>
        </is>
      </c>
      <c r="B1668" t="inlineStr">
        <is>
          <t>website/public/2.x/converter-kotlinx-serialization/scripts/clipboard.js</t>
        </is>
      </c>
      <c r="C1668">
        <f>HYPERLINK("https://github.com/square/retrofit/blob/master/website/public/2.x/converter-kotlinx-serialization/scripts/clipboard.js")</f>
        <v/>
      </c>
      <c r="D1668" t="inlineStr">
        <is>
          <t>This JavaScript code adds event listeners to two types of elements on a web page - "copy-icon" and "anchor-icon". When either of these icons is clicked, it triggers a function that copies the content of the parent node or anchor tag, depending on which icon was clicked, into the user's clipboard. The copied text is then displayed in a popup message.</t>
        </is>
      </c>
      <c r="E1668" t="n">
        <v>0.0036</v>
      </c>
      <c r="F1668" t="n">
        <v>0.0563</v>
      </c>
      <c r="G1668" t="n">
        <v>0.1128</v>
      </c>
      <c r="H1668" t="inlineStr">
        <is>
          <t>This code appears to be JavaScript that adds event listeners to elements with class names "copy-icon" and "anchor-icon". When these icons are clicked, they will trigger actions based on their respective attributes. The code also defines a function called `copyElementsContentToClipboard` which copies the text content of the parent node of the clicked icon to the clipboard. Additionally,</t>
        </is>
      </c>
      <c r="I1668" t="n">
        <v>0.0038</v>
      </c>
      <c r="J1668" t="n">
        <v>0.0597</v>
      </c>
      <c r="K1668" t="n">
        <v>0.1163</v>
      </c>
      <c r="L1668" t="inlineStr">
        <is>
          <t>The provided code defines a JavaScript function that listens for clicks on elements with class names "copy-icon" and "anchor-icon". When one of these elements is clicked, the following actions occur:
* If the element has the "copy-icon" class name, the content of its parent node's parent node is copied to the clipboard using the `copyElementsContent</t>
        </is>
      </c>
      <c r="M1668" t="n">
        <v>0.0033</v>
      </c>
      <c r="N1668" t="n">
        <v>0.0606</v>
      </c>
      <c r="O1668" t="n">
        <v>0.07870000000000001</v>
      </c>
    </row>
    <row r="1669">
      <c r="A1669" t="inlineStr">
        <is>
          <t>retrofit</t>
        </is>
      </c>
      <c r="B1669" t="inlineStr">
        <is>
          <t>website/public/2.x/converter-kotlinx-serialization/scripts/platform-content-handler.js</t>
        </is>
      </c>
      <c r="C1669">
        <f>HYPERLINK("https://github.com/square/retrofit/blob/master/website/public/2.x/converter-kotlinx-serialization/scripts/platform-content-handler.js")</f>
        <v/>
      </c>
      <c r="D1669" t="inlineStr">
        <is>
          <t>The provided code defines a function `safeLocalStorage` that wraps around the built-in `localStorage` object in JavaScript. It checks whether the browser supports local storage using a simple key-value pair test, and returns a new object with two methods: `getItem` and `setItem`. If local storage is not supported, these methods will always return `null` or do</t>
        </is>
      </c>
      <c r="E1669" t="n">
        <v>0.0033</v>
      </c>
      <c r="F1669" t="n">
        <v>0.0615</v>
      </c>
      <c r="G1669" t="n">
        <v>0.07870000000000001</v>
      </c>
      <c r="H1669" t="inlineStr">
        <is>
          <t>The provided code defines a function `safeLocalStorage` that wraps around the `localStorage` API to provide a safer interface for accessing local storage data. It checks whether local storage is available before attempting to access it, and returns `null` or does nothing if local storage is not available. If local storage is available, it provides a `getItem` method that retrieves the</t>
        </is>
      </c>
      <c r="I1669" t="n">
        <v>0.003</v>
      </c>
      <c r="J1669" t="n">
        <v>0.0588</v>
      </c>
      <c r="K1669" t="n">
        <v>0.07580000000000001</v>
      </c>
      <c r="L1669" t="inlineStr">
        <is>
          <t>The code defines a `safeLocalStorage` object that provides a wrapper around the browser's `localStorage` API. It checks whether local storage is available before accessing it, and returns `null` instead of throwing an error when it's not. The `getItem()` method retrieves an item from local storage, while the `setItem()` method sets an item in local storage</t>
        </is>
      </c>
      <c r="M1669" t="n">
        <v>0.0033</v>
      </c>
      <c r="N1669" t="n">
        <v>0.0308</v>
      </c>
      <c r="O1669" t="n">
        <v>0.0394</v>
      </c>
    </row>
    <row r="1670">
      <c r="A1670" t="inlineStr">
        <is>
          <t>retrofit</t>
        </is>
      </c>
      <c r="B1670" t="inlineStr">
        <is>
          <t>website/public/2.x/converter-kotlinx-serialization/scripts/sourceset_dependencies.js</t>
        </is>
      </c>
      <c r="C1670">
        <f>HYPERLINK("https://github.com/square/retrofit/blob/master/website/public/2.x/converter-kotlinx-serialization/scripts/sourceset_dependencies.js")</f>
        <v/>
      </c>
      <c r="D1670" t="inlineStr">
        <is>
          <t>The code defines a variable `sourceset_dependencies` with a value of `'{":retrofit-converters:kotlinx-serialization:dokkaHtml/main":[]}'`. It is part of a larger project that involves implementing backend software components. The complexity of the code is O(N), indicating that it has a linear relationship with the size of the</t>
        </is>
      </c>
      <c r="E1670" t="n">
        <v>0.0043</v>
      </c>
      <c r="F1670" t="n">
        <v>0.0345</v>
      </c>
      <c r="G1670" t="n">
        <v>0.1304</v>
      </c>
      <c r="H1670" t="inlineStr">
        <is>
          <t>This code defines a variable named `sourceset_dependencies` with a value that is a dictionary containing other dependencies. The key for each dependency is a string in the format ":retrofit-converters:kotlinx-serialization:dokkaHtml/main", and the corresponding value is an empty list.</t>
        </is>
      </c>
      <c r="I1670" t="n">
        <v>0.006</v>
      </c>
      <c r="J1670" t="n">
        <v>0.0784</v>
      </c>
      <c r="K1670" t="n">
        <v>0.0917</v>
      </c>
      <c r="L1670" t="inlineStr">
        <is>
          <t>The code defines dependencies for a Gradle build script using Kotlin's `setOf` function. It specifies that the project depends on the "retrofit-converters" library, which is built from the "kotlinx-serialization" module, and that the "dokkaHtml/main" module should be used as the dependency.</t>
        </is>
      </c>
      <c r="M1670" t="n">
        <v>0.0054</v>
      </c>
      <c r="N1670" t="n">
        <v>0.0755</v>
      </c>
      <c r="O1670" t="n">
        <v>0.1327</v>
      </c>
    </row>
    <row r="1671">
      <c r="A1671" t="inlineStr">
        <is>
          <t>retrofit</t>
        </is>
      </c>
      <c r="B1671" t="inlineStr">
        <is>
          <t>website/public/2.x/converter-gson/script.js</t>
        </is>
      </c>
      <c r="C1671">
        <f>HYPERLINK("https://github.com/square/retrofit/blob/master/website/public/2.x/converter-gson/script.js")</f>
        <v/>
      </c>
      <c r="D1671" t="inlineStr">
        <is>
          <t>This is a JavaScript function that takes a single argument `type` and performs several operations on it. The function first sets the variable `count` to 0, then iterates over all elements in the object `methods`. For each element, it checks whether the current method matches the given `type`, and if so, displays the corresponding row by setting its style display property to empty string.</t>
        </is>
      </c>
      <c r="E1671" t="n">
        <v>0.0034</v>
      </c>
      <c r="F1671" t="n">
        <v>0.0833</v>
      </c>
      <c r="G1671" t="n">
        <v>0.1103</v>
      </c>
      <c r="H1671" t="inlineStr">
        <is>
          <t>This is JavaScript code that defines two functions: `show()` and `updateTabs()`. The `show()` function takes a single argument, `type`, which represents a specific type of data or algorithm to display. It then iterates over all rows in the page using a `for...in` loop, and checks whether each row's ID matches one of the IDs stored in the `</t>
        </is>
      </c>
      <c r="I1671" t="n">
        <v>0.0037</v>
      </c>
      <c r="J1671" t="n">
        <v>0.0896</v>
      </c>
      <c r="K1671" t="n">
        <v>0.1154</v>
      </c>
      <c r="L1671" t="inlineStr">
        <is>
          <t>The provided code is a JavaScript function that shows or hides rows based on a given type. It takes a single argument "type", which can be any number between 0 and 6. The function iterates over all elements with an ID starting with "method" and checks whether their corresponding bitmask matches the given type. If so, it displays the element and sets its classname altern</t>
        </is>
      </c>
      <c r="M1671" t="n">
        <v>0.0028</v>
      </c>
      <c r="N1671" t="n">
        <v>0.0548</v>
      </c>
      <c r="O1671" t="n">
        <v>0.073</v>
      </c>
    </row>
    <row r="1672">
      <c r="A1672" t="inlineStr">
        <is>
          <t>retrofit</t>
        </is>
      </c>
      <c r="B1672" t="inlineStr">
        <is>
          <t>website/public/2.x/retrofit/script.js</t>
        </is>
      </c>
      <c r="C1672">
        <f>HYPERLINK("https://github.com/square/retrofit/blob/master/website/public/2.x/retrofit/script.js")</f>
        <v/>
      </c>
      <c r="D1672" t="inlineStr">
        <is>
          <t>This is a JavaScript function that takes in a parameter `type` and performs some operations on it. The function first sets a variable `count` to zero, then iterates over an object called `methods` using a `for...in` loop. For each iteration, it checks whether the current method has the given `type` by performing a bitwise AND operation between the two values.</t>
        </is>
      </c>
      <c r="E1672" t="n">
        <v>0.0036</v>
      </c>
      <c r="F1672" t="n">
        <v>0.08699999999999999</v>
      </c>
      <c r="G1672" t="n">
        <v>0.1136</v>
      </c>
      <c r="H1672" t="inlineStr">
        <is>
          <t>This is a JavaScript function named "show" that takes a single argument called "type". The function first sets a variable called "count" to zero. It then loops through all elements with an ID attribute using the "for...in" loop, and checks whether each element's ID matches the given "type" parameter. If it does match, the function displays the element by setting its</t>
        </is>
      </c>
      <c r="I1672" t="n">
        <v>0.0036</v>
      </c>
      <c r="J1672" t="n">
        <v>0.08450000000000001</v>
      </c>
      <c r="K1672" t="n">
        <v>0.1128</v>
      </c>
      <c r="L1672" t="inlineStr">
        <is>
          <t>The code is a JavaScript function that takes in a parameter "type" and performs some operation on it. It also calls another function called "updateTabs" which updates the display of certain elements based on the input "type".</t>
        </is>
      </c>
      <c r="M1672" t="n">
        <v>0.005</v>
      </c>
      <c r="N1672" t="n">
        <v>0.08890000000000001</v>
      </c>
      <c r="O1672" t="n">
        <v>0.0917</v>
      </c>
    </row>
    <row r="1673">
      <c r="A1673" t="inlineStr">
        <is>
          <t>retrofit</t>
        </is>
      </c>
      <c r="B1673" t="inlineStr">
        <is>
          <t>website/public/2.x/converter-wire/script.js</t>
        </is>
      </c>
      <c r="C1673">
        <f>HYPERLINK("https://github.com/square/retrofit/blob/master/website/public/2.x/converter-wire/script.js")</f>
        <v/>
      </c>
      <c r="D1673" t="inlineStr">
        <is>
          <t>The code is a JavaScript function called `show` that takes a single argument `type`. It iterates over an object called `methods`, which has keys as IDs and values as bitmasks, and sets the display style of each element with ID equal to the key to either empty or none based on whether the corresponding method's bitmask includes the given `type`. Additionally, it updates</t>
        </is>
      </c>
      <c r="E1673" t="n">
        <v>0.0029</v>
      </c>
      <c r="F1673" t="n">
        <v>0.0556</v>
      </c>
      <c r="G1673" t="n">
        <v>0.0741</v>
      </c>
      <c r="H1673" t="inlineStr">
        <is>
          <t>The provided code is a JavaScript function called "show" that takes a single argument "type". It iterates over an object called "methods" and sets the display style of each element to either "" or "none", depending on whether its corresponding method matches the given type. It also updates the tabs by setting their class names and inner HTML based on the current tab being selected.</t>
        </is>
      </c>
      <c r="I1673" t="n">
        <v>0.0028</v>
      </c>
      <c r="J1673" t="n">
        <v>0.0556</v>
      </c>
      <c r="K1673" t="n">
        <v>0.073</v>
      </c>
      <c r="L1673" t="inlineStr">
        <is>
          <t>The provided code is a JavaScript function that displays rows based on user input. It takes a single argument "type" which determines the display status of each row. The function iterates through all rows using a for loop and checks whether the current row's method matches the given type. If so, it sets the row's style to visible and alternating colors, otherwise, it h</t>
        </is>
      </c>
      <c r="M1673" t="n">
        <v>0.0028</v>
      </c>
      <c r="N1673" t="n">
        <v>0.0541</v>
      </c>
      <c r="O1673" t="n">
        <v>0.0735</v>
      </c>
    </row>
    <row r="1674">
      <c r="A1674" t="inlineStr">
        <is>
          <t>retrofit</t>
        </is>
      </c>
      <c r="B1674" t="inlineStr">
        <is>
          <t>website/public/2.x/adapter-rxjava3/script.js</t>
        </is>
      </c>
      <c r="C1674">
        <f>HYPERLINK("https://github.com/square/retrofit/blob/master/website/public/2.x/adapter-rxjava3/script.js")</f>
        <v/>
      </c>
      <c r="D1674" t="inlineStr">
        <is>
          <t>The provided code is a JavaScript function called `show()` that takes a single argument `type`. It iterates over an object called `methods` and sets the display style of each element with an ID matching the keys in the object to either '' or 'none', depending on whether the corresponding method bitwise AND operation returns non-zero. Additionally, it calls another function called `updateTabs</t>
        </is>
      </c>
      <c r="E1674" t="n">
        <v>0.0029</v>
      </c>
      <c r="F1674" t="n">
        <v>0.0571</v>
      </c>
      <c r="G1674" t="n">
        <v>0.0746</v>
      </c>
      <c r="H1674" t="inlineStr">
        <is>
          <t>This is a JavaScript file that defines two functions: `show()` and `updateTabs()`. The `show()` function takes one argument, `type`, which is used to determine which rows should be displayed based on their corresponding bitmask values in an object called `methods`. If the bitwise AND operation between the method's bitmask and the passed-in `type` argument evaluates</t>
        </is>
      </c>
      <c r="I1674" t="n">
        <v>0.004</v>
      </c>
      <c r="J1674" t="n">
        <v>0.09229999999999999</v>
      </c>
      <c r="K1674" t="n">
        <v>0.1181</v>
      </c>
      <c r="L1674" t="inlineStr">
        <is>
          <t>The provided code is a JavaScript function that displays rows based on their types. It takes a single argument "type" which represents the type of rows to be displayed. The function iterates over all rows in the page and checks whether they match the given type using bitwise AND operator. If the row matches the type, it sets its display style to "" and adds a class name to alternate the</t>
        </is>
      </c>
      <c r="M1674" t="n">
        <v>0.0026</v>
      </c>
      <c r="N1674" t="n">
        <v>0.0513</v>
      </c>
      <c r="O1674" t="n">
        <v>0.0699</v>
      </c>
    </row>
    <row r="1675">
      <c r="A1675" t="inlineStr">
        <is>
          <t>retrofit</t>
        </is>
      </c>
      <c r="B1675" t="inlineStr">
        <is>
          <t>website/public/2.x/adapter-rxjava2/script.js</t>
        </is>
      </c>
      <c r="C1675">
        <f>HYPERLINK("https://github.com/square/retrofit/blob/master/website/public/2.x/adapter-rxjava2/script.js")</f>
        <v/>
      </c>
      <c r="D1675" t="inlineStr">
        <is>
          <t>The provided code is a JavaScript function called `show()` that takes in a single argument `type` and performs several operations on it. Here's a simplified summary of its functionality:
* It loops through all elements with IDs defined in the `methods` object using the `for...in` loop.
* For each element, it checks whether the current method has the given `</t>
        </is>
      </c>
      <c r="E1675" t="n">
        <v>0.003</v>
      </c>
      <c r="F1675" t="n">
        <v>0.0597</v>
      </c>
      <c r="G1675" t="n">
        <v>0.07580000000000001</v>
      </c>
      <c r="H1675" t="inlineStr">
        <is>
          <t>This code defines two functions, `show()` and `updateTabs()`. The `show()` function takes a single argument, `type`, which is used to filter the display of rows based on whether they match the given type. It does this by iterating over all rows in the `methods` object and setting their display style to either `''` or `'none'` depending on whether the</t>
        </is>
      </c>
      <c r="I1675" t="n">
        <v>0.0037</v>
      </c>
      <c r="J1675" t="n">
        <v>0.09089999999999999</v>
      </c>
      <c r="K1675" t="n">
        <v>0.1145</v>
      </c>
      <c r="L1675" t="inlineStr">
        <is>
          <t>The provided code is a JavaScript function that displays or hides rows based on their corresponding method types. It takes a single argument "type", which represents the type of methods to display or hide. The function iterates over an object called "methods" and checks each property's value against the given "type". If the property's value matches the "type", the corresponding row is displayed</t>
        </is>
      </c>
      <c r="M1675" t="n">
        <v>0.0029</v>
      </c>
      <c r="N1675" t="n">
        <v>0.0548</v>
      </c>
      <c r="O1675" t="n">
        <v>0.0741</v>
      </c>
    </row>
    <row r="1676">
      <c r="A1676" t="inlineStr">
        <is>
          <t>retrofit</t>
        </is>
      </c>
      <c r="B1676" t="inlineStr">
        <is>
          <t>website/public/2.x/converter-scalars/script.js</t>
        </is>
      </c>
      <c r="C1676">
        <f>HYPERLINK("https://github.com/square/retrofit/blob/master/website/public/2.x/converter-scalars/script.js")</f>
        <v/>
      </c>
      <c r="D1676" t="inlineStr">
        <is>
          <t>The provided code is a JavaScript function named "show" that takes a single argument, "type", which represents a specific type of data to be displayed. The function iterates over a collection of objects with keys representing different types of data, and for each object it checks whether the current type matches the one passed as an argument. If they match, the corresponding row element is made visible by setting</t>
        </is>
      </c>
      <c r="E1676" t="n">
        <v>0.0026</v>
      </c>
      <c r="F1676" t="n">
        <v>0.0519</v>
      </c>
      <c r="G1676" t="n">
        <v>0.0709</v>
      </c>
      <c r="H1676" t="inlineStr">
        <is>
          <t>This is a JavaScript function called "show" that takes one argument, "type". It loops through all elements with an ID starting with "method", retrieves their style property, and sets it to either display or none based on whether the method's bitwise AND operation with "type" equals zero. The function also updates the tab labels by setting the class name and inner HTML of each</t>
        </is>
      </c>
      <c r="I1676" t="n">
        <v>0.0034</v>
      </c>
      <c r="J1676" t="n">
        <v>0.0822</v>
      </c>
      <c r="K1676" t="n">
        <v>0.1103</v>
      </c>
      <c r="L1676" t="inlineStr">
        <is>
          <t>The provided code is a JavaScript function called "show" that takes a single argument "type". It iterates over an object called "methods" and sets the display style of each element based on whether its corresponding method matches the given type. Additionally, it updates the tabs by setting their class names and inner HTML content based on the current tab being selected.</t>
        </is>
      </c>
      <c r="M1676" t="n">
        <v>0.003</v>
      </c>
      <c r="N1676" t="n">
        <v>0.058</v>
      </c>
      <c r="O1676" t="n">
        <v>0.0752</v>
      </c>
    </row>
    <row r="1677">
      <c r="A1677" t="inlineStr">
        <is>
          <t>retrofit</t>
        </is>
      </c>
      <c r="B1677" t="inlineStr">
        <is>
          <t>website/public/2.x/converter-jaxb/script.js</t>
        </is>
      </c>
      <c r="C1677">
        <f>HYPERLINK("https://github.com/square/retrofit/blob/master/website/public/2.x/converter-jaxb/script.js")</f>
        <v/>
      </c>
      <c r="D1677" t="inlineStr">
        <is>
          <t>The provided code is a JavaScript function that shows or hides rows based on a given type. It takes one argument, `type`, which can be any number. The function first sets the `count` variable to 0 and then loops through all elements with the id attribute set to each key in the `methods` object. For each element, it checks whether the current method's bit</t>
        </is>
      </c>
      <c r="E1677" t="n">
        <v>0.0028</v>
      </c>
      <c r="F1677" t="n">
        <v>0.0548</v>
      </c>
      <c r="G1677" t="n">
        <v>0.0735</v>
      </c>
      <c r="H1677" t="inlineStr">
        <is>
          <t>This is a JavaScript function that takes a single argument `type` and performs several operations on it. The function first declares two variables `count` and `row`, which are used to keep track of the number of rows displayed and the current row being processed. It then iterates over all keys in an object called `methods`. For each key, it checks whether the corresponding method has the</t>
        </is>
      </c>
      <c r="I1677" t="n">
        <v>0.0033</v>
      </c>
      <c r="J1677" t="n">
        <v>0.08110000000000001</v>
      </c>
      <c r="K1677" t="n">
        <v>0.1087</v>
      </c>
      <c r="L1677" t="inlineStr">
        <is>
          <t>The provided code is a JavaScript function named "show" that takes a parameter "type". It iterates over an object called "methods" and displays rows based on whether they match the given "type". Additionally, it updates the display of other elements based on the same condition.</t>
        </is>
      </c>
      <c r="M1677" t="n">
        <v>0.0041</v>
      </c>
      <c r="N1677" t="n">
        <v>0.0755</v>
      </c>
      <c r="O1677" t="n">
        <v>0.08550000000000001</v>
      </c>
    </row>
    <row r="1678">
      <c r="A1678" t="inlineStr">
        <is>
          <t>retrofit</t>
        </is>
      </c>
      <c r="B1678" t="inlineStr">
        <is>
          <t>website/public/2.x/converter-simplexml/script.js</t>
        </is>
      </c>
      <c r="C1678">
        <f>HYPERLINK("https://github.com/square/retrofit/blob/master/website/public/2.x/converter-simplexml/script.js")</f>
        <v/>
      </c>
      <c r="D1678" t="inlineStr">
        <is>
          <t>This is a JavaScript function called "show" that takes a single argument "type". The function iterates over all elements with IDs in an object called "methods", and checks if their values contain the specified "type" parameter. If so, it sets the display style to "" and adds a class name based on the modulo operation of the iteration index. Otherwise, it sets the display style</t>
        </is>
      </c>
      <c r="E1678" t="n">
        <v>0.0033</v>
      </c>
      <c r="F1678" t="n">
        <v>0.0833</v>
      </c>
      <c r="G1678" t="n">
        <v>0.1095</v>
      </c>
      <c r="H1678" t="inlineStr">
        <is>
          <t>This is a JavaScript file that defines two functions, `show` and `updateTabs`. The `show` function takes a single argument, `type`, which is used to filter the display of rows in a table based on a bitmask stored in the `methods` object. If the bitmask has a specific bit set for the given `type`, then the corresponding row will be displayed</t>
        </is>
      </c>
      <c r="I1678" t="n">
        <v>0.0036</v>
      </c>
      <c r="J1678" t="n">
        <v>0.0882</v>
      </c>
      <c r="K1678" t="n">
        <v>0.1136</v>
      </c>
      <c r="L1678" t="inlineStr">
        <is>
          <t>The code is a JavaScript function that displays certain elements based on their types. It takes one argument, "type", which can be either "method" or "property". The function iterates over an object called "methods" and checks whether each element has the given type. If it does, it sets the display style of the corresponding HTML element to "" and adds a class name to alternate between</t>
        </is>
      </c>
      <c r="M1678" t="n">
        <v>0.0028</v>
      </c>
      <c r="N1678" t="n">
        <v>0.0548</v>
      </c>
      <c r="O1678" t="n">
        <v>0.0725</v>
      </c>
    </row>
    <row r="1679">
      <c r="A1679" t="inlineStr">
        <is>
          <t>retrofit</t>
        </is>
      </c>
      <c r="B1679" t="inlineStr">
        <is>
          <t>website/public/2.x/retrofit-mock/script.js</t>
        </is>
      </c>
      <c r="C1679">
        <f>HYPERLINK("https://github.com/square/retrofit/blob/master/website/public/2.x/retrofit-mock/script.js")</f>
        <v/>
      </c>
      <c r="D1679" t="inlineStr">
        <is>
          <t>The provided code is a JavaScript function called `show()` that takes a single argument `type` and performs several actions on a set of elements with IDs corresponding to keys in an object called `methods`. It iterates over each element and checks whether its ID corresponds to a specific bit flag in the `methods` object. If it does, it sets the display style of the element to be visible</t>
        </is>
      </c>
      <c r="E1679" t="n">
        <v>0.0027</v>
      </c>
      <c r="F1679" t="n">
        <v>0.0526</v>
      </c>
      <c r="G1679" t="n">
        <v>0.07140000000000001</v>
      </c>
      <c r="H1679" t="inlineStr">
        <is>
          <t>This is a JavaScript function named `show` that takes a single argument called `type`. The function iterates over an object called `methods`, which has keys that correspond to different types of data, and sets the display style of each element with an ID equal to one of those keys based on whether or not it matches the given `type`. It also updates the appearance of certain elements by setting</t>
        </is>
      </c>
      <c r="I1679" t="n">
        <v>0.0031</v>
      </c>
      <c r="J1679" t="n">
        <v>0.0779</v>
      </c>
      <c r="K1679" t="n">
        <v>0.1064</v>
      </c>
      <c r="L1679" t="inlineStr">
        <is>
          <t>The provided code is a JavaScript function called "show" that takes a single argument "type". It loops through an object called "methods" and checks whether each method has the given "type" as a property. If so, it displays the corresponding row element by setting its style display property to empty string and adding a class name based on the modulo operator. Otherwise, it sets the display</t>
        </is>
      </c>
      <c r="M1679" t="n">
        <v>0.0028</v>
      </c>
      <c r="N1679" t="n">
        <v>0.0541</v>
      </c>
      <c r="O1679" t="n">
        <v>0.0725</v>
      </c>
    </row>
    <row r="1680">
      <c r="A1680" t="inlineStr">
        <is>
          <t>retrofit</t>
        </is>
      </c>
      <c r="B1680" t="inlineStr">
        <is>
          <t>website/public/2.x/converter-jackson/script.js</t>
        </is>
      </c>
      <c r="C1680">
        <f>HYPERLINK("https://github.com/square/retrofit/blob/master/website/public/2.x/converter-jackson/script.js")</f>
        <v/>
      </c>
      <c r="D1680" t="inlineStr">
        <is>
          <t>This is a JavaScript function named `show` that takes a parameter called `type`. It iterates over all elements with an ID attribute using the `for...in` loop, and then checks whether each element's ID matches the given `type`. If it does, it sets the display style to empty string, adds a class name based on the modulo operator, and increments the</t>
        </is>
      </c>
      <c r="E1680" t="n">
        <v>0.0036</v>
      </c>
      <c r="F1680" t="n">
        <v>0.0857</v>
      </c>
      <c r="G1680" t="n">
        <v>0.1136</v>
      </c>
      <c r="H1680" t="inlineStr">
        <is>
          <t>This code defines a function called "show()" that takes a single argument "type". The function iterates over an object called "methods" and sets the display style of each element with a matching key to "" (i.e., it makes them visible). It also applies alternating colors to every other row using a counter variable "count". Finally, it calls another function called "updateT</t>
        </is>
      </c>
      <c r="I1680" t="n">
        <v>0.0036</v>
      </c>
      <c r="J1680" t="n">
        <v>0.08699999999999999</v>
      </c>
      <c r="K1680" t="n">
        <v>0.1128</v>
      </c>
      <c r="L1680" t="inlineStr">
        <is>
          <t>The provided code is a JavaScript function called "show" that takes a single argument "type". It iterates over an object called "methods" and displays rows from a HTML table based on the values in the "methods" object. Additionally, the function updates the tab labels based on the selected tab.</t>
        </is>
      </c>
      <c r="M1680" t="n">
        <v>0.0037</v>
      </c>
      <c r="N1680" t="n">
        <v>0.0702</v>
      </c>
      <c r="O1680" t="n">
        <v>0.08260000000000001</v>
      </c>
    </row>
    <row r="1681">
      <c r="A1681" t="inlineStr">
        <is>
          <t>retrofit</t>
        </is>
      </c>
      <c r="B1681" t="inlineStr">
        <is>
          <t>website/public/2.x/adapter-guava/script.js</t>
        </is>
      </c>
      <c r="C1681">
        <f>HYPERLINK("https://github.com/square/retrofit/blob/master/website/public/2.x/adapter-guava/script.js")</f>
        <v/>
      </c>
      <c r="D1681" t="inlineStr">
        <is>
          <t>The provided code defines two functions: `show()` and `updateTabs()`.
The `show()` function takes a single argument `type` and performs the following operations:
* It initializes a variable `count` to 0.
* It iterates over all elements in an object called `methods` using a `for...in` loop.
* For each</t>
        </is>
      </c>
      <c r="E1681" t="n">
        <v>0.0038</v>
      </c>
      <c r="F1681" t="n">
        <v>0.0741</v>
      </c>
      <c r="G1681" t="n">
        <v>0.0833</v>
      </c>
      <c r="H1681" t="inlineStr">
        <is>
          <t>This is a JavaScript file that defines two functions: `show()` and `updateTabs()`. The `show()` function takes a single argument, `type`, which is used to determine which rows should be displayed based on their corresponding values in an object called `methods`. If the value of `methods[key]` ANDed with `type` is non-zero, then the row with ID</t>
        </is>
      </c>
      <c r="I1681" t="n">
        <v>0.004</v>
      </c>
      <c r="J1681" t="n">
        <v>0.09229999999999999</v>
      </c>
      <c r="K1681" t="n">
        <v>0.1181</v>
      </c>
      <c r="L1681" t="inlineStr">
        <is>
          <t>The code is a JavaScript function that shows or hides rows based on a given type. It iterates over an object called "methods" and checks whether each method has the specified type. If so, it displays the corresponding row and updates the tab labels.</t>
        </is>
      </c>
      <c r="M1681" t="n">
        <v>0.0042</v>
      </c>
      <c r="N1681" t="n">
        <v>0.0769</v>
      </c>
      <c r="O1681" t="n">
        <v>0.0862</v>
      </c>
    </row>
    <row r="1682">
      <c r="A1682" t="inlineStr">
        <is>
          <t>retrofit</t>
        </is>
      </c>
      <c r="B1682" t="inlineStr">
        <is>
          <t>website/public/2.x/converter-protobuf/script.js</t>
        </is>
      </c>
      <c r="C1682">
        <f>HYPERLINK("https://github.com/square/retrofit/blob/master/website/public/2.x/converter-protobuf/script.js")</f>
        <v/>
      </c>
      <c r="D1682" t="inlineStr">
        <is>
          <t>The provided code is a JavaScript function that shows or hides rows in a table based on a given "type". It achieves this by iterating over each row in the table using a `for...in` loop, checking whether the current row's ID is present in an object called `methods`. If it is, then the row's display style is set to empty string,</t>
        </is>
      </c>
      <c r="E1682" t="n">
        <v>0</v>
      </c>
      <c r="F1682" t="n">
        <v>0.0278</v>
      </c>
      <c r="G1682" t="n">
        <v>0.0752</v>
      </c>
      <c r="H1682" t="inlineStr">
        <is>
          <t>This is a JavaScript function that shows or hides rows based on their type. The `show` function takes one argument, which is the type of the rows to be shown or hidden. It then iterates through all the rows in the page and checks whether they match the given type. If so, it sets their display style to "block", otherwise it sets it to "none". Finally</t>
        </is>
      </c>
      <c r="I1682" t="n">
        <v>0.0033</v>
      </c>
      <c r="J1682" t="n">
        <v>0.08110000000000001</v>
      </c>
      <c r="K1682" t="n">
        <v>0.1087</v>
      </c>
      <c r="L1682" t="inlineStr">
        <is>
          <t>The provided code is a JavaScript function called "show" that takes a single argument "type". It iterates over an object called "methods" and checks whether each method has the given type as a property. If so, it displays the corresponding row element by setting its style display attribute to empty string and adding a class name based on the modulo operation of the counter variable "count". Finally</t>
        </is>
      </c>
      <c r="M1682" t="n">
        <v>0.0027</v>
      </c>
      <c r="N1682" t="n">
        <v>0.0533</v>
      </c>
      <c r="O1682" t="n">
        <v>0.07190000000000001</v>
      </c>
    </row>
    <row r="1683">
      <c r="A1683" t="inlineStr">
        <is>
          <t>retrofit</t>
        </is>
      </c>
      <c r="B1683" t="inlineStr">
        <is>
          <t>website/public/2.x/adapter-java8/script.js</t>
        </is>
      </c>
      <c r="C1683">
        <f>HYPERLINK("https://github.com/square/retrofit/blob/master/website/public/2.x/adapter-java8/script.js")</f>
        <v/>
      </c>
      <c r="D1683" t="inlineStr">
        <is>
          <t>This is a JavaScript function that takes a single argument `type` which represents a specific type of data or method. The function then iterates over all elements with IDs in the object `methods`, and for each element it checks whether the current type matches the bitwise AND operation between the element's ID and the given type. If they match, the function sets the display style of the element</t>
        </is>
      </c>
      <c r="E1683" t="n">
        <v>0.0032</v>
      </c>
      <c r="F1683" t="n">
        <v>0.0779</v>
      </c>
      <c r="G1683" t="n">
        <v>0.1071</v>
      </c>
      <c r="H1683" t="inlineStr">
        <is>
          <t>This is a JavaScript function that shows or hides HTML elements based on their types. The `show` function takes a single argument, which is used to filter the elements to be shown or hidden. It then loops through all the elements with IDs in the `methods` object and checks whether they match the given type. If so, it sets their display style to "block", otherwise it sets</t>
        </is>
      </c>
      <c r="I1683" t="n">
        <v>0.0032</v>
      </c>
      <c r="J1683" t="n">
        <v>0.08</v>
      </c>
      <c r="K1683" t="n">
        <v>0.1079</v>
      </c>
      <c r="L1683" t="inlineStr">
        <is>
          <t>The provided code is a JavaScript function that displays or hides rows based on their types. It takes a single argument "type", which represents the type of rows to display. The function iterates over all rows in the page and checks whether they match the given type using bitwise AND operation. If the row matches the type, it sets its style to be displayed and assigns a class name</t>
        </is>
      </c>
      <c r="M1683" t="n">
        <v>0.0026</v>
      </c>
      <c r="N1683" t="n">
        <v>0.0519</v>
      </c>
      <c r="O1683" t="n">
        <v>0.0709</v>
      </c>
    </row>
    <row r="1684">
      <c r="A1684" t="inlineStr">
        <is>
          <t>retrofit</t>
        </is>
      </c>
      <c r="B1684" t="inlineStr">
        <is>
          <t>website/public/2.x/converter-java8/script.js</t>
        </is>
      </c>
      <c r="C1684">
        <f>HYPERLINK("https://github.com/square/retrofit/blob/master/website/public/2.x/converter-java8/script.js")</f>
        <v/>
      </c>
      <c r="D1684" t="inlineStr">
        <is>
          <t>The provided code is a JavaScript function called "show" that takes a single argument "type". It iterates over an object called "methods" which has keys as IDs and values as types. For each method with the given type, it sets its display style to "" and adds a class name based on whether the index is even or odd. Afterwards, it calls another function called "update</t>
        </is>
      </c>
      <c r="E1684" t="n">
        <v>0.0028</v>
      </c>
      <c r="F1684" t="n">
        <v>0.0548</v>
      </c>
      <c r="G1684" t="n">
        <v>0.0725</v>
      </c>
      <c r="H1684" t="inlineStr">
        <is>
          <t>This is a JavaScript function that takes a single argument "type". It has two main functions:
* Showing or hiding rows based on the value of "type": If the value of "type" matches one of the keys in the "methods" object, it will display the corresponding row with the class name set to either "rowColor" or "altColor", depending on whether</t>
        </is>
      </c>
      <c r="I1684" t="n">
        <v>0.003</v>
      </c>
      <c r="J1684" t="n">
        <v>0.0597</v>
      </c>
      <c r="K1684" t="n">
        <v>0.07580000000000001</v>
      </c>
      <c r="L1684" t="inlineStr">
        <is>
          <t>The provided code is a JavaScript function called "show" that takes a single argument "type". It iterates over an object called "methods", counts the number of elements that meet a certain condition, and then updates the display style and class name of each element based on the count. Additionally, it calls another function called "updateTabs" which also takes a single argument "type" and</t>
        </is>
      </c>
      <c r="M1684" t="n">
        <v>0.0029</v>
      </c>
      <c r="N1684" t="n">
        <v>0.0563</v>
      </c>
      <c r="O1684" t="n">
        <v>0.0741</v>
      </c>
    </row>
    <row r="1685">
      <c r="A1685" t="inlineStr">
        <is>
          <t>retrofit</t>
        </is>
      </c>
      <c r="B1685" t="inlineStr">
        <is>
          <t>website/public/2.x/converter-jaxb3/script.js</t>
        </is>
      </c>
      <c r="C1685">
        <f>HYPERLINK("https://github.com/square/retrofit/blob/master/website/public/2.x/converter-jaxb3/script.js")</f>
        <v/>
      </c>
      <c r="D1685" t="inlineStr">
        <is>
          <t>The provided code is a JavaScript function called `show` that takes a single argument `type`. It iterates over an object called `methods`, which has keys that correspond to HTML elements with IDs, and sets their display style based on whether or not the corresponding method bitwise AND operation returns non-zero. If the method does return zero, it hides the element by setting its display style</t>
        </is>
      </c>
      <c r="E1685" t="n">
        <v>0.0028</v>
      </c>
      <c r="F1685" t="n">
        <v>0.0541</v>
      </c>
      <c r="G1685" t="n">
        <v>0.073</v>
      </c>
      <c r="H1685" t="inlineStr">
        <is>
          <t>This code is a JavaScript function called "show" that takes one argument, "type". It iterates over a collection of objects with keys named "methods", and sets their display style to "" or "none" based on whether the method's type matches the input parameter "type". The function also updates the display of a set of HTML elements defined by another object called "tabs".</t>
        </is>
      </c>
      <c r="I1685" t="n">
        <v>0.0035</v>
      </c>
      <c r="J1685" t="n">
        <v>0.0857</v>
      </c>
      <c r="K1685" t="n">
        <v>0.1119</v>
      </c>
      <c r="L1685" t="inlineStr">
        <is>
          <t>The provided code is a JavaScript function that shows or hides rows based on user input. It takes a single argument "type", which determines which rows should be shown or hidden. The function iterates over an object called "methods" and checks each property's value against the input "type". If the values match, the corresponding row is displayed, otherwise it is hidden. Additionally,</t>
        </is>
      </c>
      <c r="M1685" t="n">
        <v>0.0029</v>
      </c>
      <c r="N1685" t="n">
        <v>0.0563</v>
      </c>
      <c r="O1685" t="n">
        <v>0.0746</v>
      </c>
    </row>
    <row r="1686">
      <c r="A1686" t="inlineStr">
        <is>
          <t>retrofit</t>
        </is>
      </c>
      <c r="B1686" t="inlineStr">
        <is>
          <t>website/public/2.x/converter-moshi/script.js</t>
        </is>
      </c>
      <c r="C1686">
        <f>HYPERLINK("https://github.com/square/retrofit/blob/master/website/public/2.x/converter-moshi/script.js")</f>
        <v/>
      </c>
      <c r="D1686" t="inlineStr">
        <is>
          <t>This is a JavaScript file that defines two functions, `show()` and `updateTabs()`. The `show()` function takes a single argument, `type`, which represents a specific method or feature to display. It iterates over all rows in a table with IDs corresponding to keys in an object called `methods` and displays those rows whose values match the specified type. If no matching rows are</t>
        </is>
      </c>
      <c r="E1686" t="n">
        <v>0.0035</v>
      </c>
      <c r="F1686" t="n">
        <v>0.0857</v>
      </c>
      <c r="G1686" t="n">
        <v>0.1119</v>
      </c>
      <c r="H1686" t="inlineStr">
        <is>
          <t>This is a JavaScript function called "show" that takes one argument, "type". It iterates over an object called "methods", which has keys corresponding to different types of data, and sets the display style of each element with the ID equal to the key to either "" or "none", depending on whether the bitwise AND operation between the method's value and the input type is non</t>
        </is>
      </c>
      <c r="I1686" t="n">
        <v>0.0033</v>
      </c>
      <c r="J1686" t="n">
        <v>0.0822</v>
      </c>
      <c r="K1686" t="n">
        <v>0.1095</v>
      </c>
      <c r="L1686" t="inlineStr">
        <is>
          <t>The provided code is a JavaScript function called "show" that takes in a single argument "type". It iterates over an object called "methods" and sets the display style of each element based on whether the corresponding method has the given type. Additionally, it updates the tabs by setting the class name and inner HTML of each tab element based on the current type.</t>
        </is>
      </c>
      <c r="M1686" t="n">
        <v>0.0029</v>
      </c>
      <c r="N1686" t="n">
        <v>0.0563</v>
      </c>
      <c r="O1686" t="n">
        <v>0.0741</v>
      </c>
    </row>
    <row r="1687">
      <c r="A1687" t="inlineStr">
        <is>
          <t>retrofit</t>
        </is>
      </c>
      <c r="B1687" t="inlineStr">
        <is>
          <t>website/public/2.x/adapter-scala/script.js</t>
        </is>
      </c>
      <c r="C1687">
        <f>HYPERLINK("https://github.com/square/retrofit/blob/master/website/public/2.x/adapter-scala/script.js")</f>
        <v/>
      </c>
      <c r="D1687" t="inlineStr">
        <is>
          <t>The provided code is a JavaScript function called `show()` that takes a single argument `type`. It iterates over an object called `methods` using a `for...in` loop, where each property name is used as an ID to retrieve a corresponding element from the page using `document.getElementById()`. For each element found, it checks whether its method bitmask includes the given `type`,</t>
        </is>
      </c>
      <c r="E1687" t="n">
        <v>0</v>
      </c>
      <c r="F1687" t="n">
        <v>0.029</v>
      </c>
      <c r="G1687" t="n">
        <v>0.0382</v>
      </c>
      <c r="H1687" t="inlineStr">
        <is>
          <t>This is a JavaScript function that takes a single argument `type` and performs the following actions:
* It loops through all elements with an ID starting with "method-", and checks whether their corresponding method matches the given `type`. If it does, it displays the element and sets its class to either `rowColor` or `altColor`, alternating between these two values. Otherwise</t>
        </is>
      </c>
      <c r="I1687" t="n">
        <v>0.0036</v>
      </c>
      <c r="J1687" t="n">
        <v>0.0896</v>
      </c>
      <c r="K1687" t="n">
        <v>0.1136</v>
      </c>
      <c r="L1687" t="inlineStr">
        <is>
          <t>The provided code is a JavaScript function called "show" that takes a single argument "type". It iterates through an object named "methods" and displays rows in a table based on the values of the "type" parameter. Additionally, it updates the display of other elements in the page based on the same condition.</t>
        </is>
      </c>
      <c r="M1687" t="n">
        <v>0.0035</v>
      </c>
      <c r="N1687" t="n">
        <v>0.0667</v>
      </c>
      <c r="O1687" t="n">
        <v>0.0806</v>
      </c>
    </row>
    <row r="1688">
      <c r="A1688" t="inlineStr">
        <is>
          <t>retrofit</t>
        </is>
      </c>
      <c r="B1688" t="inlineStr">
        <is>
          <t>website/public/1.x/retrofit/script.js</t>
        </is>
      </c>
      <c r="C1688">
        <f>HYPERLINK("https://github.com/square/retrofit/blob/master/website/public/1.x/retrofit/script.js")</f>
        <v/>
      </c>
      <c r="D1688" t="inlineStr">
        <is>
          <t>The provided code is a JavaScript function called `show` that takes a single argument `type`. It iterates over an object called `methods`, which has keys that correspond to HTML elements with IDs, and sets their display style based on whether or not they have a specific bit set in their corresponding value. If the bit is set, it displays the element and adds a class name based on the</t>
        </is>
      </c>
      <c r="E1688" t="n">
        <v>0.0026</v>
      </c>
      <c r="F1688" t="n">
        <v>0.0519</v>
      </c>
      <c r="G1688" t="n">
        <v>0.0709</v>
      </c>
      <c r="H1688" t="inlineStr">
        <is>
          <t>This is a JavaScript file that defines two functions: `show()` and `updateTabs()`. The `show()` function takes a single argument, `type`, which is used to filter the display of rows based on whether they match the given type. It does this by iterating over all elements with an ID starting with "method", checking their corresponding property values against the `type` parameter,</t>
        </is>
      </c>
      <c r="I1688" t="n">
        <v>0.0036</v>
      </c>
      <c r="J1688" t="n">
        <v>0.0882</v>
      </c>
      <c r="K1688" t="n">
        <v>0.1136</v>
      </c>
      <c r="L1688" t="inlineStr">
        <is>
          <t>The code is a JavaScript function that displays rows based on a given type. It iterates over an object called "methods," checks each property's value against the input type, and hides or shows the corresponding DOM element based on the result. Additionally, the function updates the tab labels based on the selected type.</t>
        </is>
      </c>
      <c r="M1688" t="n">
        <v>0.0035</v>
      </c>
      <c r="N1688" t="n">
        <v>0.0645</v>
      </c>
      <c r="O1688" t="n">
        <v>0.08</v>
      </c>
    </row>
    <row r="1689">
      <c r="A1689" t="inlineStr">
        <is>
          <t>retrofit</t>
        </is>
      </c>
      <c r="B1689" t="inlineStr">
        <is>
          <t>website/public/1.x/converter-wire/script.js</t>
        </is>
      </c>
      <c r="C1689">
        <f>HYPERLINK("https://github.com/square/retrofit/blob/master/website/public/1.x/converter-wire/script.js")</f>
        <v/>
      </c>
      <c r="D1689" t="inlineStr">
        <is>
          <t>The provided code is a JavaScript function called `show()` that takes a single argument `type` of any data type. It iterates through an object called `methods`, which has keys that correspond to HTML elements with IDs, and sets their display style based on whether or not they have a specific bit set in their corresponding value. If the bit is set, it displays the element and changes its</t>
        </is>
      </c>
      <c r="E1689" t="n">
        <v>0.0027</v>
      </c>
      <c r="F1689" t="n">
        <v>0.0526</v>
      </c>
      <c r="G1689" t="n">
        <v>0.07140000000000001</v>
      </c>
      <c r="H1689" t="inlineStr">
        <is>
          <t>The provided code is a JavaScript function named "show" that takes a single argument "type". It iterates over an object called "methods" and sets the display style of each element with an ID equal to one of its keys based on whether or not it matches the given "type". If the method does match the type, it also alternates between two different colors every other iteration using mod</t>
        </is>
      </c>
      <c r="I1689" t="n">
        <v>0.0027</v>
      </c>
      <c r="J1689" t="n">
        <v>0.0526</v>
      </c>
      <c r="K1689" t="n">
        <v>0.07140000000000001</v>
      </c>
      <c r="L1689" t="inlineStr">
        <is>
          <t>The provided code is a JavaScript function called "show" that takes a single argument "type". It iterates over an object called "methods" and displays rows based on their values. Additionally, it updates the display of other elements using another function called "updateTabs", which also takes a single argument "type". Overall, the code appears to be responsible for displaying data based on user</t>
        </is>
      </c>
      <c r="M1689" t="n">
        <v>0.0029</v>
      </c>
      <c r="N1689" t="n">
        <v>0.0571</v>
      </c>
      <c r="O1689" t="n">
        <v>0.0746</v>
      </c>
    </row>
    <row r="1690">
      <c r="A1690" t="inlineStr">
        <is>
          <t>retrofit</t>
        </is>
      </c>
      <c r="B1690" t="inlineStr">
        <is>
          <t>website/public/1.x/converter-simplexml/script.js</t>
        </is>
      </c>
      <c r="C1690">
        <f>HYPERLINK("https://github.com/square/retrofit/blob/master/website/public/1.x/converter-simplexml/script.js")</f>
        <v/>
      </c>
      <c r="D1690" t="inlineStr">
        <is>
          <t>This is a JavaScript function that takes a single argument "type". It iterates over all elements with an ID attribute matching the keys in an object called "methods", and sets their display style to "" or "none" based on whether they have a bitwise AND operation result of non-zero with the input parameter "type". The function also updates the appearance of navigation tabs based on the current</t>
        </is>
      </c>
      <c r="E1690" t="n">
        <v>0.0032</v>
      </c>
      <c r="F1690" t="n">
        <v>0.08</v>
      </c>
      <c r="G1690" t="n">
        <v>0.1079</v>
      </c>
      <c r="H1690" t="inlineStr">
        <is>
          <t>This is a JavaScript function that takes a single argument `type` and performs several actions on it. The function first declares a variable `count` with an initial value of zero, then iterates over all properties in an object called `methods`. For each property, it checks whether its corresponding value has the bitwise AND operator applied to it with `type`, which means that both values have</t>
        </is>
      </c>
      <c r="I1690" t="n">
        <v>0.0033</v>
      </c>
      <c r="J1690" t="n">
        <v>0.0822</v>
      </c>
      <c r="K1690" t="n">
        <v>0.1095</v>
      </c>
      <c r="L1690" t="inlineStr">
        <is>
          <t>The provided code is a JavaScript function named "show" that takes a single argument "type". It iterates over an object called "methods", counts the number of elements that meet certain conditions, and updates the display style of each element based on the count. Additionally, it calls another function named "updateTabs" which performs similar tasks related to updating the display style of different types of elements</t>
        </is>
      </c>
      <c r="M1690" t="n">
        <v>0.0028</v>
      </c>
      <c r="N1690" t="n">
        <v>0.0548</v>
      </c>
      <c r="O1690" t="n">
        <v>0.073</v>
      </c>
    </row>
    <row r="1691">
      <c r="A1691" t="inlineStr">
        <is>
          <t>retrofit</t>
        </is>
      </c>
      <c r="B1691" t="inlineStr">
        <is>
          <t>website/public/1.x/retrofit-mock/script.js</t>
        </is>
      </c>
      <c r="C1691">
        <f>HYPERLINK("https://github.com/square/retrofit/blob/master/website/public/1.x/retrofit-mock/script.js")</f>
        <v/>
      </c>
      <c r="D1691" t="inlineStr">
        <is>
          <t>This is a JavaScript function that takes a single argument `type` and performs several operations on it. The function first initializes a variable called `count` to zero and then loops through all elements in an object called `methods`. For each element, it checks whether the current method matches the given `type`, and if so, it displays the corresponding row by setting its style display property to empty</t>
        </is>
      </c>
      <c r="E1691" t="n">
        <v>0.0032</v>
      </c>
      <c r="F1691" t="n">
        <v>0.08</v>
      </c>
      <c r="G1691" t="n">
        <v>0.1079</v>
      </c>
      <c r="H1691" t="inlineStr">
        <is>
          <t>This code is a JavaScript function called "show" that takes a single argument "type". It iterates over all elements with an ID starting with "method", checks whether they have a specific bit set based on the input "type", and then either displays or hides them depending on the result. The function also updates the display of other HTML elements based on the input "type". Overall</t>
        </is>
      </c>
      <c r="I1691" t="n">
        <v>0.0033</v>
      </c>
      <c r="J1691" t="n">
        <v>0.0822</v>
      </c>
      <c r="K1691" t="n">
        <v>0.1095</v>
      </c>
      <c r="L1691" t="inlineStr">
        <is>
          <t>The provided code is a JavaScript function named "show" that takes a single argument "type". It iterates over an object called "methods" and displays rows in a table based on whether the current method has the specified type. Additionally, it updates the tab navigation menu to reflect the currently selected type.</t>
        </is>
      </c>
      <c r="M1691" t="n">
        <v>0.0036</v>
      </c>
      <c r="N1691" t="n">
        <v>0.0678</v>
      </c>
      <c r="O1691" t="n">
        <v>0.0813</v>
      </c>
    </row>
    <row r="1692">
      <c r="A1692" t="inlineStr">
        <is>
          <t>retrofit</t>
        </is>
      </c>
      <c r="B1692" t="inlineStr">
        <is>
          <t>website/public/1.x/converter-jackson/script.js</t>
        </is>
      </c>
      <c r="C1692">
        <f>HYPERLINK("https://github.com/square/retrofit/blob/master/website/public/1.x/converter-jackson/script.js")</f>
        <v/>
      </c>
      <c r="D1692" t="inlineStr">
        <is>
          <t>The code is a JavaScript function called "show" that takes one argument, "type", which represents the type of data to display. It iterates through all elements with IDs defined in the "methods" object and displays them based on whether their corresponding bitwise AND operation with "type" results in a non-zero value. If the element should be displayed, its style property is set to</t>
        </is>
      </c>
      <c r="E1692" t="n">
        <v>0.0029</v>
      </c>
      <c r="F1692" t="n">
        <v>0.0556</v>
      </c>
      <c r="G1692" t="n">
        <v>0.0741</v>
      </c>
      <c r="H1692" t="inlineStr">
        <is>
          <t>This is a JavaScript function that takes a single argument `type` and performs the following operations:
* It sets the variable `count` to 0.
* It iterates over each key in the object `methods`.
* For each key, it retrieves the corresponding element with the ID `key` from the HTML page using `document.getElementById()`.
* If the</t>
        </is>
      </c>
      <c r="I1692" t="n">
        <v>0.0039</v>
      </c>
      <c r="J1692" t="n">
        <v>0.0984</v>
      </c>
      <c r="K1692" t="n">
        <v>0.1172</v>
      </c>
      <c r="L1692" t="inlineStr">
        <is>
          <t>The provided code is a JavaScript function called "show" that takes in a parameter "type". It iterates through an object called "methods" and displays rows based on whether their corresponding values match the input "type". Additionally, it updates the display of other elements based on the same condition.</t>
        </is>
      </c>
      <c r="M1692" t="n">
        <v>0.0038</v>
      </c>
      <c r="N1692" t="n">
        <v>0.07140000000000001</v>
      </c>
      <c r="O1692" t="n">
        <v>0.0833</v>
      </c>
    </row>
    <row r="1693">
      <c r="A1693" t="inlineStr">
        <is>
          <t>retrofit</t>
        </is>
      </c>
      <c r="B1693" t="inlineStr">
        <is>
          <t>website/public/1.x/converter-protobuf/script.js</t>
        </is>
      </c>
      <c r="C1693">
        <f>HYPERLINK("https://github.com/square/retrofit/blob/master/website/public/1.x/converter-protobuf/script.js")</f>
        <v/>
      </c>
      <c r="D1693" t="inlineStr">
        <is>
          <t>The provided code is a JavaScript function called "show" that takes a single argument "type". It iterates over an object called "methods" which has keys representing different types of data, and values representing the corresponding method to be executed on those types. For each key-value pair, it checks whether the current type matches the mask represented by the value, and if so, it displays the</t>
        </is>
      </c>
      <c r="E1693" t="n">
        <v>0.0028</v>
      </c>
      <c r="F1693" t="n">
        <v>0.0541</v>
      </c>
      <c r="G1693" t="n">
        <v>0.073</v>
      </c>
      <c r="H1693" t="inlineStr">
        <is>
          <t>This is a JavaScript function that shows or hides HTML elements based on their types. The `show` function takes a single argument, which is a string representing the type of element to be shown or hidden. It then iterates over all HTML elements with IDs in the `methods` object, checks whether they match the specified type, and sets their display style accordingly. If the element matches the</t>
        </is>
      </c>
      <c r="I1693" t="n">
        <v>0.0032</v>
      </c>
      <c r="J1693" t="n">
        <v>0.08</v>
      </c>
      <c r="K1693" t="n">
        <v>0.1079</v>
      </c>
      <c r="L1693" t="inlineStr">
        <is>
          <t>The provided code is a JavaScript function called "show" that takes a parameter "type". It iterates over an object called "methods" and displays rows based on the values of the "type" parameter. Additionally, it updates the display of other elements based on the same "type" parameter.</t>
        </is>
      </c>
      <c r="M1693" t="n">
        <v>0.004</v>
      </c>
      <c r="N1693" t="n">
        <v>0.0741</v>
      </c>
      <c r="O1693" t="n">
        <v>0.0847</v>
      </c>
    </row>
    <row r="1694">
      <c r="A1694" t="inlineStr">
        <is>
          <t>retrofit</t>
        </is>
      </c>
      <c r="B1694" t="inlineStr">
        <is>
          <t>samples/src/main/java/com/example/retrofit/SimpleService.java</t>
        </is>
      </c>
      <c r="C1694">
        <f>HYPERLINK("https://github.com/square/retrofit/blob/master/samples/src/main/java/com/example/retrofit/SimpleService.java")</f>
        <v/>
      </c>
      <c r="D1694" t="inlineStr">
        <is>
          <t>This Java code defines a simple service that makes HTTP requests using Retrofit library. The service has two methods: `getContributors()` which returns a list of contributors from GitHub, and `getRepoInfo()` which returns information about a specified repository. Both methods make GET requests to the GitHub API. The service also includes a constant variable `API_URL` that specifies</t>
        </is>
      </c>
      <c r="E1694" t="n">
        <v>0.0039</v>
      </c>
      <c r="F1694" t="n">
        <v>0.0615</v>
      </c>
      <c r="G1694" t="n">
        <v>0.1172</v>
      </c>
      <c r="H1694" t="inlineStr">
        <is>
          <t>This Java package `com.example.retrofit` defines a Retrofit service that interacts with GitHub's RESTful API. The service has one method called `getContributors()` which returns a list of contributors for a given GitHub project. The method takes a single parameter `projectName`, which specifies the name of the project for which we want to retrieve the</t>
        </is>
      </c>
      <c r="I1694" t="n">
        <v>0.0035</v>
      </c>
      <c r="J1694" t="n">
        <v>0.0312</v>
      </c>
      <c r="K1694" t="n">
        <v>0.04</v>
      </c>
      <c r="L1694" t="inlineStr">
        <is>
          <t>The provided code defines a simple service that retrieves contributors from GitHub using Retrofit library. The service uses GSON converter factory to parse JSON responses. It also includes comments and documentation to explain the purpose and usage of the service.</t>
        </is>
      </c>
      <c r="M1694" t="n">
        <v>0.0046</v>
      </c>
      <c r="N1694" t="n">
        <v>0.0417</v>
      </c>
      <c r="O1694" t="n">
        <v>0.0893</v>
      </c>
    </row>
    <row r="1695">
      <c r="A1695" t="inlineStr">
        <is>
          <t>retrofit</t>
        </is>
      </c>
      <c r="B1695" t="inlineStr">
        <is>
          <t>samples/src/main/java/com/example/retrofit/AnnotatedConverters.java</t>
        </is>
      </c>
      <c r="C1695">
        <f>HYPERLINK("https://github.com/square/retrofit/blob/master/samples/src/main/java/com/example/retrofit/AnnotatedConverters.java")</f>
        <v/>
      </c>
      <c r="D1695" t="inlineStr">
        <is>
          <t>This code defines a Java class named `MyConverter` that implements the `Converter.Factory` interface from Retrofit. It provides a custom converter for converting JSON data into objects using GSON. The `MyConverter` class has several methods, including `convert`, which converts a JSON string into an object of type `T`. The `create` method creates a new instance of the `</t>
        </is>
      </c>
      <c r="E1695" t="n">
        <v>0.0038</v>
      </c>
      <c r="F1695" t="n">
        <v>0.0615</v>
      </c>
      <c r="G1695" t="n">
        <v>0.1163</v>
      </c>
      <c r="H1695" t="inlineStr">
        <is>
          <t>This code defines a Java package named `com.example.retrofit` that contains several classes and interfaces related to building RESTful APIs using Retrofit. The main class of interest is `ApiClient`, which extends `okhttp3.OkHttpClient` and provides additional features such as request logging and error handling. Other notable classes include `ApiService`, which defines the interface for</t>
        </is>
      </c>
      <c r="I1695" t="n">
        <v>0.0042</v>
      </c>
      <c r="J1695" t="n">
        <v>0.0635</v>
      </c>
      <c r="K1695" t="n">
        <v>0.121</v>
      </c>
      <c r="L1695" t="inlineStr">
        <is>
          <t>The provided code defines a Retrofit annotation processor that generates GSON converters for custom types. It uses the `com.squareup.retrofit2` library and the `com.google.gson` library.
The function takes two parameters: `type`, which represents the type being converted, and `context`, which provides additional information about the conversion process.</t>
        </is>
      </c>
      <c r="M1695" t="n">
        <v>0.004</v>
      </c>
      <c r="N1695" t="n">
        <v>0.06900000000000001</v>
      </c>
      <c r="O1695" t="n">
        <v>0.0847</v>
      </c>
    </row>
    <row r="1696">
      <c r="A1696" t="inlineStr">
        <is>
          <t>retrofit</t>
        </is>
      </c>
      <c r="B1696" t="inlineStr">
        <is>
          <t>samples/src/main/java/com/example/retrofit/package-info.java</t>
        </is>
      </c>
      <c r="C1696">
        <f>HYPERLINK("https://github.com/square/retrofit/blob/master/samples/src/main/java/com/example/retrofit/package-info.java")</f>
        <v/>
      </c>
      <c r="D1696" t="inlineStr">
        <is>
          <t>This is a Java package named "com.example.retrofit" that uses the javax.annotation.ParametersAreNonnullByDefault annotation to indicate that all parameters passed into methods in this package are non-null by default. The package contains a single class called Retrofit, which has several methods for implementing core algorithms. The complexity of the code is O(N), where</t>
        </is>
      </c>
      <c r="E1696" t="n">
        <v>0.0043</v>
      </c>
      <c r="F1696" t="n">
        <v>0.09229999999999999</v>
      </c>
      <c r="G1696" t="n">
        <v>0.2566</v>
      </c>
      <c r="H1696" t="inlineStr">
        <is>
          <t>This is a Java package named "com.example.retrofit" that uses the javax annotation library to indicate that all parameters passed into methods in this package should be non-null by default. The package contains several classes and interfaces related to implementing RESTful APIs using Retrofit, including a class called "RetrofitService" which provides a basic implementation of a service interface for making</t>
        </is>
      </c>
      <c r="I1696" t="n">
        <v>0.0037</v>
      </c>
      <c r="J1696" t="n">
        <v>0.0571</v>
      </c>
      <c r="K1696" t="n">
        <v>0.1527</v>
      </c>
      <c r="L1696" t="inlineStr">
        <is>
          <t>The provided code is a Java package named "com.example.retrofit" that provides a set of classes for implementing RESTful APIs using Retrofit library. The package includes annotations for nullable parameters, as well as comments describing the implementation of core algorithms and the purpose of the package.</t>
        </is>
      </c>
      <c r="M1696" t="n">
        <v>0.0049</v>
      </c>
      <c r="N1696" t="n">
        <v>0.1091</v>
      </c>
      <c r="O1696" t="n">
        <v>0.1709</v>
      </c>
    </row>
    <row r="1697">
      <c r="A1697" t="inlineStr">
        <is>
          <t>retrofit</t>
        </is>
      </c>
      <c r="B1697" t="inlineStr">
        <is>
          <t>samples/src/main/java/com/example/retrofit/Crawler.java</t>
        </is>
      </c>
      <c r="C1697">
        <f>HYPERLINK("https://github.com/square/retrofit/blob/master/samples/src/main/java/com/example/retrofit/Crawler.java")</f>
        <v/>
      </c>
      <c r="D1697" t="inlineStr">
        <is>
          <t>The code defines a `Retrofit` class that provides a simple way to make HTTP requests using Retrofit library. It has several methods such as `create`, `get`, `post`, etc., which can be used to perform different types of HTTP requests. The `create` method takes a URL string and returns a new instance of the `Retrofit` class. The `</t>
        </is>
      </c>
      <c r="E1697" t="n">
        <v>0.0032</v>
      </c>
      <c r="F1697" t="n">
        <v>0.0312</v>
      </c>
      <c r="G1697" t="n">
        <v>0.0775</v>
      </c>
      <c r="H1697" t="inlineStr">
        <is>
          <t>This Java package `com.example.retrofit` contains backend software components that implement various algorithms. The package includes several classes and interfaces, each with its own specific purpose. Some of these classes and interfaces include:
* `Retrofit`: A class that provides a way to create RESTful API clients from interface definitions. It also includes methods for building and executing HTTP requests.</t>
        </is>
      </c>
      <c r="I1697" t="n">
        <v>0.0041</v>
      </c>
      <c r="J1697" t="n">
        <v>0.1194</v>
      </c>
      <c r="K1697" t="n">
        <v>0.1538</v>
      </c>
      <c r="L1697" t="inlineStr">
        <is>
          <t>The provided code is a Java implementation of a Retrofit client that allows for making HTTP requests using a RESTful API. It uses annotations to define the endpoint URLs and request methods, as well as various other configuration options such as timeouts and retry policies. The code also includes a cache layer to store previously fetched data, which can be used to reduce the number of network requests made</t>
        </is>
      </c>
      <c r="M1697" t="n">
        <v>0.0026</v>
      </c>
      <c r="N1697" t="n">
        <v>0.0519</v>
      </c>
      <c r="O1697" t="n">
        <v>0.1064</v>
      </c>
    </row>
    <row r="1698">
      <c r="A1698" t="inlineStr">
        <is>
          <t>retrofit</t>
        </is>
      </c>
      <c r="B1698" t="inlineStr">
        <is>
          <t>samples/src/main/java/com/example/retrofit/SimpleMockService.java</t>
        </is>
      </c>
      <c r="C1698">
        <f>HYPERLINK("https://github.com/square/retrofit/blob/master/samples/src/main/java/com/example/retrofit/SimpleMockService.java")</f>
        <v/>
      </c>
      <c r="D1698" t="inlineStr">
        <is>
          <t>The `SimpleMockService` class provides a mock implementation of the `GitHub` API interface defined in the `SimpleService` package. It uses Retrofit's `MockRetrofit` feature to generate a mock service that can be used for testing purposes. The mock service is implemented as a subclass of the real `GitHub` interface, but it overrides some of the</t>
        </is>
      </c>
      <c r="E1698" t="n">
        <v>0</v>
      </c>
      <c r="F1698" t="n">
        <v>0.0323</v>
      </c>
      <c r="G1698" t="n">
        <v>0.08</v>
      </c>
      <c r="H1698" t="inlineStr">
        <is>
          <t>The provided code is a Java file that defines a mock implementation of the `GitHub` API interface used in the `SimpleService` class. It uses the `MockRetrofit` library to generate fake data for the methods defined in the `GitHub` interface. The `MockGitHub` class has a field called `delegate`, which is a `BehaviorDelegate` object that provides</t>
        </is>
      </c>
      <c r="I1698" t="n">
        <v>0</v>
      </c>
      <c r="J1698" t="n">
        <v>0.0323</v>
      </c>
      <c r="K1698" t="n">
        <v>0.0794</v>
      </c>
      <c r="L1698" t="inlineStr">
        <is>
          <t>The provided code is a Java class named "SimpleMockService" that utilizes Retrofit's MockRetrofit library to create a mock implementation of the GitHub API interface. The class provides a method called "create()" which returns a new instance of the mock GitHub API object. The mock object has a BehaviorDelegate field that allows for customizing the behavior of the mock object.</t>
        </is>
      </c>
      <c r="M1698" t="n">
        <v>0</v>
      </c>
      <c r="N1698" t="n">
        <v>0.0294</v>
      </c>
      <c r="O1698" t="n">
        <v>0.0382</v>
      </c>
    </row>
    <row r="1699">
      <c r="A1699" t="inlineStr">
        <is>
          <t>retrofit</t>
        </is>
      </c>
      <c r="B1699" t="inlineStr">
        <is>
          <t>samples/src/main/java/com/example/retrofit/RxJavaObserveOnMainThread.java</t>
        </is>
      </c>
      <c r="C1699">
        <f>HYPERLINK("https://github.com/square/retrofit/blob/master/samples/src/main/java/com/example/retrofit/RxJavaObserveOnMainThread.java")</f>
        <v/>
      </c>
      <c r="D1699" t="inlineStr">
        <is>
          <t>This code defines a Retrofit call adapter factory that uses RxJava to convert API calls into Observables. The factory takes a `Scheduler` as a parameter, which can be used to specify the thread on which the Observable emissions should occur. If no scheduler is specified, it defaults to using the IO scheduler.
The factory's `get()` method returns</t>
        </is>
      </c>
      <c r="E1699" t="n">
        <v>0.0032</v>
      </c>
      <c r="F1699" t="n">
        <v>0.0303</v>
      </c>
      <c r="G1699" t="n">
        <v>0.0775</v>
      </c>
      <c r="H1699" t="inlineStr">
        <is>
          <t>This Java package contains a Retrofit call adapter factory that allows for RxJava observables to be used as response types in API calls made using Retrofit. The factory implements the CallAdapter interface from Retrofit and provides a way to create observable instances based on the type of the response. It also includes a Scheduler instance that can be used to specify which thread the observable should</t>
        </is>
      </c>
      <c r="I1699" t="n">
        <v>0.0036</v>
      </c>
      <c r="J1699" t="n">
        <v>0.08110000000000001</v>
      </c>
      <c r="K1699" t="n">
        <v>0.1449</v>
      </c>
      <c r="L1699" t="inlineStr">
        <is>
          <t>The provided code defines a custom Retrofit call adapter factory that uses RxJava to handle asynchronous HTTP requests. It implements the `CallAdapter.Factory` interface and provides a way to create observable instances from Retrofit calls. The factory takes a `Scheduler` instance as input, which determines the thread where the observables will be subscribed to. If no scheduler is</t>
        </is>
      </c>
      <c r="M1699" t="n">
        <v>0.0038</v>
      </c>
      <c r="N1699" t="n">
        <v>0.0606</v>
      </c>
      <c r="O1699" t="n">
        <v>0.1163</v>
      </c>
    </row>
    <row r="1700">
      <c r="A1700" t="inlineStr">
        <is>
          <t>retrofit</t>
        </is>
      </c>
      <c r="B1700" t="inlineStr">
        <is>
          <t>samples/src/main/java/com/example/retrofit/ChunkingConverter.java</t>
        </is>
      </c>
      <c r="C1700">
        <f>HYPERLINK("https://github.com/square/retrofit/blob/master/samples/src/main/java/com/example/retrofit/ChunkingConverter.java")</f>
        <v/>
      </c>
      <c r="D1700" t="inlineStr">
        <is>
          <t>The provided code defines a Java class called `Example` that implements the `okhttp3.Converter.Factory` interface. It has one method, `responseBodyConverter`, which takes two parameters: `type` and `annotations`. This method returns a new instance of the `ResponseBodyConverter` inner class, which implements the `Converter` interface from OkHttp.
The `</t>
        </is>
      </c>
      <c r="E1700" t="n">
        <v>0.0053</v>
      </c>
      <c r="F1700" t="n">
        <v>0.0727</v>
      </c>
      <c r="G1700" t="n">
        <v>0.1271</v>
      </c>
      <c r="H1700" t="inlineStr">
        <is>
          <t>This code defines a Java package called `com.example.retrofit` that provides a set of classes and interfaces related to implementing RESTful APIs using Retrofit. The package includes several classes, including `Api`, which represents a single API endpoint, and `RequestBuilder`, which builds HTTP requests based on the parameters passed to it. There are also several annotations used throughout the code,</t>
        </is>
      </c>
      <c r="I1700" t="n">
        <v>0.0037</v>
      </c>
      <c r="J1700" t="n">
        <v>0.0882</v>
      </c>
      <c r="K1700" t="n">
        <v>0.1538</v>
      </c>
      <c r="L1700" t="inlineStr">
        <is>
          <t>The code defines a custom annotation called `Body` that can be used to indicate that a method parameter should be sent as the request body when making HTTP requests using Retrofit. It also provides a default implementation of the `Converter.Factory` interface that allows users to specify how to convert objects into request bodies.</t>
        </is>
      </c>
      <c r="M1700" t="n">
        <v>0</v>
      </c>
      <c r="N1700" t="n">
        <v>0.0323</v>
      </c>
      <c r="O1700" t="n">
        <v>0.08</v>
      </c>
    </row>
    <row r="1701">
      <c r="A1701" t="inlineStr">
        <is>
          <t>retrofit</t>
        </is>
      </c>
      <c r="B1701" t="inlineStr">
        <is>
          <t>samples/src/main/java/com/example/retrofit/DeserializeErrorBody.java</t>
        </is>
      </c>
      <c r="C1701">
        <f>HYPERLINK("https://github.com/square/retrofit/blob/master/samples/src/main/java/com/example/retrofit/DeserializeErrorBody.java")</f>
        <v/>
      </c>
      <c r="D1701" t="inlineStr">
        <is>
          <t>This code appears to be a Java implementation of a Retrofit client using the Gson converter. It defines a `UserService` interface that has one method, `@GET("users")`, which returns a list of users from a JSON response. The `UserService` class also includes a constructor that sets up the Retrofit instance and configures it to use the Gson converter.</t>
        </is>
      </c>
      <c r="E1701" t="n">
        <v>0.0038</v>
      </c>
      <c r="F1701" t="n">
        <v>0.09089999999999999</v>
      </c>
      <c r="G1701" t="n">
        <v>0.155</v>
      </c>
      <c r="H1701" t="inlineStr">
        <is>
          <t>This code defines a Java package named `com.example.retrofit` that provides a REST API client using Retrofit library. The package includes a class called `ApiClient` which has methods for making GET requests to a mock web server running on port 8080. The `ApiClient` class also includes a method for converting the response body into a JSON object using</t>
        </is>
      </c>
      <c r="I1701" t="n">
        <v>0.0032</v>
      </c>
      <c r="J1701" t="n">
        <v>0.0299</v>
      </c>
      <c r="K1701" t="n">
        <v>0.0775</v>
      </c>
      <c r="L1701" t="inlineStr">
        <is>
          <t>The provided code defines a Java class that utilizes Retrofit to make HTTP requests to a mock web server. It includes annotations from the `retrofit2` package and imports classes from the `okhttp3` and `com.google.gson` libraries.
The class has a single method called `getData()` which returns a `Call` object representing the response</t>
        </is>
      </c>
      <c r="M1701" t="n">
        <v>0.0036</v>
      </c>
      <c r="N1701" t="n">
        <v>0.0328</v>
      </c>
      <c r="O1701" t="n">
        <v>0.0407</v>
      </c>
    </row>
    <row r="1702">
      <c r="A1702" t="inlineStr">
        <is>
          <t>retrofit</t>
        </is>
      </c>
      <c r="B1702" t="inlineStr">
        <is>
          <t>samples/src/main/java/com/example/retrofit/InvocationMetrics.java</t>
        </is>
      </c>
      <c r="C1702">
        <f>HYPERLINK("https://github.com/square/retrofit/blob/master/samples/src/main/java/com/example/retrofit/InvocationMetrics.java")</f>
        <v/>
      </c>
      <c r="D1702" t="inlineStr">
        <is>
          <t>The code defines a Retrofit client that makes GET requests to a specified URL using OkHttp as the underlying HTTP client. It also includes an interceptor that logs information about each request, including the time it took to complete and the response status code. The `main` function demonstrates how to use the client to make a GET request and print the response body.</t>
        </is>
      </c>
      <c r="E1702" t="n">
        <v>0.0029</v>
      </c>
      <c r="F1702" t="n">
        <v>0.0563</v>
      </c>
      <c r="G1702" t="n">
        <v>0.0741</v>
      </c>
      <c r="H1702" t="inlineStr">
        <is>
          <t>The provided code defines a Java package called `com.example.retrofit` that contains a class named `Main`. The `Main` class has several methods, including a constructor and three instance methods: `init()`, `start()`, and `stop()`.
The `init()` method creates an instance of the `OkHttpClient` class from the `okhttp3` library and</t>
        </is>
      </c>
      <c r="I1702" t="n">
        <v>0.0039</v>
      </c>
      <c r="J1702" t="n">
        <v>0.0351</v>
      </c>
      <c r="K1702" t="n">
        <v>0.042</v>
      </c>
      <c r="L1702" t="inlineStr">
        <is>
          <t>The provided Java code defines a Retrofit client that makes GET requests using OkHttp. It also includes some custom interceptors to measure the time taken for each request. The `Main` class creates an instance of the `MyService` interface and calls the `getData()` method to make a GET request to a specified URL. The response body is then printed to the console.</t>
        </is>
      </c>
      <c r="M1702" t="n">
        <v>0.003</v>
      </c>
      <c r="N1702" t="n">
        <v>0.029</v>
      </c>
      <c r="O1702" t="n">
        <v>0.0752</v>
      </c>
    </row>
    <row r="1703">
      <c r="A1703" t="inlineStr">
        <is>
          <t>retrofit</t>
        </is>
      </c>
      <c r="B1703" t="inlineStr">
        <is>
          <t>samples/src/main/java/com/example/retrofit/JsonAndXmlConverters.java</t>
        </is>
      </c>
      <c r="C1703">
        <f>HYPERLINK("https://github.com/square/retrofit/blob/master/samples/src/main/java/com/example/retrofit/JsonAndXmlConverters.java")</f>
        <v/>
      </c>
      <c r="D1703" t="inlineStr">
        <is>
          <t>The provided code defines a Java class named `Example` that implements the `okhttp3.Call` interface. It has several methods, including `execute()`, `enqueue()`, and `cancel()`. These methods allow the caller to execute HTTP requests using the OkHttp library, receive responses asynchronously, and cancel pending requests. Additionally, the class includes annotations such as `@GET`, `@POST</t>
        </is>
      </c>
      <c r="E1703" t="n">
        <v>0.0042</v>
      </c>
      <c r="F1703" t="n">
        <v>0.06560000000000001</v>
      </c>
      <c r="G1703" t="n">
        <v>0.121</v>
      </c>
      <c r="H1703" t="inlineStr">
        <is>
          <t>This repository contains Java code that implements various backend software components using the OkHttp library. The code includes classes and methods related to HTTP requests and responses, as well as annotations used for dependency injection and other purposes. The project has been annotated with a license and documentation, including a README file that describes its purpose and provides information about the complexity and comments within the code. Overall,</t>
        </is>
      </c>
      <c r="I1703" t="n">
        <v>0.0038</v>
      </c>
      <c r="J1703" t="n">
        <v>0.0789</v>
      </c>
      <c r="K1703" t="n">
        <v>0.1786</v>
      </c>
      <c r="L1703" t="inlineStr">
        <is>
          <t>The provided code defines a Java class named `Retrofit` that provides a simple way to interact with RESTful web services using HTTP requests. It uses the OkHttp library to make HTTP requests and handle responses. The class has several methods, including `create()`, which creates a new instance of the Retrofit object, and `build()`, which builds the actual HTTP client based on the configuration</t>
        </is>
      </c>
      <c r="M1703" t="n">
        <v>0.0029</v>
      </c>
      <c r="N1703" t="n">
        <v>0.0282</v>
      </c>
      <c r="O1703" t="n">
        <v>0.0741</v>
      </c>
    </row>
    <row r="1704">
      <c r="A1704" t="inlineStr">
        <is>
          <t>retrofit</t>
        </is>
      </c>
      <c r="B1704" t="inlineStr">
        <is>
          <t>samples/src/main/java/com/example/retrofit/DynamicBaseUrl.java</t>
        </is>
      </c>
      <c r="C1704">
        <f>HYPERLINK("https://github.com/square/retrofit/blob/master/samples/src/main/java/com/example/retrofit/DynamicBaseUrl.java")</f>
        <v/>
      </c>
      <c r="D1704" t="inlineStr">
        <is>
          <t>The provided code is a Java implementation of a Retrofit client that uses an OkHttp interceptor to modify the target URL of a request at runtime. It defines two classes: `DynamicHostnameInterceptor` and `ExampleService`.
The `DynamicHostnameInterceptor` class implements the `Interceptor` interface from OkHttp and overrides its `intercept()` method to modify the target</t>
        </is>
      </c>
      <c r="E1704" t="n">
        <v>0.0043</v>
      </c>
      <c r="F1704" t="n">
        <v>0.0678</v>
      </c>
      <c r="G1704" t="n">
        <v>0.122</v>
      </c>
      <c r="H1704" t="inlineStr">
        <is>
          <t>The provided code defines a Java package called `com.example.retrofit` that contains a class named `Main`. The `Main` class has a single method called `main`, which sets up an HTTP client using Retrofit and makes a GET request to a URL specified as a command line argument. The HTTP client is configured with an interceptor that changes the target hostname dynamically</t>
        </is>
      </c>
      <c r="I1704" t="n">
        <v>0.003</v>
      </c>
      <c r="J1704" t="n">
        <v>0.0286</v>
      </c>
      <c r="K1704" t="n">
        <v>0.07580000000000001</v>
      </c>
      <c r="L1704" t="inlineStr">
        <is>
          <t>The provided code defines a Java class that utilizes Retrofit library to make HTTP requests to a server. It also includes an OkHttp interceptor to modify the request URL based on certain conditions. When executed, the code will create a new instance of the `Retrofit` class, which is used to define the API endpoints and their corresponding methods. The `intercept()` method</t>
        </is>
      </c>
      <c r="M1704" t="n">
        <v>0.003</v>
      </c>
      <c r="N1704" t="n">
        <v>0.029</v>
      </c>
      <c r="O1704" t="n">
        <v>0.0752</v>
      </c>
    </row>
    <row r="1705">
      <c r="A1705" t="inlineStr">
        <is>
          <t>retrofit</t>
        </is>
      </c>
      <c r="B1705" t="inlineStr">
        <is>
          <t>samples/src/main/java/com/example/retrofit/ErrorHandlingAdapter.java</t>
        </is>
      </c>
      <c r="C1705">
        <f>HYPERLINK("https://github.com/square/retrofit/blob/master/samples/src/main/java/com/example/retrofit/ErrorHandlingAdapter.java")</f>
        <v/>
      </c>
      <c r="D1705" t="inlineStr">
        <is>
          <t>This code appears to be part of a Java project that uses Retrofit as its HTTP client library. The `Retrofit` class is used to create instances of the `Call` interface, which represents an asynchronous HTTP request. The `Call` interface has several methods that can be used to interact with the request, such as `enqueue()` to execute the request asynchronously,</t>
        </is>
      </c>
      <c r="E1705" t="n">
        <v>0.0031</v>
      </c>
      <c r="F1705" t="n">
        <v>0.0299</v>
      </c>
      <c r="G1705" t="n">
        <v>0.07630000000000001</v>
      </c>
      <c r="H1705" t="inlineStr">
        <is>
          <t>This code is a Java package named `com.example.retrofit` that provides a set of classes and interfaces related to implementing RESTful APIs using Retrofit. The package includes several classes such as `Retrofit`, `Call`, `CallAdapter`, `Callback`, and `Response`. These classes provide a way to make HTTP requests and handle responses from web services.</t>
        </is>
      </c>
      <c r="I1705" t="n">
        <v>0.0043</v>
      </c>
      <c r="J1705" t="n">
        <v>0.0984</v>
      </c>
      <c r="K1705" t="n">
        <v>0.1626</v>
      </c>
      <c r="L1705" t="inlineStr">
        <is>
          <t>The code defines a Retrofit call adapter that adapts calls from a given type to another type using a specified executor. It uses reflection to determine the input and output types of the call, as well as the annotations present on the method. The call adapter also handles errors and cancellation requests.</t>
        </is>
      </c>
      <c r="M1705" t="n">
        <v>0.0035</v>
      </c>
      <c r="N1705" t="n">
        <v>0.0333</v>
      </c>
      <c r="O1705" t="n">
        <v>0.0806</v>
      </c>
    </row>
    <row r="1706">
      <c r="A1706" t="inlineStr">
        <is>
          <t>retrofit</t>
        </is>
      </c>
      <c r="B1706" t="inlineStr">
        <is>
          <t>samples/src/main/java/com/example/retrofit/ConditionalLoggingInterceptor.kt</t>
        </is>
      </c>
      <c r="C1706">
        <f>HYPERLINK("https://github.com/square/retrofit/blob/master/samples/src/main/java/com/example/retrofit/ConditionalLoggingInterceptor.kt")</f>
        <v/>
      </c>
      <c r="D1706" t="inlineStr">
        <is>
          <t>This code defines a Retrofit client that makes HTTP requests using OkHttp. It includes a `main` function that sets up the Retrofit instance and calls the `getData` method, which sends a GET request to a server and returns the response body as a string. The `getData` method uses the `invoke` method from the `Invocation` class to create a new</t>
        </is>
      </c>
      <c r="E1706" t="n">
        <v>0.0037</v>
      </c>
      <c r="F1706" t="n">
        <v>0.0896</v>
      </c>
      <c r="G1706" t="n">
        <v>0.1145</v>
      </c>
      <c r="H1706" t="inlineStr">
        <is>
          <t>This is a Kotlin program that defines a Retrofit client using the `Retrofit` library. The program creates a new instance of the `Retrofit` class, which is used to make HTTP requests to a server. It also defines a custom interceptor that logs all incoming responses. The program then uses the `create()` method to create a new instance of the `My</t>
        </is>
      </c>
      <c r="I1706" t="n">
        <v>0.003</v>
      </c>
      <c r="J1706" t="n">
        <v>0.0294</v>
      </c>
      <c r="K1706" t="n">
        <v>0.07580000000000001</v>
      </c>
      <c r="L1706" t="inlineStr">
        <is>
          <t>The code defines a Retrofit client that uses OkHttp as the HTTP client. It sets up a MockWebServer to simulate API responses and creates a Retrofit instance using the mock server's URL. The `main` function then retrieves a list of items from the API using the Retrofit interface.</t>
        </is>
      </c>
      <c r="M1706" t="n">
        <v>0.0038</v>
      </c>
      <c r="N1706" t="n">
        <v>0.0351</v>
      </c>
      <c r="O1706" t="n">
        <v>0.0833</v>
      </c>
    </row>
    <row r="1707">
      <c r="A1707" t="inlineStr">
        <is>
          <t>retrofit</t>
        </is>
      </c>
      <c r="B1707" t="inlineStr">
        <is>
          <t>samples/src/main/java/com/example/retrofit/JsonQueryParameters.java</t>
        </is>
      </c>
      <c r="C1707">
        <f>HYPERLINK("https://github.com/square/retrofit/blob/master/samples/src/main/java/com/example/retrofit/JsonQueryParameters.java")</f>
        <v/>
      </c>
      <c r="D1707" t="inlineStr">
        <is>
          <t>The provided code appears to be a Java implementation of a REST API using Retrofit library. It defines several classes and interfaces related to HTTP requests and responses, including `ExampleService` which provides methods for making GET and POST requests to a server.
The `ExampleService` class has two methods: `getData()` and `postData()`. The former makes a GET request to the</t>
        </is>
      </c>
      <c r="E1707" t="n">
        <v>0.0031</v>
      </c>
      <c r="F1707" t="n">
        <v>0.0597</v>
      </c>
      <c r="G1707" t="n">
        <v>0.1145</v>
      </c>
      <c r="H1707" t="inlineStr">
        <is>
          <t>This code appears to be a Java library that provides a set of classes and interfaces for building RESTful APIs using Retrofit. The package name is `com.example.retrofit`, which suggests that it is intended as an example or demonstration of how to use Retrofit.
The code defines several classes and interfaces related to HTTP requests and responses, including `Request`</t>
        </is>
      </c>
      <c r="I1707" t="n">
        <v>0.0037</v>
      </c>
      <c r="J1707" t="n">
        <v>0.0588</v>
      </c>
      <c r="K1707" t="n">
        <v>0.1154</v>
      </c>
      <c r="L1707" t="inlineStr">
        <is>
          <t>The provided code defines a Retrofit annotation processor that generates mock implementations of interfaces annotated with `@MockWebServer`. The generated classes provide a `MockResponse` object that can be used to simulate HTTP responses when testing applications that make API requests using Retrofit.</t>
        </is>
      </c>
      <c r="M1707" t="n">
        <v>0</v>
      </c>
      <c r="N1707" t="n">
        <v>0.0408</v>
      </c>
      <c r="O1707" t="n">
        <v>0.0885</v>
      </c>
    </row>
    <row r="1708">
      <c r="A1708" t="inlineStr">
        <is>
          <t>retrofit</t>
        </is>
      </c>
      <c r="B1708" t="inlineStr">
        <is>
          <t>retrofit-response-type-keeper/src/main/kotlin/retrofit2/keeper/RetrofitResponseTypeKeepProcessor.kt</t>
        </is>
      </c>
      <c r="C1708">
        <f>HYPERLINK("https://github.com/square/retrofit/blob/master/retrofit-response-type-keeper/src/main/kotlin/retrofit2/keeper/RetrofitResponseTypeKeepProcessor.kt")</f>
        <v/>
      </c>
      <c r="D1708" t="inlineStr">
        <is>
          <t>This code appears to be part of a Java annotation processor for Retrofit, which is a popular HTTP client library for Android and other platforms. The processor is responsible for generating code that implements the interface methods defined in the `Retrofit` class.
The code defines several classes and interfaces related to the annotation processing, including `Keeper`, `KeeperVisitor`,</t>
        </is>
      </c>
      <c r="E1708" t="n">
        <v>0.0042</v>
      </c>
      <c r="F1708" t="n">
        <v>0.09229999999999999</v>
      </c>
      <c r="G1708" t="n">
        <v>0.155</v>
      </c>
      <c r="H1708" t="inlineStr">
        <is>
          <t>This code defines a Java annotation processor called `retrofit2.keeper`. It processes annotations that indicate which methods should be considered as part of the API surface of a Retrofit service interface. The processor generates code that implements the `Retrofit` class's `create()` method, which returns an instance of the service interface implementation. The generated code also includes a constructor that takes</t>
        </is>
      </c>
      <c r="I1708" t="n">
        <v>0.0037</v>
      </c>
      <c r="J1708" t="n">
        <v>0.058</v>
      </c>
      <c r="K1708" t="n">
        <v>0.1145</v>
      </c>
      <c r="L1708" t="inlineStr">
        <is>
          <t>The provided code defines a custom annotation processor that generates Retrofit service interfaces based on HTTP API endpoints. It uses the Java Annotation Processing API to analyze the annotated classes and extract the necessary metadata to generate the service interface definitions. The generated interfaces are then used to create instances of the corresponding Retrofit services using the `Retrofit` class.
The annotation processor</t>
        </is>
      </c>
      <c r="M1708" t="n">
        <v>0.0029</v>
      </c>
      <c r="N1708" t="n">
        <v>0.0286</v>
      </c>
      <c r="O1708" t="n">
        <v>0.0746</v>
      </c>
    </row>
    <row r="1709">
      <c r="A1709" t="inlineStr">
        <is>
          <t>retrofit</t>
        </is>
      </c>
      <c r="B1709" t="inlineStr">
        <is>
          <t>retrofit-response-type-keeper/src/test/kotlin/retrofit2/keeper/RetrofitResponseTypeKeepProcessorTest.kt</t>
        </is>
      </c>
      <c r="C1709">
        <f>HYPERLINK("https://github.com/square/retrofit/blob/master/retrofit-response-type-keeper/src/test/kotlin/retrofit2/keeper/RetrofitResponseTypeKeepProcessorTest.kt")</f>
        <v/>
      </c>
      <c r="D1709" t="inlineStr">
        <is>
          <t>The provided code defines a unit test class named `RetrofitResponseTypeKeepProcessorTest` that tests the functionality of the `retrofit2.keeper` package. The test method `allHttpMethods()` verifies that the processor correctly generates a Java source file containing the necessary annotations for each HTTP request method (`GET`, `POST`, `PUT`, `DELETE`, etc.).</t>
        </is>
      </c>
      <c r="E1709" t="n">
        <v>0.004</v>
      </c>
      <c r="F1709" t="n">
        <v>0.0364</v>
      </c>
      <c r="G1709" t="n">
        <v>0.0424</v>
      </c>
      <c r="H1709" t="inlineStr">
        <is>
          <t>The provided code defines a JUnit test class named `RetrofitResponseTypeKeepProcessorTest` that tests the behavior of a custom annotation processor called `RetrofitResponseTypeKeepProcessor`. The test method `allHttpMethods()` verifies that the processor correctly generates Java source files containing HTTP client interfaces for each HTTP method defined in the `retrofit2.http` package</t>
        </is>
      </c>
      <c r="I1709" t="n">
        <v>0</v>
      </c>
      <c r="J1709" t="n">
        <v>0</v>
      </c>
      <c r="K1709" t="n">
        <v>0</v>
      </c>
      <c r="L1709" t="inlineStr">
        <is>
          <t>The code defines a test class named `RetrofitResponseTypeKeepProcessorTest` that uses JUnit to verify the functionality of a custom annotation processor called `RetrofitResponseTypeKeepProcessor`. The test method `allHttpMethods()` verifies that the processor correctly generates response type classes for all HTTP methods (GET, POST, PUT, DELETE, etc.).</t>
        </is>
      </c>
      <c r="M1709" t="n">
        <v>0.0042</v>
      </c>
      <c r="N1709" t="n">
        <v>0.0385</v>
      </c>
      <c r="O1709" t="n">
        <v>0.0431</v>
      </c>
    </row>
    <row r="1710">
      <c r="A1710" t="inlineStr">
        <is>
          <t>retrofit</t>
        </is>
      </c>
      <c r="B1710" t="inlineStr">
        <is>
          <t>retrofit-mock/src/main/java/retrofit2/mock/Calls.java</t>
        </is>
      </c>
      <c r="C1710">
        <f>HYPERLINK("https://github.com/square/retrofit/blob/master/retrofit-mock/src/main/java/retrofit2/mock/Calls.java")</f>
        <v/>
      </c>
      <c r="D1710" t="inlineStr">
        <is>
          <t>This code defines a factory class called `MockCall` that provides static methods for creating `Call` objects that can be used in place of real network requests when testing applications that use Retrofit. The `MockCall` class has several methods that allow you to create mock calls with different behaviors, such as returning a successful response or throwing an exception. These methods include:
*</t>
        </is>
      </c>
      <c r="E1710" t="n">
        <v>0.0029</v>
      </c>
      <c r="F1710" t="n">
        <v>0.029</v>
      </c>
      <c r="G1710" t="n">
        <v>0.0746</v>
      </c>
      <c r="H1710" t="inlineStr">
        <is>
          <t>This code provides a set of factory methods for creating Retrofit calls that can be used to mock responses from external APIs. The `retrofit2.mock` package includes classes such as `MockCall`, `MockResponse`, and `MockCallback`. These classes provide a way to create call objects that can be used to simulate different types of API responses, including successes, errors,</t>
        </is>
      </c>
      <c r="I1710" t="n">
        <v>0.0039</v>
      </c>
      <c r="J1710" t="n">
        <v>0.0615</v>
      </c>
      <c r="K1710" t="n">
        <v>0.1172</v>
      </c>
      <c r="L1710" t="inlineStr">
        <is>
          <t>The provided code defines factory methods for creating mocked Retrofit calls that can immediately respond or fail. It uses the `retrofit2` library and provides functionality related to HTTP requests and responses.</t>
        </is>
      </c>
      <c r="M1710" t="n">
        <v>0.0072</v>
      </c>
      <c r="N1710" t="n">
        <v>0.1026</v>
      </c>
      <c r="O1710" t="n">
        <v>0.09710000000000001</v>
      </c>
    </row>
    <row r="1711">
      <c r="A1711" t="inlineStr">
        <is>
          <t>retrofit</t>
        </is>
      </c>
      <c r="B1711" t="inlineStr">
        <is>
          <t>retrofit-mock/src/main/java/retrofit2/mock/BehaviorCall.java</t>
        </is>
      </c>
      <c r="C1711">
        <f>HYPERLINK("https://github.com/square/retrofit/blob/master/retrofit-mock/src/main/java/retrofit2/mock/BehaviorCall.java")</f>
        <v/>
      </c>
      <c r="D1711" t="inlineStr">
        <is>
          <t>The code defines a `MockResponse` class that represents a mock response from a server. It has several fields such as `code`, `body`, `headers`, and `delay`. It also provides methods like `send()`, `await()` and `cancel()`.</t>
        </is>
      </c>
      <c r="E1711" t="n">
        <v>0.0055</v>
      </c>
      <c r="F1711" t="n">
        <v>0.0476</v>
      </c>
      <c r="G1711" t="n">
        <v>0.0472</v>
      </c>
      <c r="H1711" t="inlineStr">
        <is>
          <t>This code implements a mocking library for Retrofit, which allows developers to simulate server responses without actually making requests. The library provides several features such as response delays, error injection, and customizable HTTP status codes. It also includes a number of utility methods for working with asynchronous tasks and threads. Overall, this code appears to be well-structured and easy to understand, with</t>
        </is>
      </c>
      <c r="I1711" t="n">
        <v>0.0039</v>
      </c>
      <c r="J1711" t="n">
        <v>0.08450000000000001</v>
      </c>
      <c r="K1711" t="n">
        <v>0.1493</v>
      </c>
      <c r="L1711" t="inlineStr">
        <is>
          <t>The provided code defines a class called `RetrofitMock` that extends the `okhttp3.Interceptor` interface. It provides a mock implementation of the `execute()` method from the `okhttp3.Call` interface.
The `execute()` method takes a `Request` object as input and returns a `Response` object. It also has a `countdown()` method</t>
        </is>
      </c>
      <c r="M1711" t="n">
        <v>0.004</v>
      </c>
      <c r="N1711" t="n">
        <v>0.07140000000000001</v>
      </c>
      <c r="O1711" t="n">
        <v>0.0847</v>
      </c>
    </row>
    <row r="1712">
      <c r="A1712" t="inlineStr">
        <is>
          <t>retrofit</t>
        </is>
      </c>
      <c r="B1712" t="inlineStr">
        <is>
          <t>retrofit-mock/src/main/java/retrofit2/mock/package-info.java</t>
        </is>
      </c>
      <c r="C1712">
        <f>HYPERLINK("https://github.com/square/retrofit/blob/master/retrofit-mock/src/main/java/retrofit2/mock/package-info.java")</f>
        <v/>
      </c>
      <c r="D1712" t="inlineStr">
        <is>
          <t>The provided code is part of a Java library for implementing mocks in Retrofit, which is a popular HTTP client library for Android and other platforms. The `EverythingIsNonNull` annotation indicates that all parameters and return values of methods in this package are non-nullable.
The package contains classes related to the implementation of core algorithms used by Retrofit's mock</t>
        </is>
      </c>
      <c r="E1712" t="n">
        <v>0.0037</v>
      </c>
      <c r="F1712" t="n">
        <v>0.0882</v>
      </c>
      <c r="G1712" t="n">
        <v>0.1923</v>
      </c>
      <c r="H1712" t="inlineStr">
        <is>
          <t>This is a Java package for implementing mocking in Retrofit 2. The package contains classes that implement various aspects of mocking, such as request matching and response generation. The complexity of this package is O(N), where N is the number of requests being matched or generated. The comments indicate that the package implements the core algorithms for mocking. There have been one commit to this</t>
        </is>
      </c>
      <c r="I1712" t="n">
        <v>0.004</v>
      </c>
      <c r="J1712" t="n">
        <v>0.08110000000000001</v>
      </c>
      <c r="K1712" t="n">
        <v>0.146</v>
      </c>
      <c r="L1712" t="inlineStr">
        <is>
          <t>The provided code is part of a mocking library for Retrofit 2. It appears to be responsible for implementing the "everything is non-null" annotation processor, which allows developers to use the `@NonNull` annotation to indicate that certain parameters or return values should never be null. The code also includes some comments related to implementation details and existing commits. Overall, the code</t>
        </is>
      </c>
      <c r="M1712" t="n">
        <v>0.003</v>
      </c>
      <c r="N1712" t="n">
        <v>0.0571</v>
      </c>
      <c r="O1712" t="n">
        <v>0.1128</v>
      </c>
    </row>
    <row r="1713">
      <c r="A1713" t="inlineStr">
        <is>
          <t>retrofit</t>
        </is>
      </c>
      <c r="B1713" t="inlineStr">
        <is>
          <t>retrofit-mock/src/main/java/retrofit2/mock/KotlinExtensions.kt</t>
        </is>
      </c>
      <c r="C1713">
        <f>HYPERLINK("https://github.com/square/retrofit/blob/master/retrofit-mock/src/main/java/retrofit2/mock/KotlinExtensions.kt")</f>
        <v/>
      </c>
      <c r="D1713" t="inlineStr">
        <is>
          <t>This code defines a function called `create()` that creates a new instance of a `BehaviorDelegate` class using the `MockRetrofit` object as its parameter. The function is defined inline and uses type inference to determine the type of the delegate based on the type parameter passed to it. The function returns a new instance of the `BehaviorDelegate` class that can be used to mock API</t>
        </is>
      </c>
      <c r="E1713" t="n">
        <v>0.0034</v>
      </c>
      <c r="F1713" t="n">
        <v>0.0833</v>
      </c>
      <c r="G1713" t="n">
        <v>0.1103</v>
      </c>
      <c r="H1713" t="inlineStr">
        <is>
          <t>This code defines a function `create()` that creates a new instance of a mock Retrofit object using the `MockRetrofit` class from the `retrofit2.mock` package. The function takes no arguments and returns a `BehaviorDelegate` object. It uses type inference to determine the type parameter `T`.
The code also includes a comment block at the top</t>
        </is>
      </c>
      <c r="I1713" t="n">
        <v>0.004</v>
      </c>
      <c r="J1713" t="n">
        <v>0.09520000000000001</v>
      </c>
      <c r="K1713" t="n">
        <v>0.119</v>
      </c>
      <c r="L1713" t="inlineStr">
        <is>
          <t>The code defines a function `create()` that creates a new instance of a type `BehaviorDelegate` using the `MockRetrofit` class as a parameter. It uses generics to specify the type of object being created.</t>
        </is>
      </c>
      <c r="M1713" t="n">
        <v>0</v>
      </c>
      <c r="N1713" t="n">
        <v>0.0488</v>
      </c>
      <c r="O1713" t="n">
        <v>0.0476</v>
      </c>
    </row>
    <row r="1714">
      <c r="A1714" t="inlineStr">
        <is>
          <t>retrofit</t>
        </is>
      </c>
      <c r="B1714" t="inlineStr">
        <is>
          <t>retrofit-mock/src/main/java/retrofit2/mock/BehaviorDelegate.java</t>
        </is>
      </c>
      <c r="C1714">
        <f>HYPERLINK("https://github.com/square/retrofit/blob/master/retrofit-mock/src/main/java/retrofit2/mock/BehaviorDelegate.java")</f>
        <v/>
      </c>
      <c r="D1714" t="inlineStr">
        <is>
          <t>This is a Java package called `retrofit2.mock` that provides a way to create mock implementations of Retrofit interfaces. The package includes several classes and methods that can be used to generate mocks for different types of interfaces, including those with generic parameters.
The main class in this package is `MockRetrofit`, which has a single method called `create()`</t>
        </is>
      </c>
      <c r="E1714" t="n">
        <v>0.0038</v>
      </c>
      <c r="F1714" t="n">
        <v>0.09089999999999999</v>
      </c>
      <c r="G1714" t="n">
        <v>0.155</v>
      </c>
      <c r="H1714" t="inlineStr">
        <is>
          <t>This code is part of the Retrofit library, which is used for building RESTful APIs in Android applications. The `retrofit2.mock` package provides classes and interfaces that allow developers to create mock implementations of Retrofit's `Call` interface, which represents a single HTTP request.
The `MockRetrofit` class is the main entry point for creating</t>
        </is>
      </c>
      <c r="I1714" t="n">
        <v>0.0042</v>
      </c>
      <c r="J1714" t="n">
        <v>0.0645</v>
      </c>
      <c r="K1714" t="n">
        <v>0.1613</v>
      </c>
      <c r="L1714" t="inlineStr">
        <is>
          <t>The provided code defines a mock implementation of the Retrofit library's Call interface. It creates a proxy object that implements the Call interface and delegates method calls to a specified callback function. The callback function can be used to simulate the execution of a network request and return a response. The code also includes support for handling generic types and coroutines using Kotlin's Continuation</t>
        </is>
      </c>
      <c r="M1714" t="n">
        <v>0.0034</v>
      </c>
      <c r="N1714" t="n">
        <v>0.08110000000000001</v>
      </c>
      <c r="O1714" t="n">
        <v>0.1103</v>
      </c>
    </row>
    <row r="1715">
      <c r="A1715" t="inlineStr">
        <is>
          <t>retrofit</t>
        </is>
      </c>
      <c r="B1715" t="inlineStr">
        <is>
          <t>retrofit-mock/src/main/java/retrofit2/mock/NetworkBehavior.java</t>
        </is>
      </c>
      <c r="C1715">
        <f>HYPERLINK("https://github.com/square/retrofit/blob/master/retrofit-mock/src/main/java/retrofit2/mock/NetworkBehavior.java")</f>
        <v/>
      </c>
      <c r="D1715" t="inlineStr">
        <is>
          <t>This Java class provides a simple implementation of network call behavior using OkHttp's Response object. It includes three key features:
1. Random delay: The method simulates random delays between 500ms and 1500ms before returning a response.
2. HTTP status codes: The method returns a response with a randomly selected HTTP status code from a</t>
        </is>
      </c>
      <c r="E1715" t="n">
        <v>0.004</v>
      </c>
      <c r="F1715" t="n">
        <v>0.09520000000000001</v>
      </c>
      <c r="G1715" t="n">
        <v>0.1587</v>
      </c>
      <c r="H1715" t="inlineStr">
        <is>
          <t>This package implements a mocking library for Retrofit, which allows developers to simulate the behavior of network requests during testing. The library provides several features, including:
* Random delay: The library can introduce random delays between request and response, simulating realistic network conditions.
* Fault injection: Developers can inject faults into the network, such as timeouts,</t>
        </is>
      </c>
      <c r="I1715" t="n">
        <v>0.0043</v>
      </c>
      <c r="J1715" t="n">
        <v>0.0968</v>
      </c>
      <c r="K1715" t="n">
        <v>0.1172</v>
      </c>
      <c r="L1715" t="inlineStr">
        <is>
          <t>The provided code implements a simple mocking mechanism for network calls using Retrofit 2. It provides a way to simulate the behavior of network requests, including delays and errors, in order to test the robustness of applications that rely on network connectivity.
The `MockRetrofit` class takes a `Callable` as input and returns a `Response` object after</t>
        </is>
      </c>
      <c r="M1715" t="n">
        <v>0.0039</v>
      </c>
      <c r="N1715" t="n">
        <v>0.0625</v>
      </c>
      <c r="O1715" t="n">
        <v>0.1172</v>
      </c>
    </row>
    <row r="1716">
      <c r="A1716" t="inlineStr">
        <is>
          <t>retrofit</t>
        </is>
      </c>
      <c r="B1716" t="inlineStr">
        <is>
          <t>retrofit-mock/src/main/java/retrofit2/mock/MockRetrofitIOException.java</t>
        </is>
      </c>
      <c r="C1716">
        <f>HYPERLINK("https://github.com/square/retrofit/blob/master/retrofit-mock/src/main/java/retrofit2/mock/MockRetrofitIOException.java")</f>
        <v/>
      </c>
      <c r="D1716" t="inlineStr">
        <is>
          <t>The provided code defines a `MockRetrofitIOException` class that inherits from Java's built-in `IOException` class. It has no fields or methods, but it does have a constructor that initializes its parent class with a message string. This message indicates that the exception was thrown as part of a mocked network request through Retrofit, which is a popular HTTP client</t>
        </is>
      </c>
      <c r="E1716" t="n">
        <v>0.0031</v>
      </c>
      <c r="F1716" t="n">
        <v>0.0294</v>
      </c>
      <c r="G1716" t="n">
        <v>0.0769</v>
      </c>
      <c r="H1716" t="inlineStr">
        <is>
          <t>This code defines a Java class called `MockRetrofitIOException` that inherits from the built-in `IOException` class. The constructor takes no arguments and simply calls the parent constructor with the message "Failure triggered by MockRetrofit's NetworkBehavior". The class does not have any methods, but it is annotated with the `@SuppressWarnings` annotation to suppress</t>
        </is>
      </c>
      <c r="I1716" t="n">
        <v>0.0043</v>
      </c>
      <c r="J1716" t="n">
        <v>0.06560000000000001</v>
      </c>
      <c r="K1716" t="n">
        <v>0.0813</v>
      </c>
      <c r="L1716" t="inlineStr">
        <is>
          <t>The provided code defines a custom exception class called `MockRetrofitIOException` that inherits from `java.io.IOException`. It overrides the parent class' constructor to provide a custom error message indicating that the failure was triggered by the `NetworkBehavior` defined in the `MockRetrofit` library.</t>
        </is>
      </c>
      <c r="M1716" t="n">
        <v>0</v>
      </c>
      <c r="N1716" t="n">
        <v>0</v>
      </c>
      <c r="O1716" t="n">
        <v>0</v>
      </c>
    </row>
    <row r="1717">
      <c r="A1717" t="inlineStr">
        <is>
          <t>retrofit</t>
        </is>
      </c>
      <c r="B1717" t="inlineStr">
        <is>
          <t>retrofit-mock/src/main/java/retrofit2/mock/MockRetrofit.java</t>
        </is>
      </c>
      <c r="C1717">
        <f>HYPERLINK("https://github.com/square/retrofit/blob/master/retrofit-mock/src/main/java/retrofit2/mock/MockRetrofit.java")</f>
        <v/>
      </c>
      <c r="D1717" t="inlineStr">
        <is>
          <t>The `MockRetrofit` class provides a mock implementation of the `retrofit2.Retrofit` interface. It allows developers to test their application's interactions with the network without actually making real HTTP requests. The class takes a `Retrofit` object as input and modifies its behavior to simulate network latency and errors. It also provides an `ExecutorService`</t>
        </is>
      </c>
      <c r="E1717" t="n">
        <v>0.0036</v>
      </c>
      <c r="F1717" t="n">
        <v>0.06560000000000001</v>
      </c>
      <c r="G1717" t="n">
        <v>0.0813</v>
      </c>
      <c r="H1717" t="inlineStr">
        <is>
          <t>This code defines a `MockRetrofit` class that extends the original `Retrofit` class from the `retrofit2` package. The class adds support for mocking network requests using the `NetworkBehavior` interface. It also includes an `ExecutorService` instance for executing asynchronous tasks.
The constructor takes a `Retrofit` object as input and creates a</t>
        </is>
      </c>
      <c r="I1717" t="n">
        <v>0.0045</v>
      </c>
      <c r="J1717" t="n">
        <v>0.0702</v>
      </c>
      <c r="K1717" t="n">
        <v>0.124</v>
      </c>
      <c r="L1717" t="inlineStr">
        <is>
          <t>The `MockRetrofit` class provides a way to mock network requests made using the `retrofit2` library. It takes a `Retrofit` instance as input and returns a new `MockRetrofit` object that can be used to simulate network responses. The `NetworkBehavior` parameter specifies how the mocked responses should behave. The `executor` field</t>
        </is>
      </c>
      <c r="M1717" t="n">
        <v>0.0037</v>
      </c>
      <c r="N1717" t="n">
        <v>0.0351</v>
      </c>
      <c r="O1717" t="n">
        <v>0.08260000000000001</v>
      </c>
    </row>
    <row r="1718">
      <c r="A1718" t="inlineStr">
        <is>
          <t>retrofit</t>
        </is>
      </c>
      <c r="B1718" t="inlineStr">
        <is>
          <t>retrofit-mock/src/test/java/retrofit2/mock/MockRetrofitTest.java</t>
        </is>
      </c>
      <c r="C1718">
        <f>HYPERLINK("https://github.com/square/retrofit/blob/master/retrofit-mock/src/test/java/retrofit2/mock/MockRetrofitTest.java")</f>
        <v/>
      </c>
      <c r="D1718" t="inlineStr">
        <is>
          <t>The `MockRetrofit` class is a utility for testing Retrofit clients in isolation from the network. It provides a way to simulate network responses without actually making requests to the server. The class has several methods that can be used to configure how the mocked responses will behave.
The constructor takes a `Retrofit` instance as its parameter and creates a new `</t>
        </is>
      </c>
      <c r="E1718" t="n">
        <v>0.003</v>
      </c>
      <c r="F1718" t="n">
        <v>0.0294</v>
      </c>
      <c r="G1718" t="n">
        <v>0.0752</v>
      </c>
      <c r="H1718" t="inlineStr">
        <is>
          <t>This is a Java project that uses the Retrofit library to create a mock implementation of a RESTful API. The project includes unit tests for the `MockRetrofit` class, which verifies that it can be instantiated with a valid `Retrofit` instance and that its `retrofit()` method returns the expected value. Additionally, there is a test case that checks</t>
        </is>
      </c>
      <c r="I1718" t="n">
        <v>0.0038</v>
      </c>
      <c r="J1718" t="n">
        <v>0.09229999999999999</v>
      </c>
      <c r="K1718" t="n">
        <v>0.155</v>
      </c>
      <c r="L1718" t="inlineStr">
        <is>
          <t>The provided Java code defines a test suite for the `MockRetrofit` class, which is part of the Retrofit library. The test suite verifies that the `MockRetrofit` constructor throws a `NullPointerException` when passed a null `Retrofit` instance, and that the `retrofit()` method returns the same instance as the one passed to the</t>
        </is>
      </c>
      <c r="M1718" t="n">
        <v>0.0036</v>
      </c>
      <c r="N1718" t="n">
        <v>0.0339</v>
      </c>
      <c r="O1718" t="n">
        <v>0.0813</v>
      </c>
    </row>
    <row r="1719">
      <c r="A1719" t="inlineStr">
        <is>
          <t>retrofit</t>
        </is>
      </c>
      <c r="B1719" t="inlineStr">
        <is>
          <t>retrofit-mock/src/test/java/retrofit2/mock/CallsTest.java</t>
        </is>
      </c>
      <c r="C1719">
        <f>HYPERLINK("https://github.com/square/retrofit/blob/master/retrofit-mock/src/test/java/retrofit2/mock/CallsTest.java")</f>
        <v/>
      </c>
      <c r="D1719" t="inlineStr">
        <is>
          <t>This code appears to be part of a Java library called `retrofit2.mock` that provides mock implementations of various Retrofit classes. The library includes several classes that implement the `MockResponseBody` interface, which allows developers to create custom response bodies for HTTP requests.
The main class of interest in this code snippet seems to be `MockResponse`, which extends the `</t>
        </is>
      </c>
      <c r="E1719" t="n">
        <v>0.0031</v>
      </c>
      <c r="F1719" t="n">
        <v>0.0606</v>
      </c>
      <c r="G1719" t="n">
        <v>0.1154</v>
      </c>
      <c r="H1719" t="inlineStr">
        <is>
          <t>This code appears to be part of a Java library called `retrofit2.mock`. It defines several classes and interfaces related to mocking HTTP requests and responses using Retrofit 2. The main class of interest seems to be `MockRetrofit`, which provides a way to create a mocked version of a Retrofit interface. Other classes and interfaces include `MockResponse</t>
        </is>
      </c>
      <c r="I1719" t="n">
        <v>0.0039</v>
      </c>
      <c r="J1719" t="n">
        <v>0.0615</v>
      </c>
      <c r="K1719" t="n">
        <v>0.1172</v>
      </c>
      <c r="L1719" t="inlineStr">
        <is>
          <t>The provided code is part of a Java library called Retrofit 2 Mock. It appears to be a mock implementation of the Retrofit 2 library's HTTP client. The code defines several classes related to HTTP requests and responses, as well as some utility methods for working with these objects.
The primary purpose of the code seems to be to provide a way to test HTTP</t>
        </is>
      </c>
      <c r="M1719" t="n">
        <v>0.0028</v>
      </c>
      <c r="N1719" t="n">
        <v>0.0541</v>
      </c>
      <c r="O1719" t="n">
        <v>0.1095</v>
      </c>
    </row>
    <row r="1720">
      <c r="A1720" t="inlineStr">
        <is>
          <t>retrofit</t>
        </is>
      </c>
      <c r="B1720" t="inlineStr">
        <is>
          <t>retrofit-mock/src/test/java/retrofit2/mock/NetworkBehaviorTest.java</t>
        </is>
      </c>
      <c r="C1720">
        <f>HYPERLINK("https://github.com/square/retrofit/blob/master/retrofit-mock/src/test/java/retrofit2/mock/NetworkBehaviorTest.java")</f>
        <v/>
      </c>
      <c r="D1720" t="inlineStr">
        <is>
          <t>The provided code appears to be a Java implementation of a mock server using Retrofit 2. It defines a `MockServer` class that extends `okhttp3.OkHttpClient`. The class has several methods that allow users to define responses to HTTP requests made by the client. These include `enqueue`, which adds a response to the queue of responses to return when a request is</t>
        </is>
      </c>
      <c r="E1720" t="n">
        <v>0</v>
      </c>
      <c r="F1720" t="n">
        <v>0.029</v>
      </c>
      <c r="G1720" t="n">
        <v>0.07580000000000001</v>
      </c>
      <c r="H1720" t="inlineStr">
        <is>
          <t>This code appears to be a Java package called `retrofit2.mock` that provides some utility functions for mocking HTTP requests using Retrofit. The package includes several classes and interfaces related to mocking, such as `MockRetrofit`, `MockRequest`, and `MockResponse`. It also includes some unit tests that demonstrate how to use these classes to mock HTTP requests and</t>
        </is>
      </c>
      <c r="I1720" t="n">
        <v>0.004</v>
      </c>
      <c r="J1720" t="n">
        <v>0.09379999999999999</v>
      </c>
      <c r="K1720" t="n">
        <v>0.1181</v>
      </c>
      <c r="L1720" t="inlineStr">
        <is>
          <t>The provided code is a Java class that implements a mock server using Retrofit library. It provides a simple way to create a mock server that can be used to test client-server interactions without requiring a real server implementation. The class takes a list of request-response pairs as input and returns a callable object that can be used to make requests against the mock server. The class also includes</t>
        </is>
      </c>
      <c r="M1720" t="n">
        <v>0.0031</v>
      </c>
      <c r="N1720" t="n">
        <v>0.0506</v>
      </c>
      <c r="O1720" t="n">
        <v>0.1064</v>
      </c>
    </row>
    <row r="1721">
      <c r="A1721" t="inlineStr">
        <is>
          <t>retrofit</t>
        </is>
      </c>
      <c r="B1721" t="inlineStr">
        <is>
          <t>retrofit-mock/src/test/java/retrofit2/mock/BehaviorDelegateKotlinTest.kt</t>
        </is>
      </c>
      <c r="C1721">
        <f>HYPERLINK("https://github.com/square/retrofit/blob/master/retrofit-mock/src/test/java/retrofit2/mock/BehaviorDelegateKotlinTest.kt")</f>
        <v/>
      </c>
      <c r="D1721" t="inlineStr">
        <is>
          <t>This code defines a test suite for the `BehaviorDelegate` class in the `retrofit2.mock` package. The `BehaviorDelegate` class is used to mock HTTP responses from a Retrofit service.
The test suite consists of several tests that verify the behavior of the `BehaviorDelegate` class when it is used to handle different types of requests and responses. These tests</t>
        </is>
      </c>
      <c r="E1721" t="n">
        <v>0.0039</v>
      </c>
      <c r="F1721" t="n">
        <v>0.0615</v>
      </c>
      <c r="G1721" t="n">
        <v>0.1172</v>
      </c>
      <c r="H1721" t="inlineStr">
        <is>
          <t>This code defines a test suite for a Retrofit mocking library written in Kotlin. The test suite includes several tests that verify the behavior of different methods in the library. These tests cover various scenarios such as successful requests, failed requests, and request timeouts.
The `BehaviorDelegate` class is the main component of the library, which provides a way to simulate server responses for</t>
        </is>
      </c>
      <c r="I1721" t="n">
        <v>0.0034</v>
      </c>
      <c r="J1721" t="n">
        <v>0.0563</v>
      </c>
      <c r="K1721" t="n">
        <v>0.0741</v>
      </c>
      <c r="L1721" t="inlineStr">
        <is>
          <t>The provided code is part of a test suite for a Retrofit mocking library written in Kotlin. It defines a set of tests that verify the behavior of the `BehaviorDelegate` class, which is responsible for handling HTTP requests and responses.
The tests cover various scenarios such as successful request execution, failed request execution due to network errors, and unexpected response codes. They also test</t>
        </is>
      </c>
      <c r="M1721" t="n">
        <v>0.0028</v>
      </c>
      <c r="N1721" t="n">
        <v>0.0278</v>
      </c>
      <c r="O1721" t="n">
        <v>0.0735</v>
      </c>
    </row>
    <row r="1722">
      <c r="A1722" t="inlineStr">
        <is>
          <t>retrofit</t>
        </is>
      </c>
      <c r="B1722" t="inlineStr">
        <is>
          <t>retrofit-mock/src/test/java/retrofit2/mock/BehaviorDelegateTest.java</t>
        </is>
      </c>
      <c r="C1722">
        <f>HYPERLINK("https://github.com/square/retrofit/blob/master/retrofit-mock/src/test/java/retrofit2/mock/BehaviorDelegateTest.java")</f>
        <v/>
      </c>
      <c r="D1722" t="inlineStr">
        <is>
          <t>This code appears to be part of a Java library called Retrofit2 Mock, which provides a way to mock HTTP requests and responses. It includes several classes and methods that allow developers to define mocked responses for different types of HTTP requests, such as GET, POST, PUT, DELETE, etc. The code also includes some utility functions for working with threads and asynchronous operations. Over</t>
        </is>
      </c>
      <c r="E1722" t="n">
        <v>0.0034</v>
      </c>
      <c r="F1722" t="n">
        <v>0.0833</v>
      </c>
      <c r="G1722" t="n">
        <v>0.1103</v>
      </c>
      <c r="H1722" t="inlineStr">
        <is>
          <t>This code appears to be part of a Java project that implements various backend software components using Retrofit 2. The code uses the Guava library for functional programming constructs and the JUnit testing framework for unit tests. It also includes comments explaining the purpose of each class and method.
The main entry point of the program seems to be the `MockRetrofit` class,</t>
        </is>
      </c>
      <c r="I1722" t="n">
        <v>0.0042</v>
      </c>
      <c r="J1722" t="n">
        <v>0.1143</v>
      </c>
      <c r="K1722" t="n">
        <v>0.1866</v>
      </c>
      <c r="L1722" t="inlineStr">
        <is>
          <t>The provided code defines a Retrofit mocking library that allows developers to simulate network requests and responses during testing. It provides several features such as request matching based on HTTP method, URL, headers, and body content, response delay, error injection, and support for multiple concurrent requests. The library also includes a JUnit rule called `MockRetrofit` that simplifies the process of setting</t>
        </is>
      </c>
      <c r="M1722" t="n">
        <v>0.003</v>
      </c>
      <c r="N1722" t="n">
        <v>0.029</v>
      </c>
      <c r="O1722" t="n">
        <v>0.0376</v>
      </c>
    </row>
    <row r="1723">
      <c r="A1723" t="inlineStr">
        <is>
          <t>retrofit</t>
        </is>
      </c>
      <c r="B1723" t="inlineStr">
        <is>
          <t>retrofit-adapters/rxjava/src/main/java/retrofit2/adapter/rxjava/HttpException.java</t>
        </is>
      </c>
      <c r="C1723">
        <f>HYPERLINK("https://github.com/square/retrofit/blob/master/retrofit-adapters/rxjava/src/main/java/retrofit2/adapter/rxjava/HttpException.java")</f>
        <v/>
      </c>
      <c r="D1723" t="inlineStr">
        <is>
          <t>The code defines a deprecated class called `HttpException` that inherits from `retrofit2.HttpException`. It takes a `Response&lt;?&gt;` object as its constructor argument and has no additional methods or fields. The purpose of this class is to provide a way to represent HTTP errors in a more convenient format than the standard `Response&lt;?&gt;` object returned by Retrofit's API</t>
        </is>
      </c>
      <c r="E1723" t="n">
        <v>0.0033</v>
      </c>
      <c r="F1723" t="n">
        <v>0.0303</v>
      </c>
      <c r="G1723" t="n">
        <v>0.0781</v>
      </c>
      <c r="H1723" t="inlineStr">
        <is>
          <t>This Java package `retrofit2.adapter.rxjava` contains a deprecated class called `HttpException`. It is a subclass of `retrofit2.HttpException`, which represents an HTTP exception that occurred during the execution of a Retrofit API call. The constructor takes in a `Response` object as its argument, which contains information about the HTTP request and response. The</t>
        </is>
      </c>
      <c r="I1723" t="n">
        <v>0.0043</v>
      </c>
      <c r="J1723" t="n">
        <v>0.0645</v>
      </c>
      <c r="K1723" t="n">
        <v>0.0813</v>
      </c>
      <c r="L1723" t="inlineStr">
        <is>
          <t>The provided code defines a deprecated class called "HttpException" that is used to represent HTTP errors in Retrofit 2.0. It inherits from the "HttpException" class in the parent package and adds additional methods for handling HTTP responses. The class takes a single constructor argument of type "Response", which represents the HTTP response received from the server. The class is marked as deprecated</t>
        </is>
      </c>
      <c r="M1723" t="n">
        <v>0.0029</v>
      </c>
      <c r="N1723" t="n">
        <v>0.0282</v>
      </c>
      <c r="O1723" t="n">
        <v>0.0746</v>
      </c>
    </row>
    <row r="1724">
      <c r="A1724" t="inlineStr">
        <is>
          <t>retrofit</t>
        </is>
      </c>
      <c r="B1724" t="inlineStr">
        <is>
          <t>retrofit-adapters/rxjava/src/main/java/retrofit2/adapter/rxjava/package-info.java</t>
        </is>
      </c>
      <c r="C1724">
        <f>HYPERLINK("https://github.com/square/retrofit/blob/master/retrofit-adapters/rxjava/src/main/java/retrofit2/adapter/rxjava/package-info.java")</f>
        <v/>
      </c>
      <c r="D1724" t="inlineStr">
        <is>
          <t>This is a Java package for implementing RxJava adapters for Retrofit 2. The package contains one class, `RxJavaCallAdapterFactory`, which implements the `CallAdapter.Factory` interface from Retrofit. It provides a way to create RxJava observables from Retrofit calls, allowing for easier integration with reactive programming frameworks like RxJava</t>
        </is>
      </c>
      <c r="E1724" t="n">
        <v>0.0048</v>
      </c>
      <c r="F1724" t="n">
        <v>0.0727</v>
      </c>
      <c r="G1724" t="n">
        <v>0.0847</v>
      </c>
      <c r="H1724" t="inlineStr">
        <is>
          <t>This is a Java package containing Retrofit 2 adapters for RxJava. The package includes annotations used to indicate that all methods in the package are non-nullable, as well as implementations of core algorithms related to networking. The package has been committed once with an initial set of files, and its complexity is estimated at O(N), where N is the number of network</t>
        </is>
      </c>
      <c r="I1724" t="n">
        <v>0.0039</v>
      </c>
      <c r="J1724" t="n">
        <v>0.1111</v>
      </c>
      <c r="K1724" t="n">
        <v>0.1866</v>
      </c>
      <c r="L1724" t="inlineStr">
        <is>
          <t>The provided code is part of a Retrofit library for RxJava integration. It defines a custom annotation called `@EverythingIsNonNull` that is used to indicate that all parameters and return values of a method are non-nullable. This annotation is applied at the class level and indicates that all methods within the annotated class have non-nullable parameters and return values.</t>
        </is>
      </c>
      <c r="M1724" t="n">
        <v>0.0037</v>
      </c>
      <c r="N1724" t="n">
        <v>0.0588</v>
      </c>
      <c r="O1724" t="n">
        <v>0.1154</v>
      </c>
    </row>
    <row r="1725">
      <c r="A1725" t="inlineStr">
        <is>
          <t>retrofit</t>
        </is>
      </c>
      <c r="B1725" t="inlineStr">
        <is>
          <t>retrofit-adapters/rxjava/src/main/java/retrofit2/adapter/rxjava/RxJavaCallAdapterFactory.java</t>
        </is>
      </c>
      <c r="C1725">
        <f>HYPERLINK("https://github.com/square/retrofit/blob/master/retrofit-adapters/rxjava/src/main/java/retrofit2/adapter/rxjava/RxJavaCallAdapterFactory.java")</f>
        <v/>
      </c>
      <c r="D1725" t="inlineStr">
        <is>
          <t>The provided code defines a `CallAdapter` implementation for Retrofit that allows it to handle RxJava Observables as response types. Specifically, it implements the `retrofit2.CallAdapter` interface and provides methods for adapting responses from HTTP requests made using Retrofit's `RequestFactory`.
The main method of interest is `adapt()`, which takes a</t>
        </is>
      </c>
      <c r="E1725" t="n">
        <v>0.0045</v>
      </c>
      <c r="F1725" t="n">
        <v>0.06900000000000001</v>
      </c>
      <c r="G1725" t="n">
        <v>0.125</v>
      </c>
      <c r="H1725" t="inlineStr">
        <is>
          <t>This is a Java package that provides RxJava adapters for Retrofit, which allows developers to easily integrate Retrofit into their RxJava applications. The package includes several classes that implement the CallAdapter interface from Retrofit, which allows them to adapt Retrofit calls to RxJava Observables. These adapters include support for both synchronous and asynchronous calls</t>
        </is>
      </c>
      <c r="I1725" t="n">
        <v>0.004</v>
      </c>
      <c r="J1725" t="n">
        <v>0.0968</v>
      </c>
      <c r="K1725" t="n">
        <v>0.119</v>
      </c>
      <c r="L1725" t="inlineStr">
        <is>
          <t>The provided code defines a Retrofit call adapter that converts RxJava observables into HTTP requests and responses. It implements the CallAdapter interface from the Retrofit library, which allows it to be used as a custom converter for Retrofit's request execution mechanism.
The call adapter takes a Retrofit instance and a method return type as input during initialization, and then</t>
        </is>
      </c>
      <c r="M1725" t="n">
        <v>0.0037</v>
      </c>
      <c r="N1725" t="n">
        <v>0.0588</v>
      </c>
      <c r="O1725" t="n">
        <v>0.1145</v>
      </c>
    </row>
    <row r="1726">
      <c r="A1726" t="inlineStr">
        <is>
          <t>retrofit</t>
        </is>
      </c>
      <c r="B1726" t="inlineStr">
        <is>
          <t>retrofit-adapters/rxjava/src/main/java/retrofit2/adapter/rxjava/CallExecuteOnSubscribe.java</t>
        </is>
      </c>
      <c r="C1726">
        <f>HYPERLINK("https://github.com/square/retrofit/blob/master/retrofit-adapters/rxjava/src/main/java/retrofit2/adapter/rxjava/CallExecuteOnSubscribe.java")</f>
        <v/>
      </c>
      <c r="D1726" t="inlineStr">
        <is>
          <t>This code defines an `OnSubscribe` implementation for RxJava that wraps a Retrofit call object and exposes its response as an Observable stream. The `CallExecuteOnSubscribe` class takes a `Call` instance as input and provides an `OnSubscribe` function that subscribes to it when called. When the subscription happens, the `CallExecuteOnSubscribe</t>
        </is>
      </c>
      <c r="E1726" t="n">
        <v>0.0045</v>
      </c>
      <c r="F1726" t="n">
        <v>0.1071</v>
      </c>
      <c r="G1726" t="n">
        <v>0.1667</v>
      </c>
      <c r="H1726" t="inlineStr">
        <is>
          <t>The `CallExecuteOnSubscribe` class is an implementation of the RxJava `OnSubscribe` interface that wraps around a Retrofit call object and exposes its response as an observable stream. It has one constructor parameter, which takes a `Call&lt;T&gt;` instance representing the underlying HTTP request.
When an observer subscribes to the observable returned by the `Call</t>
        </is>
      </c>
      <c r="I1726" t="n">
        <v>0.0035</v>
      </c>
      <c r="J1726" t="n">
        <v>0.06560000000000001</v>
      </c>
      <c r="K1726" t="n">
        <v>0.0806</v>
      </c>
      <c r="L1726" t="inlineStr">
        <is>
          <t>The `CallExecuteOnSubscribe` class is part of the Retrofit library's RxJava adapter. It provides an implementation of the `OnSubscribe` interface that executes a given call when subscribed to. When executed, it returns a response object containing the result of the call.
The class takes a `Call` instance as input during initialization and stores it in</t>
        </is>
      </c>
      <c r="M1726" t="n">
        <v>0.0034</v>
      </c>
      <c r="N1726" t="n">
        <v>0.0635</v>
      </c>
      <c r="O1726" t="n">
        <v>0.119</v>
      </c>
    </row>
    <row r="1727">
      <c r="A1727" t="inlineStr">
        <is>
          <t>retrofit</t>
        </is>
      </c>
      <c r="B1727" t="inlineStr">
        <is>
          <t>retrofit-adapters/rxjava/src/main/java/retrofit2/adapter/rxjava/RxJavaCallAdapter.java</t>
        </is>
      </c>
      <c r="C1727">
        <f>HYPERLINK("https://github.com/square/retrofit/blob/master/retrofit-adapters/rxjava/src/main/java/retrofit2/adapter/rxjava/RxJavaCallAdapter.java")</f>
        <v/>
      </c>
      <c r="D1727" t="inlineStr">
        <is>
          <t>This is a Java implementation of the `RxJavaCallAdapter` class from the Retrofit library. The class provides a way to convert a Retrofit call into an Observable stream using RxJava. It takes two parameters:
* `responseType`: the type of the response body
* `scheduler`: the scheduler used to run the observable stream
The</t>
        </is>
      </c>
      <c r="E1727" t="n">
        <v>0.0035</v>
      </c>
      <c r="F1727" t="n">
        <v>0.06900000000000001</v>
      </c>
      <c r="G1727" t="n">
        <v>0.121</v>
      </c>
      <c r="H1727" t="inlineStr">
        <is>
          <t>This code defines a `RxJavaCallAdapter` class that adapts Retrofit's `Call` objects to work with RxJava observables. The adapter takes a type parameter `R`, which represents the expected response body type, and returns an observable of type `Object`. The `call()` method of the returned observable emits a single value when the call completes successfully</t>
        </is>
      </c>
      <c r="I1727" t="n">
        <v>0.0041</v>
      </c>
      <c r="J1727" t="n">
        <v>0.0645</v>
      </c>
      <c r="K1727" t="n">
        <v>0.12</v>
      </c>
      <c r="L1727" t="inlineStr">
        <is>
          <t>The provided code defines a `RxJavaCallAdapter` class that adapts Retrofit calls to Observables using RxJava. It takes two parameters upon initialization:
* `responseType`: The type of the call's response data.
* `scheduler`: An optional scheduler used to schedule the execution of the Observable. If null, the current thread will be</t>
        </is>
      </c>
      <c r="M1727" t="n">
        <v>0</v>
      </c>
      <c r="N1727" t="n">
        <v>0</v>
      </c>
      <c r="O1727" t="n">
        <v>0.041</v>
      </c>
    </row>
    <row r="1728">
      <c r="A1728" t="inlineStr">
        <is>
          <t>retrofit</t>
        </is>
      </c>
      <c r="B1728" t="inlineStr">
        <is>
          <t>retrofit-adapters/rxjava/src/main/java/retrofit2/adapter/rxjava/ResultOnSubscribe.java</t>
        </is>
      </c>
      <c r="C1728">
        <f>HYPERLINK("https://github.com/square/retrofit/blob/master/retrofit-adapters/rxjava/src/main/java/retrofit2/adapter/rxjava/ResultOnSubscribe.java")</f>
        <v/>
      </c>
      <c r="D1728" t="inlineStr">
        <is>
          <t>The `ResultOnSubscribe` class implements the `OnSubscribe` interface from RxJava and provides a way to handle errors that occur during the execution of an observable sequence. It takes a `response` parameter of type `retrofit2.Response`, which represents the response returned by the server after making an HTTP request using Retrofit.
The `call()` method</t>
        </is>
      </c>
      <c r="E1728" t="n">
        <v>0.0043</v>
      </c>
      <c r="F1728" t="n">
        <v>0.0667</v>
      </c>
      <c r="G1728" t="n">
        <v>0.122</v>
      </c>
      <c r="H1728" t="inlineStr">
        <is>
          <t>The provided code defines a custom implementation of RxJava's `Result` type, which represents the result of an asynchronous operation that can be observed using RxJava's reactive programming model. The `ResultOnSubscribe` class implements the `OnSubscribe` interface from RxJava, and it provides a way to observe the result of an asynchronous operation as a single value</t>
        </is>
      </c>
      <c r="I1728" t="n">
        <v>0.004</v>
      </c>
      <c r="J1728" t="n">
        <v>0.0625</v>
      </c>
      <c r="K1728" t="n">
        <v>0.119</v>
      </c>
      <c r="L1728" t="inlineStr">
        <is>
          <t>The provided code defines a custom `OnSubscribe` implementation for RxJava that handles HTTP responses from Retrofit. It takes a `Response` object as input and emits the response body as output. The implementation checks if the response was successful and throws an exception if it wasn't, otherwise it returns the response body as a string.</t>
        </is>
      </c>
      <c r="M1728" t="n">
        <v>0.0034</v>
      </c>
      <c r="N1728" t="n">
        <v>0.0635</v>
      </c>
      <c r="O1728" t="n">
        <v>0.0794</v>
      </c>
    </row>
    <row r="1729">
      <c r="A1729" t="inlineStr">
        <is>
          <t>retrofit</t>
        </is>
      </c>
      <c r="B1729" t="inlineStr">
        <is>
          <t>retrofit-adapters/rxjava/src/main/java/retrofit2/adapter/rxjava/BodyOnSubscribe.java</t>
        </is>
      </c>
      <c r="C1729">
        <f>HYPERLINK("https://github.com/square/retrofit/blob/master/retrofit-adapters/rxjava/src/main/java/retrofit2/adapter/rxjava/BodyOnSubscribe.java")</f>
        <v/>
      </c>
      <c r="D1729" t="inlineStr">
        <is>
          <t>The `BodyOnSubscribe` class is an implementation of the RxJava `OnSubscribe` interface that handles the body of a HTTP response from Retrofit. It takes a `Response` object as input and returns an observable sequence of bytes representing the response body.
The class has several methods that handle different scenarios related to handling errors and exceptions during the processing of the response</t>
        </is>
      </c>
      <c r="E1729" t="n">
        <v>0.003</v>
      </c>
      <c r="F1729" t="n">
        <v>0.0588</v>
      </c>
      <c r="G1729" t="n">
        <v>0.07580000000000001</v>
      </c>
      <c r="H1729" t="inlineStr">
        <is>
          <t>This code appears to be part of a Java library called Retrofit 2. It defines a class called `BodyOnSubscribe` that implements the `OnSubscribe` interface from RxJava. The purpose of this class is to handle HTTP responses returned by the Retrofit API.
The class takes a `Response` object as input and returns an observable sequence of bytes</t>
        </is>
      </c>
      <c r="I1729" t="n">
        <v>0.0043</v>
      </c>
      <c r="J1729" t="n">
        <v>0.09379999999999999</v>
      </c>
      <c r="K1729" t="n">
        <v>0.1563</v>
      </c>
      <c r="L1729" t="inlineStr">
        <is>
          <t>The `BodyOnSubscribe` class implements the `OnSubscribe` interface from RxJava and provides a way to convert a Retrofit response body into an observable sequence of bytes. It takes a `Response` object as input and returns an observable that emits the response body as a byte array. If there is any error during the conversion process, the observable will emit an exception</t>
        </is>
      </c>
      <c r="M1729" t="n">
        <v>0.0036</v>
      </c>
      <c r="N1729" t="n">
        <v>0.0588</v>
      </c>
      <c r="O1729" t="n">
        <v>0.07580000000000001</v>
      </c>
    </row>
    <row r="1730">
      <c r="A1730" t="inlineStr">
        <is>
          <t>retrofit</t>
        </is>
      </c>
      <c r="B1730" t="inlineStr">
        <is>
          <t>retrofit-adapters/rxjava/src/main/java/retrofit2/adapter/rxjava/CallArbiter.java</t>
        </is>
      </c>
      <c r="C1730">
        <f>HYPERLINK("https://github.com/square/retrofit/blob/master/retrofit-adapters/rxjava/src/main/java/retrofit2/adapter/rxjava/CallArbiter.java")</f>
        <v/>
      </c>
      <c r="D1730" t="inlineStr">
        <is>
          <t>The provided code appears to be a Java implementation of a Retrofit adapter for RxJava. It defines a class called `RetrofitObservable` that extends the `Observable` interface from the RxJava library. This class provides a way to create observables that can be used to observe the results of HTTP requests made using Retrofit.
The `RetrofitObservable</t>
        </is>
      </c>
      <c r="E1730" t="n">
        <v>0.0034</v>
      </c>
      <c r="F1730" t="n">
        <v>0.0323</v>
      </c>
      <c r="G1730" t="n">
        <v>0.119</v>
      </c>
      <c r="H1730" t="inlineStr">
        <is>
          <t>This code implements an RxJava adapter for Retrofit, which allows for asynchronous HTTP requests using the Reactive Extensions library. The package includes several classes that provide various functionalities related to handling HTTP responses, such as parsing JSON data and handling errors. The code also includes unit tests to ensure the correctness of the implementation.
The main class of interest is `Retrofit</t>
        </is>
      </c>
      <c r="I1730" t="n">
        <v>0.0039</v>
      </c>
      <c r="J1730" t="n">
        <v>0.1159</v>
      </c>
      <c r="K1730" t="n">
        <v>0.1504</v>
      </c>
      <c r="L1730" t="inlineStr">
        <is>
          <t>The provided code defines a class called `RetrofitCallArbiter` that implements the `Producer` interface from RxJava. It appears to be responsible for coordinating the execution of multiple asynchronous requests made using Retrofit's API.
The class has several fields and methods, including:
* A constructor that takes a `Call` object as input and</t>
        </is>
      </c>
      <c r="M1730" t="n">
        <v>0.0043</v>
      </c>
      <c r="N1730" t="n">
        <v>0.0678</v>
      </c>
      <c r="O1730" t="n">
        <v>0.122</v>
      </c>
    </row>
    <row r="1731">
      <c r="A1731" t="inlineStr">
        <is>
          <t>retrofit</t>
        </is>
      </c>
      <c r="B1731" t="inlineStr">
        <is>
          <t>retrofit-adapters/rxjava/src/main/java/retrofit2/adapter/rxjava/Result.java</t>
        </is>
      </c>
      <c r="C1731">
        <f>HYPERLINK("https://github.com/square/retrofit/blob/master/retrofit-adapters/rxjava/src/main/java/retrofit2/adapter/rxjava/Result.java")</f>
        <v/>
      </c>
      <c r="D1731" t="inlineStr">
        <is>
          <t>This code defines a `Result` class that represents the outcome of an HTTP request execution. It has two possible states: success (`Response&lt;T&gt;`), where `T` is the type of response body, and failure (`Throwable`), which represents any exception thrown during the execution of the request.
The `error()` method returns a `Result` object representing a failed execution, given</t>
        </is>
      </c>
      <c r="E1731" t="n">
        <v>0.0039</v>
      </c>
      <c r="F1731" t="n">
        <v>0.0615</v>
      </c>
      <c r="G1731" t="n">
        <v>0.0781</v>
      </c>
      <c r="H1731" t="inlineStr">
        <is>
          <t>This Java package `retrofit2.adapter.rxjava` provides a RxJava implementation of the Retrofit library's HTTP client adapter. It defines a single class called `Result`, which represents the outcome of executing an HTTP request. The class has three fields:
* `response`: An instance of `Response`, which encapsulates the HTTP response.</t>
        </is>
      </c>
      <c r="I1731" t="n">
        <v>0.0039</v>
      </c>
      <c r="J1731" t="n">
        <v>0.0702</v>
      </c>
      <c r="K1731" t="n">
        <v>0.08400000000000001</v>
      </c>
      <c r="L1731" t="inlineStr">
        <is>
          <t>The `Result` class represents the outcome of an HTTP request made using Retrofit's RxJava adapter. It provides methods for checking whether the request was successful, accessing response data, and handling errors.</t>
        </is>
      </c>
      <c r="M1731" t="n">
        <v>0.006</v>
      </c>
      <c r="N1731" t="n">
        <v>0.05</v>
      </c>
      <c r="O1731" t="n">
        <v>0.09710000000000001</v>
      </c>
    </row>
    <row r="1732">
      <c r="A1732" t="inlineStr">
        <is>
          <t>retrofit</t>
        </is>
      </c>
      <c r="B1732" t="inlineStr">
        <is>
          <t>retrofit-adapters/rxjava/src/main/java/retrofit2/adapter/rxjava/CallEnqueueOnSubscribe.java</t>
        </is>
      </c>
      <c r="C1732">
        <f>HYPERLINK("https://github.com/square/retrofit/blob/master/retrofit-adapters/rxjava/src/main/java/retrofit2/adapter/rxjava/CallEnqueueOnSubscribe.java")</f>
        <v/>
      </c>
      <c r="D1732" t="inlineStr">
        <is>
          <t>The `CallEnqueueOnSubscribe` class is an implementation of the RxJava `OnSubscribe` interface that allows subscribing to Retrofit calls as Observables. It takes a `Call` object as input and returns an Observable that emits a `Response` object when the call completes.
The `call()` method of the `OnSubscribe` interface</t>
        </is>
      </c>
      <c r="E1732" t="n">
        <v>0.004</v>
      </c>
      <c r="F1732" t="n">
        <v>0.0741</v>
      </c>
      <c r="G1732" t="n">
        <v>0.0847</v>
      </c>
      <c r="H1732" t="inlineStr">
        <is>
          <t>This is a Java implementation of an RxJava `OnSubscribe` interface that wraps around a Retrofit call object and subscribes to it asynchronously. The `CallEnqueueOnSubscribe` class takes a Retrofit call object as its constructor argument and exposes an `onSubscribe()` method that returns an observable sequence of response objects. When a subscription is</t>
        </is>
      </c>
      <c r="I1732" t="n">
        <v>0.0043</v>
      </c>
      <c r="J1732" t="n">
        <v>0.1017</v>
      </c>
      <c r="K1732" t="n">
        <v>0.122</v>
      </c>
      <c r="L1732" t="inlineStr">
        <is>
          <t>The `CallEnqueueOnSubscribe` class is part of the Retrofit library's RxJava support. It provides an implementation of the `OnSubscribe` interface that allows subscribers to subscribe to a Retrofit call asynchronously using the RxJava API. When a subscriber subscribes to the observable returned by `CallEnqueueOnSubscribe`,</t>
        </is>
      </c>
      <c r="M1732" t="n">
        <v>0</v>
      </c>
      <c r="N1732" t="n">
        <v>0.0385</v>
      </c>
      <c r="O1732" t="n">
        <v>0.08699999999999999</v>
      </c>
    </row>
    <row r="1733">
      <c r="A1733" t="inlineStr">
        <is>
          <t>retrofit</t>
        </is>
      </c>
      <c r="B1733" t="inlineStr">
        <is>
          <t>retrofit-adapters/rxjava/src/test/java/retrofit2/adapter/rxjava/SingleTest.java</t>
        </is>
      </c>
      <c r="C1733">
        <f>HYPERLINK("https://github.com/square/retrofit/blob/master/retrofit-adapters/rxjava/src/test/java/retrofit2/adapter/rxjava/SingleTest.java")</f>
        <v/>
      </c>
      <c r="D1733" t="inlineStr">
        <is>
          <t>The provided code is a Java implementation of a Retrofit adapter for RxJava that allows for asynchronous HTTP requests using the Reactive Extensions library. It includes unit tests to ensure proper functionality.
The main class, `RetrofitAdapter`, provides a method called `create()` which takes a `Retrofit` instance as input and returns an `Observable` object representing the</t>
        </is>
      </c>
      <c r="E1733" t="n">
        <v>0.0033</v>
      </c>
      <c r="F1733" t="n">
        <v>0.09520000000000001</v>
      </c>
      <c r="G1733" t="n">
        <v>0.1181</v>
      </c>
      <c r="H1733" t="inlineStr">
        <is>
          <t>This code implements a Retrofit adapter for RxJava, which allows developers to make asynchronous HTTP requests using RxJava observables. The code is written in Java and uses the OkHttp mock web server library to simulate HTTP responses. It includes unit tests that verify the correctness of the implementation.</t>
        </is>
      </c>
      <c r="I1733" t="n">
        <v>0.005</v>
      </c>
      <c r="J1733" t="n">
        <v>0.1071</v>
      </c>
      <c r="K1733" t="n">
        <v>0.1667</v>
      </c>
      <c r="L1733" t="inlineStr">
        <is>
          <t>The provided code is part of a Java library called Retrofit, which is used for building RESTful APIs. It appears to be a unit test that verifies the correctness of the RxJava adapter implementation for Retrofit.
The test sets up a mock web server using the OkHttp MockWebServer class, configures it to disconnect after each request, and defines</t>
        </is>
      </c>
      <c r="M1733" t="n">
        <v>0.0031</v>
      </c>
      <c r="N1733" t="n">
        <v>0.0606</v>
      </c>
      <c r="O1733" t="n">
        <v>0.1154</v>
      </c>
    </row>
    <row r="1734">
      <c r="A1734" t="inlineStr">
        <is>
          <t>retrofit</t>
        </is>
      </c>
      <c r="B1734" t="inlineStr">
        <is>
          <t>retrofit-adapters/rxjava/src/test/java/retrofit2/adapter/rxjava/RxJavaCallAdapterFactoryTest.java</t>
        </is>
      </c>
      <c r="C1734">
        <f>HYPERLINK("https://github.com/square/retrofit/blob/master/retrofit-adapters/rxjava/src/test/java/retrofit2/adapter/rxjava/RxJavaCallAdapterFactoryTest.java")</f>
        <v/>
      </c>
      <c r="D1734" t="inlineStr">
        <is>
          <t>The provided code defines a `CallAdapter` class that extends the `retrofit2.CallAdapter` interface. It provides a way to adapt Retrofit calls into RxJava observables. The class has several methods, including `adapt()`, which returns an observable from a call, and `responseType()` and `returnType()`, which return the response type and return type of</t>
        </is>
      </c>
      <c r="E1734" t="n">
        <v>0.0037</v>
      </c>
      <c r="F1734" t="n">
        <v>0.0339</v>
      </c>
      <c r="G1734" t="n">
        <v>0.041</v>
      </c>
      <c r="H1734" t="inlineStr">
        <is>
          <t>This code defines a Retrofit call adapter that can handle RxJava Observables as response types. It uses Google Guava's TypeToken class to determine the type of the Observable being returned, and then creates a new Observable instance using the specified factory method. The code also includes unit tests to verify the correctness of the implementation.</t>
        </is>
      </c>
      <c r="I1734" t="n">
        <v>0.004</v>
      </c>
      <c r="J1734" t="n">
        <v>0.0625</v>
      </c>
      <c r="K1734" t="n">
        <v>0.1181</v>
      </c>
      <c r="L1734" t="inlineStr">
        <is>
          <t>The provided code defines a class called `RxJavaCallAdapterFactory` that implements the `CallAdapter.Factory` interface from Retrofit. It provides a factory method for creating RxJava call adapters, which can be used to convert Retrofit calls into RxJava observables.
The class has several methods, including `get`, `responseType`, and</t>
        </is>
      </c>
      <c r="M1734" t="n">
        <v>0.0049</v>
      </c>
      <c r="N1734" t="n">
        <v>0.0741</v>
      </c>
      <c r="O1734" t="n">
        <v>0.1282</v>
      </c>
    </row>
    <row r="1735">
      <c r="A1735" t="inlineStr">
        <is>
          <t>retrofit</t>
        </is>
      </c>
      <c r="B1735" t="inlineStr">
        <is>
          <t>retrofit-adapters/rxjava/src/test/java/retrofit2/adapter/rxjava/ResultTest.java</t>
        </is>
      </c>
      <c r="C1735">
        <f>HYPERLINK("https://github.com/square/retrofit/blob/master/retrofit-adapters/rxjava/src/test/java/retrofit2/adapter/rxjava/ResultTest.java")</f>
        <v/>
      </c>
      <c r="D1735" t="inlineStr">
        <is>
          <t>The `Result` class provides a way to represent the outcome of an API call as a single object. It has two possible states: success and failure. When the API call succeeds, it returns a successful response object along with some data. On the other hand, when the API call fails, it throws an exception.
The `Result` class exposes three methods:</t>
        </is>
      </c>
      <c r="E1735" t="n">
        <v>0.003</v>
      </c>
      <c r="F1735" t="n">
        <v>0.0294</v>
      </c>
      <c r="G1735" t="n">
        <v>0.0379</v>
      </c>
      <c r="H1735" t="inlineStr">
        <is>
          <t>This code appears to be part of a Java library called Retrofit 2, which is used for building RESTful APIs. The `Result` class is a utility class that provides methods for working with API responses. It has one method, `response()`, which takes a `Response` object as input and returns a `Result` object that wraps the response. The `Result` object</t>
        </is>
      </c>
      <c r="I1735" t="n">
        <v>0.0037</v>
      </c>
      <c r="J1735" t="n">
        <v>0.0597</v>
      </c>
      <c r="K1735" t="n">
        <v>0.1145</v>
      </c>
      <c r="L1735" t="inlineStr">
        <is>
          <t>The code defines a `Result` class that represents the outcome of a network request made using Retrofit. It provides methods to create instances from a `Response`, check if the request was successful, and retrieve the data or error message. The test case verifies that the `Result` instance created from a successful response has the expected data value and that the `Result` instance created from a</t>
        </is>
      </c>
      <c r="M1735" t="n">
        <v>0.0028</v>
      </c>
      <c r="N1735" t="n">
        <v>0.0274</v>
      </c>
      <c r="O1735" t="n">
        <v>0.073</v>
      </c>
    </row>
    <row r="1736">
      <c r="A1736" t="inlineStr">
        <is>
          <t>retrofit</t>
        </is>
      </c>
      <c r="B1736" t="inlineStr">
        <is>
          <t>retrofit-adapters/rxjava/src/test/java/retrofit2/adapter/rxjava/RxJavaPluginsResetRule.java</t>
        </is>
      </c>
      <c r="C1736">
        <f>HYPERLINK("https://github.com/square/retrofit/blob/master/retrofit-adapters/rxjava/src/test/java/retrofit2/adapter/rxjava/RxJavaPluginsResetRule.java")</f>
        <v/>
      </c>
      <c r="D1736" t="inlineStr">
        <is>
          <t>The `RxJavaPluginsResetRule` is a JUnit rule that resets RxJava's plugins before and after each test. It does this by implementing the `TestRule` interface and overriding its `apply()` method. This allows it to be used as a custom JUnit rule in tests.
The `apply()` method takes two parameters: `base`,</t>
        </is>
      </c>
      <c r="E1736" t="n">
        <v>0.0045</v>
      </c>
      <c r="F1736" t="n">
        <v>0.1053</v>
      </c>
      <c r="G1736" t="n">
        <v>0.1667</v>
      </c>
      <c r="H1736" t="inlineStr">
        <is>
          <t>This code defines a custom JUnit rule called `RxJavaPluginsResetRule` that resets RxJava's plugins before and after each test. The rule is used to ensure consistent behavior across different tests and environments. It does this by implementing the `TestRule` interface and overriding its `apply()` method to wrap the original statement with calls to `RxJavaPl</t>
        </is>
      </c>
      <c r="I1736" t="n">
        <v>0.0041</v>
      </c>
      <c r="J1736" t="n">
        <v>0.0968</v>
      </c>
      <c r="K1736" t="n">
        <v>0.16</v>
      </c>
      <c r="L1736" t="inlineStr">
        <is>
          <t>The `RxJavaPluginsResetRule` is a JUnit rule that resets RxJava's plugins before and after each test. It is used to ensure that the state of RxJava's plugins is consistent across tests, even if previous tests have modified them. The rule works by using the `Statement` interface from JUnit to wrap around the test method and reset</t>
        </is>
      </c>
      <c r="M1736" t="n">
        <v>0.0033</v>
      </c>
      <c r="N1736" t="n">
        <v>0.0308</v>
      </c>
      <c r="O1736" t="n">
        <v>0.07870000000000001</v>
      </c>
    </row>
    <row r="1737">
      <c r="A1737" t="inlineStr">
        <is>
          <t>retrofit</t>
        </is>
      </c>
      <c r="B1737" t="inlineStr">
        <is>
          <t>retrofit-adapters/rxjava/src/test/java/retrofit2/adapter/rxjava/StringConverterFactory.java</t>
        </is>
      </c>
      <c r="C1737">
        <f>HYPERLINK("https://github.com/square/retrofit/blob/master/retrofit-adapters/rxjava/src/test/java/retrofit2/adapter/rxjava/StringConverterFactory.java")</f>
        <v/>
      </c>
      <c r="D1737" t="inlineStr">
        <is>
          <t>The `StringConverterFactory` class provides a converter for converting between `ResponseBody` objects and `String` objects. It implements the `Converter.Factory` interface from Retrofit, which allows it to be used as part of a larger conversion pipeline.
The `responseBodyConverter` method takes a `Type` object representing the expected return type of the conversion and returns a `</t>
        </is>
      </c>
      <c r="E1737" t="n">
        <v>0.0041</v>
      </c>
      <c r="F1737" t="n">
        <v>0.06560000000000001</v>
      </c>
      <c r="G1737" t="n">
        <v>0.12</v>
      </c>
      <c r="H1737" t="inlineStr">
        <is>
          <t>This code defines a `StringConverterFactory` class that implements the `Converter.Factory` interface from Retrofit 2. The factory creates converters for converting between strings and other types, such as JSON objects. It does so by using the `okhttp3` library's `RequestBody` and `ResponseBody` classes to handle HTTP requests and responses.
The `</t>
        </is>
      </c>
      <c r="I1737" t="n">
        <v>0.0049</v>
      </c>
      <c r="J1737" t="n">
        <v>0.1034</v>
      </c>
      <c r="K1737" t="n">
        <v>0.1653</v>
      </c>
      <c r="L1737" t="inlineStr">
        <is>
          <t>The `StringConverterFactory` class in the Retrofit library provides a converter that can handle converting between strings and HTTP responses and requests. It is used as part of the RxJava adapter for Retrofit.
The class has two methods: `responseBodyConverter`, which converts an HTTP response body into a string, and `requestBodyConverter`, which converts a string into an</t>
        </is>
      </c>
      <c r="M1737" t="n">
        <v>0.0033</v>
      </c>
      <c r="N1737" t="n">
        <v>0.0317</v>
      </c>
      <c r="O1737" t="n">
        <v>0.07870000000000001</v>
      </c>
    </row>
    <row r="1738">
      <c r="A1738" t="inlineStr">
        <is>
          <t>retrofit</t>
        </is>
      </c>
      <c r="B1738" t="inlineStr">
        <is>
          <t>retrofit-adapters/rxjava/src/test/java/retrofit2/adapter/rxjava/CancelDisposeTest.java</t>
        </is>
      </c>
      <c r="C1738">
        <f>HYPERLINK("https://github.com/square/retrofit/blob/master/retrofit-adapters/rxjava/src/test/java/retrofit2/adapter/rxjava/CancelDisposeTest.java")</f>
        <v/>
      </c>
      <c r="D1738" t="inlineStr">
        <is>
          <t>This code appears to be part of a Java project that implements a Retrofit adapter for RxJava. The `retrofit2` package contains classes related to Retrofit, which is a library for making HTTP requests from Android applications. The `retrofit2.adapter.rxjava` package contains adapters for converting Retrofit responses into RxJava observables</t>
        </is>
      </c>
      <c r="E1738" t="n">
        <v>0.0045</v>
      </c>
      <c r="F1738" t="n">
        <v>0.06900000000000001</v>
      </c>
      <c r="G1738" t="n">
        <v>0.125</v>
      </c>
      <c r="H1738" t="inlineStr">
        <is>
          <t>This code appears to be a Java implementation of an RxJava adapter for Retrofit, which allows for asynchronous HTTP requests using the Reactive Extensions framework. The adapter provides methods for creating and executing Retrofit calls asynchronously, and also includes some test cases using JUnit.
The code defines several classes, including `RetrofitAdapter`, `ObservableResponseBodyConverter</t>
        </is>
      </c>
      <c r="I1738" t="n">
        <v>0.0042</v>
      </c>
      <c r="J1738" t="n">
        <v>0.1</v>
      </c>
      <c r="K1738" t="n">
        <v>0.1613</v>
      </c>
      <c r="L1738" t="inlineStr">
        <is>
          <t>The provided code is a Java implementation of a Retrofit adapter that allows RxJava observables to be used as HTTP request bodies. It provides a simple way to send RxJava observables as HTTP requests using the OkHttp library.
The code defines a `RetrofitAdapter` class that extends the `Retrofit.Factory` interface and overrides the `create</t>
        </is>
      </c>
      <c r="M1738" t="n">
        <v>0.0035</v>
      </c>
      <c r="N1738" t="n">
        <v>0.0645</v>
      </c>
      <c r="O1738" t="n">
        <v>0.12</v>
      </c>
    </row>
    <row r="1739">
      <c r="A1739" t="inlineStr">
        <is>
          <t>retrofit</t>
        </is>
      </c>
      <c r="B1739" t="inlineStr">
        <is>
          <t>retrofit-adapters/rxjava/src/test/java/retrofit2/adapter/rxjava/AsyncTest.java</t>
        </is>
      </c>
      <c r="C1739">
        <f>HYPERLINK("https://github.com/square/retrofit/blob/master/retrofit-adapters/rxjava/src/test/java/retrofit2/adapter/rxjava/AsyncTest.java")</f>
        <v/>
      </c>
      <c r="D1739" t="inlineStr">
        <is>
          <t>The provided code appears to be a Java implementation of an RxJava adapter for Retrofit, which allows developers to make HTTP requests using RxJava Observables instead of traditional callbacks. The code includes several classes and methods that provide various functionalities such as error handling, request cancellation, and response parsing.
The `RetrofitAdapter` class is the main entry point</t>
        </is>
      </c>
      <c r="E1739" t="n">
        <v>0.0032</v>
      </c>
      <c r="F1739" t="n">
        <v>0.09229999999999999</v>
      </c>
      <c r="G1739" t="n">
        <v>0.1163</v>
      </c>
      <c r="H1739" t="inlineStr">
        <is>
          <t>This code appears to be part of a Java project that uses Retrofit to make HTTP requests and RxJava to handle asynchronous responses. The code defines several classes and methods related to handling network requests and responses, including an `add` method that adds two integers together. There is also a README file that describes the purpose of the project and provides some general information about the technology used</t>
        </is>
      </c>
      <c r="I1739" t="n">
        <v>0.0032</v>
      </c>
      <c r="J1739" t="n">
        <v>0.0526</v>
      </c>
      <c r="K1739" t="n">
        <v>0.1071</v>
      </c>
      <c r="L1739" t="inlineStr">
        <is>
          <t>The provided code implements an RxJava adapter for Retrofit, which allows for asynchronous HTTP requests using ReactiveX's Observables. It includes various features such as support for multiple concurrent connections, timeouts, and error handling. The code also includes unit tests that demonstrate the correctness of the implementation using JUnit and Mockito.</t>
        </is>
      </c>
      <c r="M1739" t="n">
        <v>0.0044</v>
      </c>
      <c r="N1739" t="n">
        <v>0.0678</v>
      </c>
      <c r="O1739" t="n">
        <v>0.123</v>
      </c>
    </row>
    <row r="1740">
      <c r="A1740" t="inlineStr">
        <is>
          <t>retrofit</t>
        </is>
      </c>
      <c r="B1740" t="inlineStr">
        <is>
          <t>retrofit-adapters/rxjava/src/test/java/retrofit2/adapter/rxjava/ObservableTest.java</t>
        </is>
      </c>
      <c r="C1740">
        <f>HYPERLINK("https://github.com/square/retrofit/blob/master/retrofit-adapters/rxjava/src/test/java/retrofit2/adapter/rxjava/ObservableTest.java")</f>
        <v/>
      </c>
      <c r="D1740" t="inlineStr">
        <is>
          <t>This code appears to be part of a Java project that implements a REST client using Retrofit and RxJava. It defines a test class named `RetrofitAdapterRxJavaTest` that uses JUnit to test the behavior of the `retrofit2.adapter.rxjava` package. The test class sets up a mock web server using OkHttp's MockWeb</t>
        </is>
      </c>
      <c r="E1740" t="n">
        <v>0.0049</v>
      </c>
      <c r="F1740" t="n">
        <v>0.1</v>
      </c>
      <c r="G1740" t="n">
        <v>0.1653</v>
      </c>
      <c r="H1740" t="inlineStr">
        <is>
          <t>This repository contains Java code that implements the Retrofit library's RxJava adapter. The code is licensed under the Apache License 2.0 and includes unit tests using JUnit and Truth from Google Testing Library. It also uses OkHttp Mock Web Server for testing purposes. The code size is approximately 1000 lines of code.
The main functional</t>
        </is>
      </c>
      <c r="I1740" t="n">
        <v>0.0044</v>
      </c>
      <c r="J1740" t="n">
        <v>0.09229999999999999</v>
      </c>
      <c r="K1740" t="n">
        <v>0.1575</v>
      </c>
      <c r="L1740" t="inlineStr">
        <is>
          <t>The provided code is part of the Retrofit library's RxJava adapter, specifically the `RetrofitAdapter` class. It appears to be responsible for adapting a Retrofit service method into an Observable that can be subscribed to in order to receive responses from the server.
The code uses the Guava Truth library to assert that the returned observable emits</t>
        </is>
      </c>
      <c r="M1740" t="n">
        <v>0</v>
      </c>
      <c r="N1740" t="n">
        <v>0</v>
      </c>
      <c r="O1740" t="n">
        <v>0.0391</v>
      </c>
    </row>
    <row r="1741">
      <c r="A1741" t="inlineStr">
        <is>
          <t>retrofit</t>
        </is>
      </c>
      <c r="B1741" t="inlineStr">
        <is>
          <t>retrofit-adapters/rxjava/src/test/java/retrofit2/adapter/rxjava/SingleThrowingTest.java</t>
        </is>
      </c>
      <c r="C1741">
        <f>HYPERLINK("https://github.com/square/retrofit/blob/master/retrofit-adapters/rxjava/src/test/java/retrofit2/adapter/rxjava/SingleThrowingTest.java")</f>
        <v/>
      </c>
      <c r="D1741" t="inlineStr">
        <is>
          <t>This code appears to be part of a Java project that uses Retrofit to make HTTP requests and RxJava to handle asynchronous responses. The code defines a test class named `RetrofitAdapterTest` that tests the behavior of the `retrofit-adapter` library when used with RxJava.
The test class has several methods that set up mock web server endpoints</t>
        </is>
      </c>
      <c r="E1741" t="n">
        <v>0.0039</v>
      </c>
      <c r="F1741" t="n">
        <v>0.0615</v>
      </c>
      <c r="G1741" t="n">
        <v>0.1172</v>
      </c>
      <c r="H1741" t="inlineStr">
        <is>
          <t>This code implements a Retrofit adapter for RxJava that allows users to make HTTP requests using RxJava's observable API. The code includes a number of classes and methods related to mocking web server responses and testing the behavior of the adapter. It also includes a `README` file that provides information about the project and its purpose.</t>
        </is>
      </c>
      <c r="I1741" t="n">
        <v>0.0043</v>
      </c>
      <c r="J1741" t="n">
        <v>0.09229999999999999</v>
      </c>
      <c r="K1741" t="n">
        <v>0.1563</v>
      </c>
      <c r="L1741" t="inlineStr">
        <is>
          <t>The provided code defines a test suite for the Retrofit RxJava adapter using JUnit and Mockito. It includes several tests that verify the correctness of the adapter's behavior when dealing with various HTTP responses, such as success, error, and timeouts. The tests also demonstrate how to use the adapter to make asynchronous requests and handle errors in a reactive manner. Overall</t>
        </is>
      </c>
      <c r="M1741" t="n">
        <v>0.003</v>
      </c>
      <c r="N1741" t="n">
        <v>0.0286</v>
      </c>
      <c r="O1741" t="n">
        <v>0.0752</v>
      </c>
    </row>
    <row r="1742">
      <c r="A1742" t="inlineStr">
        <is>
          <t>retrofit</t>
        </is>
      </c>
      <c r="B1742" t="inlineStr">
        <is>
          <t>retrofit-adapters/rxjava/src/test/java/retrofit2/adapter/rxjava/RecordingSubscriber.java</t>
        </is>
      </c>
      <c r="C1742">
        <f>HYPERLINK("https://github.com/square/retrofit/blob/master/retrofit-adapters/rxjava/src/test/java/retrofit2/adapter/rxjava/RecordingSubscriber.java")</f>
        <v/>
      </c>
      <c r="D1742" t="inlineStr">
        <is>
          <t>This code implements a JUnit rule that allows you to test RxJava observables using Google Truth assertions. It provides several utility methods for creating and manipulating observable sequences, as well as a `test` method that can be used to run tests against these sequences. The code also includes some basic unit tests demonstrating how to use the rule.</t>
        </is>
      </c>
      <c r="E1742" t="n">
        <v>0.0041</v>
      </c>
      <c r="F1742" t="n">
        <v>0.09089999999999999</v>
      </c>
      <c r="G1742" t="n">
        <v>0.1538</v>
      </c>
      <c r="H1742" t="inlineStr">
        <is>
          <t>This code implements a Retrofit adapter for RxJava that allows for asynchronous API calls using RxJava Observables. The code is written in Java and uses various libraries such as Guava, JUnit, and Mockito for testing and mocking purposes. The main class, `retrofit2.adapter.rxjava.RetrofitAdapter`, provides a method called `create</t>
        </is>
      </c>
      <c r="I1742" t="n">
        <v>0.0051</v>
      </c>
      <c r="J1742" t="n">
        <v>0.1034</v>
      </c>
      <c r="K1742" t="n">
        <v>0.1681</v>
      </c>
      <c r="L1742" t="inlineStr">
        <is>
          <t>The provided code defines a class called `RetrofitAdapter` that extends the `RxJavaCallAdapterFactory` class from Retrofit. It overrides the `create` method to return a new instance of `RxJavaCallAdapterFactory` that uses a customized `Scheduler`. The customized scheduler allows the user to specify which thread should be used to execute the</t>
        </is>
      </c>
      <c r="M1742" t="n">
        <v>0</v>
      </c>
      <c r="N1742" t="n">
        <v>0</v>
      </c>
      <c r="O1742" t="n">
        <v>0.0417</v>
      </c>
    </row>
    <row r="1743">
      <c r="A1743" t="inlineStr">
        <is>
          <t>retrofit</t>
        </is>
      </c>
      <c r="B1743" t="inlineStr">
        <is>
          <t>retrofit-adapters/rxjava/src/test/java/retrofit2/adapter/rxjava/CompletableWithSchedulerTest.java</t>
        </is>
      </c>
      <c r="C1743">
        <f>HYPERLINK("https://github.com/square/retrofit/blob/master/retrofit-adapters/rxjava/src/test/java/retrofit2/adapter/rxjava/CompletableWithSchedulerTest.java")</f>
        <v/>
      </c>
      <c r="D1743" t="inlineStr">
        <is>
          <t>This Java code defines a test suite for testing the behavior of a Retrofit adapter that uses RxJava for asynchronous HTTP requests. The test suite includes one test method that sets up a mock web server using OkHttp's `MockWebServer` class, creates a new instance of the Retrofit adapter with a custom scheduler using RxJava's `TestScheduler`,</t>
        </is>
      </c>
      <c r="E1743" t="n">
        <v>0.0033</v>
      </c>
      <c r="F1743" t="n">
        <v>0.0308</v>
      </c>
      <c r="G1743" t="n">
        <v>0.07870000000000001</v>
      </c>
      <c r="H1743" t="inlineStr">
        <is>
          <t>This code defines a test suite for a Retrofit adapter that uses RxJava's `Completable` type to handle HTTP requests. The test suite includes one test method that sets up a mock web server using OkHttp's `MockWebServer`, sends a GET request to the server using the Retrofit client, and verifies that the response status code was successful. The</t>
        </is>
      </c>
      <c r="I1743" t="n">
        <v>0.0038</v>
      </c>
      <c r="J1743" t="n">
        <v>0.0597</v>
      </c>
      <c r="K1743" t="n">
        <v>0.1163</v>
      </c>
      <c r="L1743" t="inlineStr">
        <is>
          <t>The provided code defines a test suite for a Retrofit adapter that uses RxJava. It includes a mock web server and a test scheduler to simulate asynchronous requests. The test verifies that the adapter correctly schedules the execution of the request using the specified scheduler.</t>
        </is>
      </c>
      <c r="M1743" t="n">
        <v>0.0041</v>
      </c>
      <c r="N1743" t="n">
        <v>0.0377</v>
      </c>
      <c r="O1743" t="n">
        <v>0.08550000000000001</v>
      </c>
    </row>
    <row r="1744">
      <c r="A1744" t="inlineStr">
        <is>
          <t>retrofit</t>
        </is>
      </c>
      <c r="B1744" t="inlineStr">
        <is>
          <t>retrofit-adapters/rxjava/src/test/java/retrofit2/adapter/rxjava/SingleWithSchedulerTest.java</t>
        </is>
      </c>
      <c r="C1744">
        <f>HYPERLINK("https://github.com/square/retrofit/blob/master/retrofit-adapters/rxjava/src/test/java/retrofit2/adapter/rxjava/SingleWithSchedulerTest.java")</f>
        <v/>
      </c>
      <c r="D1744" t="inlineStr">
        <is>
          <t>This code defines a test suite for verifying that Retrofit's RxJava adapter works correctly when using a custom scheduler. The test suite includes one test method named `testSingleWithScheduler`, which sets up a mock web server and a Retrofit instance configured to use the RxJava adapter. The test then sends a GET request to the mock web server and checks</t>
        </is>
      </c>
      <c r="E1744" t="n">
        <v>0.0037</v>
      </c>
      <c r="F1744" t="n">
        <v>0.0588</v>
      </c>
      <c r="G1744" t="n">
        <v>0.1145</v>
      </c>
      <c r="H1744" t="inlineStr">
        <is>
          <t>This Java package `retrofit2.adapter.rxjava` contains unit tests for the Retrofit library's RxJava adapter. The test suite includes a single test method named `testSingleWithScheduler()` that verifies the behavior of the `Single` type when used with a custom scheduler. The test creates a mock web server using the OkHttp library, sets</t>
        </is>
      </c>
      <c r="I1744" t="n">
        <v>0.0037</v>
      </c>
      <c r="J1744" t="n">
        <v>0.0333</v>
      </c>
      <c r="K1744" t="n">
        <v>0.08260000000000001</v>
      </c>
      <c r="L1744" t="inlineStr">
        <is>
          <t>The provided code defines a test suite for a Retrofit adapter that uses RxJava. It includes a mock web server, which simulates HTTP requests and responses, and a test scheduler, which schedules tasks for execution. The test verifies that the adapter correctly handles single objects returned from the API using the `Single` type.
The code imports several packages, including</t>
        </is>
      </c>
      <c r="M1744" t="n">
        <v>0.0031</v>
      </c>
      <c r="N1744" t="n">
        <v>0.0299</v>
      </c>
      <c r="O1744" t="n">
        <v>0.07630000000000001</v>
      </c>
    </row>
    <row r="1745">
      <c r="A1745" t="inlineStr">
        <is>
          <t>retrofit</t>
        </is>
      </c>
      <c r="B1745" t="inlineStr">
        <is>
          <t>retrofit-adapters/rxjava/src/test/java/retrofit2/adapter/rxjava/CompletableTest.java</t>
        </is>
      </c>
      <c r="C1745">
        <f>HYPERLINK("https://github.com/square/retrofit/blob/master/retrofit-adapters/rxjava/src/test/java/retrofit2/adapter/rxjava/CompletableTest.java")</f>
        <v/>
      </c>
      <c r="D1745" t="inlineStr">
        <is>
          <t>This code implements a Retrofit adapter for RxJava that allows for asynchronous HTTP requests using the Reactive Extensions library. It includes a MockWebServer class that provides a simple way to test HTTP requests made by the adapter. The code also includes unit tests for the adapter's functionality.</t>
        </is>
      </c>
      <c r="E1745" t="n">
        <v>0.0046</v>
      </c>
      <c r="F1745" t="n">
        <v>0.1071</v>
      </c>
      <c r="G1745" t="n">
        <v>0.1261</v>
      </c>
      <c r="H1745" t="inlineStr">
        <is>
          <t>The provided code is a Java library that provides a set of classes and methods for implementing backend services using Retrofit and RxJava. It includes a MockWebServer class that allows developers to easily test their APIs by mocking HTTP requests and responses. Additionally, it defines a GET annotation that can be used to indicate which HTTP method should be used when making API calls. Overall, this</t>
        </is>
      </c>
      <c r="I1745" t="n">
        <v>0.0028</v>
      </c>
      <c r="J1745" t="n">
        <v>0.0541</v>
      </c>
      <c r="K1745" t="n">
        <v>0.1449</v>
      </c>
      <c r="L1745" t="inlineStr">
        <is>
          <t>The provided code defines a Java class named `RetrofitAdapterRxJava` that provides a wrapper around Retrofit's API calls using RxJava observables. It also includes a unit test suite using JUnit and Mockito to verify the correctness of the implementation.
The class takes a `Retrofit` instance as input and returns an observable that emits</t>
        </is>
      </c>
      <c r="M1745" t="n">
        <v>0.0035</v>
      </c>
      <c r="N1745" t="n">
        <v>0.06560000000000001</v>
      </c>
      <c r="O1745" t="n">
        <v>0.0806</v>
      </c>
    </row>
    <row r="1746">
      <c r="A1746" t="inlineStr">
        <is>
          <t>retrofit</t>
        </is>
      </c>
      <c r="B1746" t="inlineStr">
        <is>
          <t>retrofit-adapters/rxjava/src/test/java/retrofit2/adapter/rxjava/CompletableThrowingTest.java</t>
        </is>
      </c>
      <c r="C1746">
        <f>HYPERLINK("https://github.com/square/retrofit/blob/master/retrofit-adapters/rxjava/src/test/java/retrofit2/adapter/rxjava/CompletableThrowingTest.java")</f>
        <v/>
      </c>
      <c r="D1746" t="inlineStr">
        <is>
          <t>This code appears to be part of a Retrofit library for RxJava integration. It defines a `Service` interface that has a single method annotated with `@GET`. The method returns an observable of type `User`, which represents a user object. The implementation of the service uses OkHttp's mock web server to simulate HTTP requests and responses.
The test class contains several</t>
        </is>
      </c>
      <c r="E1746" t="n">
        <v>0.0036</v>
      </c>
      <c r="F1746" t="n">
        <v>0.08699999999999999</v>
      </c>
      <c r="G1746" t="n">
        <v>0.1515</v>
      </c>
      <c r="H1746" t="inlineStr">
        <is>
          <t>This is a Java package containing the implementation of a Retrofit adapter that integrates RxJava into Retrofit's API. The package includes several classes and interfaces related to the adapters, such as `RxJavaCallAdapterFactory` and `RxJavaObservableBodyConverter`. It also includes a test class named `RxJavaCallAdapterFactoryTest`, which tests</t>
        </is>
      </c>
      <c r="I1746" t="n">
        <v>0.005</v>
      </c>
      <c r="J1746" t="n">
        <v>0.1132</v>
      </c>
      <c r="K1746" t="n">
        <v>0.1293</v>
      </c>
      <c r="L1746" t="inlineStr">
        <is>
          <t>The provided code defines a class that implements the `CallAdapter` interface from Retrofit 2. It provides a custom implementation of the `adapt()` method that creates a new instance of the `Observable` class from RxJava.
The class takes two parameters in its constructor - a `Retrofit` object and a `Class` object representing the type of data that</t>
        </is>
      </c>
      <c r="M1746" t="n">
        <v>0.0039</v>
      </c>
      <c r="N1746" t="n">
        <v>0.0635</v>
      </c>
      <c r="O1746" t="n">
        <v>0.0781</v>
      </c>
    </row>
    <row r="1747">
      <c r="A1747" t="inlineStr">
        <is>
          <t>retrofit</t>
        </is>
      </c>
      <c r="B1747" t="inlineStr">
        <is>
          <t>retrofit-adapters/rxjava/src/test/java/retrofit2/adapter/rxjava/ForwardingSubscriber.java</t>
        </is>
      </c>
      <c r="C1747">
        <f>HYPERLINK("https://github.com/square/retrofit/blob/master/retrofit-adapters/rxjava/src/test/java/retrofit2/adapter/rxjava/ForwardingSubscriber.java")</f>
        <v/>
      </c>
      <c r="D1747" t="inlineStr">
        <is>
          <t>The provided code defines a `ForwardingSubscriber` class that acts as a wrapper around another `Subscriber` instance. It provides a simple way to forward events from one subscriber to another without having to manually handle each event individually.
The `ForwardingSubscriber` class has two constructors, one that takes no arguments and the other that takes a</t>
        </is>
      </c>
      <c r="E1747" t="n">
        <v>0.0034</v>
      </c>
      <c r="F1747" t="n">
        <v>0.0323</v>
      </c>
      <c r="G1747" t="n">
        <v>0.0397</v>
      </c>
      <c r="H1747" t="inlineStr">
        <is>
          <t>This is a Java package named `retrofit2.adapter.rxjava` that provides a set of classes for implementing RxJava adapters for Retrofit 2. The package includes one abstract class called `ForwardingSubscriber`, which acts as a wrapper around another subscriber object and forwards all notifications from the wrapped subscriber to it. The `For</t>
        </is>
      </c>
      <c r="I1747" t="n">
        <v>0.0045</v>
      </c>
      <c r="J1747" t="n">
        <v>0.1017</v>
      </c>
      <c r="K1747" t="n">
        <v>0.124</v>
      </c>
      <c r="L1747" t="inlineStr">
        <is>
          <t>The code defines a generic subscriber called `ForwardingSubscriber` that acts as a wrapper around another subscriber instance called `delegate`. It overrides certain methods from the base `Subscriber` class, such as `onNext`, `onError`, and `onCompleted`, and simply forwards their calls to the corresponding methods of the `delegate` subscriber. This</t>
        </is>
      </c>
      <c r="M1747" t="n">
        <v>0.0045</v>
      </c>
      <c r="N1747" t="n">
        <v>0.0357</v>
      </c>
      <c r="O1747" t="n">
        <v>0.0833</v>
      </c>
    </row>
    <row r="1748">
      <c r="A1748" t="inlineStr">
        <is>
          <t>retrofit</t>
        </is>
      </c>
      <c r="B1748" t="inlineStr">
        <is>
          <t>retrofit-adapters/rxjava/src/test/java/retrofit2/adapter/rxjava/ObservableWithSchedulerTest.java</t>
        </is>
      </c>
      <c r="C1748">
        <f>HYPERLINK("https://github.com/square/retrofit/blob/master/retrofit-adapters/rxjava/src/test/java/retrofit2/adapter/rxjava/ObservableWithSchedulerTest.java")</f>
        <v/>
      </c>
      <c r="D1748" t="inlineStr">
        <is>
          <t>The code defines a test suite for verifying the behavior of the `retrofit2.adapter.rxjava` package when using RxJava Observables as response types. It includes two classes:
* `ObservableWithSchedulerTest`: This class contains tests that verify the scheduling behavior of RxJava Observables when used with Retrofit. It sets up a Mock</t>
        </is>
      </c>
      <c r="E1748" t="n">
        <v>0.0038</v>
      </c>
      <c r="F1748" t="n">
        <v>0.0351</v>
      </c>
      <c r="G1748" t="n">
        <v>0.0833</v>
      </c>
      <c r="H1748" t="inlineStr">
        <is>
          <t>This Java code defines a test suite for verifying the behavior of an observable sequence that is created using the `retrofit2.adapter.rxjava` library. The test suite uses JUnit testing framework and the `okhttp3.mockwebserver.MockWebServer` class from OkHttp library to simulate HTTP requests and responses.
The `ObservableWithSchedulerTest`</t>
        </is>
      </c>
      <c r="I1748" t="n">
        <v>0.005</v>
      </c>
      <c r="J1748" t="n">
        <v>0.07140000000000001</v>
      </c>
      <c r="K1748" t="n">
        <v>0.1293</v>
      </c>
      <c r="L1748" t="inlineStr">
        <is>
          <t>The provided code defines an `ObservableWithScheduler` class that extends the `Observable` class from RxJava library. It adds a new method called `subscribeOn()` which allows subscribing to the observable using a specific scheduler. The class also implements a `get()` method that returns an observable instance.
The test cases in the file demonstrate how to use the `ObservableWith</t>
        </is>
      </c>
      <c r="M1748" t="n">
        <v>0.0033</v>
      </c>
      <c r="N1748" t="n">
        <v>0.0312</v>
      </c>
      <c r="O1748" t="n">
        <v>0.0781</v>
      </c>
    </row>
    <row r="1749">
      <c r="A1749" t="inlineStr">
        <is>
          <t>retrofit</t>
        </is>
      </c>
      <c r="B1749" t="inlineStr">
        <is>
          <t>retrofit-adapters/rxjava/src/test/java/retrofit2/adapter/rxjava/ObservableThrowingTest.java</t>
        </is>
      </c>
      <c r="C1749">
        <f>HYPERLINK("https://github.com/square/retrofit/blob/master/retrofit-adapters/rxjava/src/test/java/retrofit2/adapter/rxjava/ObservableThrowingTest.java")</f>
        <v/>
      </c>
      <c r="D1749" t="inlineStr">
        <is>
          <t>The provided code appears to be a Java implementation of a Retrofit adapter for RxJava. It defines a class called `RetrofitAdapter` that extends the `Observable` class from RxJava and provides a way to convert a Retrofit response into an Observable. The class also includes some test cases using JUnit and Mockito.
The main method of the program</t>
        </is>
      </c>
      <c r="E1749" t="n">
        <v>0.0032</v>
      </c>
      <c r="F1749" t="n">
        <v>0.0615</v>
      </c>
      <c r="G1749" t="n">
        <v>0.1163</v>
      </c>
      <c r="H1749" t="inlineStr">
        <is>
          <t>This code appears to be part of a Java project that uses Retrofit 2.0 library to make HTTP requests and RxJava to handle asynchronous responses. The code defines a class named `RetrofitAdapter` that extends the `BaseAdapter` interface from the `retrofit2.adapter` package. It also imports several other packages such as `okhttp3`, `</t>
        </is>
      </c>
      <c r="I1749" t="n">
        <v>0.0043</v>
      </c>
      <c r="J1749" t="n">
        <v>0.0667</v>
      </c>
      <c r="K1749" t="n">
        <v>0.122</v>
      </c>
      <c r="L1749" t="inlineStr">
        <is>
          <t>The code defines a test suite for the Retrofit RxJava adapter using JUnit. It sets up a MockWebServer to simulate a web server response, and then tests that the adapter correctly handles the response. The test uses the OkHttp MockWebServer library to create a mock HTTP server and send a request to it. The server responds with a predefined MockResponse, which</t>
        </is>
      </c>
      <c r="M1749" t="n">
        <v>0.003</v>
      </c>
      <c r="N1749" t="n">
        <v>0.029</v>
      </c>
      <c r="O1749" t="n">
        <v>0.0752</v>
      </c>
    </row>
    <row r="1750">
      <c r="A1750" t="inlineStr">
        <is>
          <t>retrofit</t>
        </is>
      </c>
      <c r="B1750" t="inlineStr">
        <is>
          <t>retrofit-adapters/rxjava/src/test/java/retrofit2/adapter/rxjava/CompletableThrowingSafeSubscriberTest.java</t>
        </is>
      </c>
      <c r="C1750">
        <f>HYPERLINK("https://github.com/square/retrofit/blob/master/retrofit-adapters/rxjava/src/test/java/retrofit2/adapter/rxjava/CompletableThrowingSafeSubscriberTest.java")</f>
        <v/>
      </c>
      <c r="D1750" t="inlineStr">
        <is>
          <t>This code defines a test suite for verifying the behavior of the `retrofit2.adapter.rxjava` package. It uses JUnit testing framework to write tests that exercise various scenarios involving the Retrofit library's RxJava adapter. The tests verify that the adapter correctly handles HTTP requests and responses, and that it can be used to make asynchronous API calls using Rx</t>
        </is>
      </c>
      <c r="E1750" t="n">
        <v>0.0038</v>
      </c>
      <c r="F1750" t="n">
        <v>0.0588</v>
      </c>
      <c r="G1750" t="n">
        <v>0.1163</v>
      </c>
      <c r="H1750" t="inlineStr">
        <is>
          <t>This is a Java package that provides an implementation of RxJava adapters for Retrofit, which is a popular HTTP client library for Android and Java applications. The package includes a class called `RetrofitAdapter` that implements the `CallAdapter.Factory` interface from Retrofit. It also includes a number of other classes and interfaces related to RxJava, such as</t>
        </is>
      </c>
      <c r="I1750" t="n">
        <v>0.0044</v>
      </c>
      <c r="J1750" t="n">
        <v>0.09379999999999999</v>
      </c>
      <c r="K1750" t="n">
        <v>0.1181</v>
      </c>
      <c r="L1750" t="inlineStr">
        <is>
          <t>The code defines a class called `RetrofitAdapter` that provides an implementation of the RxJava adapter for Retrofit. It takes a Retrofit instance as input and returns an Observable that emits the response from the API call made using Retrofit. The class also includes a method called `create()` that creates a new instance of the adapter given a Retrofit instance</t>
        </is>
      </c>
      <c r="M1750" t="n">
        <v>0.0031</v>
      </c>
      <c r="N1750" t="n">
        <v>0.0597</v>
      </c>
      <c r="O1750" t="n">
        <v>0.1145</v>
      </c>
    </row>
    <row r="1751">
      <c r="A1751" t="inlineStr">
        <is>
          <t>retrofit</t>
        </is>
      </c>
      <c r="B1751" t="inlineStr">
        <is>
          <t>retrofit-adapters/rxjava/src/test/java/retrofit2/adapter/rxjava/ObservableThrowingSafeSubscriberTest.java</t>
        </is>
      </c>
      <c r="C1751">
        <f>HYPERLINK("https://github.com/square/retrofit/blob/master/retrofit-adapters/rxjava/src/test/java/retrofit2/adapter/rxjava/ObservableThrowingSafeSubscriberTest.java")</f>
        <v/>
      </c>
      <c r="D1751" t="inlineStr">
        <is>
          <t>The provided Java code appears to be part of a Retrofit library for RxJava integration. It defines a `RetryingCallAdapterFactory` class that creates a call adapter factory for retrying failed calls using RxJava's `Observable`. The class has several methods, including a constructor, a `create` method, and a `call` method.
The</t>
        </is>
      </c>
      <c r="E1751" t="n">
        <v>0.0037</v>
      </c>
      <c r="F1751" t="n">
        <v>0.0345</v>
      </c>
      <c r="G1751" t="n">
        <v>0.08260000000000001</v>
      </c>
      <c r="H1751" t="inlineStr">
        <is>
          <t>This code implements an RxJava adapter for Retrofit, which allows developers to easily make HTTP requests using the Reactive Extensions (Rx) programming model. The code includes a test suite that demonstrates how to use the adapter to make GET requests to a mock web server. The test suite also shows how to handle errors and disconnections from the server.
The code</t>
        </is>
      </c>
      <c r="I1751" t="n">
        <v>0.0039</v>
      </c>
      <c r="J1751" t="n">
        <v>0.08699999999999999</v>
      </c>
      <c r="K1751" t="n">
        <v>0.1504</v>
      </c>
      <c r="L1751" t="inlineStr">
        <is>
          <t>The provided code defines a test suite for a Retrofit RxJava adapter using JUnit and OkHttp's MockWebServer. It sets up a mock server and configures the adapter to make requests to that server. The test verifies that the adapter correctly handles HTTP responses and converts them into RxJava Observables.
The code uses Google Truth for assertions and</t>
        </is>
      </c>
      <c r="M1751" t="n">
        <v>0.0032</v>
      </c>
      <c r="N1751" t="n">
        <v>0.0303</v>
      </c>
      <c r="O1751" t="n">
        <v>0.0775</v>
      </c>
    </row>
    <row r="1752">
      <c r="A1752" t="inlineStr">
        <is>
          <t>retrofit</t>
        </is>
      </c>
      <c r="B1752" t="inlineStr">
        <is>
          <t>retrofit-adapters/rxjava3/src/main/java/retrofit2/adapter/rxjava3/BodyObservable.java</t>
        </is>
      </c>
      <c r="C1752">
        <f>HYPERLINK("https://github.com/square/retrofit/blob/master/retrofit-adapters/rxjava3/src/main/java/retrofit2/adapter/rxjava3/BodyObservable.java")</f>
        <v/>
      </c>
      <c r="D1752" t="inlineStr">
        <is>
          <t>This code implements an `BodyObservable` class that extends the `Observable` class from RxJava 3. It has one generic type parameter, `T`, which represents the response body type. The class provides a single method called `subscribe()` that takes an `Observer` object as an argument. When the `subscribe()` method is called, it creates a new instance of the `Body</t>
        </is>
      </c>
      <c r="E1752" t="n">
        <v>0.0038</v>
      </c>
      <c r="F1752" t="n">
        <v>0.0615</v>
      </c>
      <c r="G1752" t="n">
        <v>0.0775</v>
      </c>
      <c r="H1752" t="inlineStr">
        <is>
          <t>This code defines a Java class called `BodyObservable` that extends the `Observable` class from RxJava 3 library. It takes a `Response` object as input and emits its body as output. The class has several methods, including a constructor, a method to subscribe to the observable, and a method to unsubscribe from it. Additionally, there are comments explaining the purpose</t>
        </is>
      </c>
      <c r="I1752" t="n">
        <v>0.0037</v>
      </c>
      <c r="J1752" t="n">
        <v>0.0597</v>
      </c>
      <c r="K1752" t="n">
        <v>0.07630000000000001</v>
      </c>
      <c r="L1752" t="inlineStr">
        <is>
          <t>The code defines a custom implementation of RxJava's `Observable` interface called `BodyObservable`, which is used to handle HTTP responses from Retrofit. It takes a response object as input and emits the body of the response as output. The implementation also handles errors and exceptions using RxJava's error handling mechanisms.</t>
        </is>
      </c>
      <c r="M1752" t="n">
        <v>0.0037</v>
      </c>
      <c r="N1752" t="n">
        <v>0.0678</v>
      </c>
      <c r="O1752" t="n">
        <v>0.124</v>
      </c>
    </row>
    <row r="1753">
      <c r="A1753" t="inlineStr">
        <is>
          <t>retrofit</t>
        </is>
      </c>
      <c r="B1753" t="inlineStr">
        <is>
          <t>retrofit-adapters/rxjava3/src/main/java/retrofit2/adapter/rxjava3/HttpException.java</t>
        </is>
      </c>
      <c r="C1753">
        <f>HYPERLINK("https://github.com/square/retrofit/blob/master/retrofit-adapters/rxjava3/src/main/java/retrofit2/adapter/rxjava3/HttpException.java")</f>
        <v/>
      </c>
      <c r="D1753" t="inlineStr">
        <is>
          <t>The `retrofit2.adapter.rxjava3.HttpException` class represents an HTTP exception that occurred during a network request made using Retrofit. It is deprecated in favor of `retrofit2.HttpException`.
The constructor takes a `Response&lt;?&gt;` object as its argument, which contains information about the failed request, such as the status code and any error</t>
        </is>
      </c>
      <c r="E1753" t="n">
        <v>0.0039</v>
      </c>
      <c r="F1753" t="n">
        <v>0.0339</v>
      </c>
      <c r="G1753" t="n">
        <v>0.08400000000000001</v>
      </c>
      <c r="H1753" t="inlineStr">
        <is>
          <t>This code defines a Java class called `HttpException` that inherits from `retrofit2.HttpException`. It has one constructor that takes a single parameter of type `Response&lt;?&gt;` and it also has a deprecated annotation. The class implements the `Serializable` interface.</t>
        </is>
      </c>
      <c r="I1753" t="n">
        <v>0.0066</v>
      </c>
      <c r="J1753" t="n">
        <v>0.08699999999999999</v>
      </c>
      <c r="K1753" t="n">
        <v>0.1376</v>
      </c>
      <c r="L1753" t="inlineStr">
        <is>
          <t>The code defines an extension of the `retrofit2.HttpException` class, which was deprecated in favor of `retrofit2.HttpException`. It adds no new functionality beyond inheriting from the existing class, but provides a more descriptive name for the exception type.</t>
        </is>
      </c>
      <c r="M1753" t="n">
        <v>0.005</v>
      </c>
      <c r="N1753" t="n">
        <v>0.0426</v>
      </c>
      <c r="O1753" t="n">
        <v>0.0459</v>
      </c>
    </row>
    <row r="1754">
      <c r="A1754" t="inlineStr">
        <is>
          <t>retrofit</t>
        </is>
      </c>
      <c r="B1754" t="inlineStr">
        <is>
          <t>retrofit-adapters/rxjava3/src/main/java/retrofit2/adapter/rxjava3/RxJava3CallAdapterFactory.java</t>
        </is>
      </c>
      <c r="C1754">
        <f>HYPERLINK("https://github.com/square/retrofit/blob/master/retrofit-adapters/rxjava3/src/main/java/retrofit2/adapter/rxjava3/RxJava3CallAdapterFactory.java")</f>
        <v/>
      </c>
      <c r="D1754" t="inlineStr">
        <is>
          <t>This code appears to be part of a Retrofit adapter for RxJava 3, which allows developers to use RxJava's reactive programming model with Retrofit's API. The code defines several classes that implement various interfaces from the RxJava library, such as `Completable`, `Flowable`, `Maybe`, `Observable`, and `Single`. These classes</t>
        </is>
      </c>
      <c r="E1754" t="n">
        <v>0.0045</v>
      </c>
      <c r="F1754" t="n">
        <v>0.1034</v>
      </c>
      <c r="G1754" t="n">
        <v>0.1667</v>
      </c>
      <c r="H1754" t="inlineStr">
        <is>
          <t>This code implements various RxJava adapters for Retrofit, which allows developers to use ReactiveX's Observables, Singles, Maybes, Flowables, and Completables as return types for their API endpoints. The code includes annotations and interfaces that define the behavior of these adapters, such as the ability to specify a scheduler for execution and handle errors.</t>
        </is>
      </c>
      <c r="I1754" t="n">
        <v>0.0045</v>
      </c>
      <c r="J1754" t="n">
        <v>0.0968</v>
      </c>
      <c r="K1754" t="n">
        <v>0.16</v>
      </c>
      <c r="L1754" t="inlineStr">
        <is>
          <t>The provided code defines a class named `RetrofitAdapter` that extends the `CallAdapter.Factory` interface from Retrofit library. It provides methods for creating call adapters for various RxJava types such as `Completable`, `Flowable`, `Maybe`, `Observable`, and `Single`. These methods take a `Type` object representing the return type of the method</t>
        </is>
      </c>
      <c r="M1754" t="n">
        <v>0.0038</v>
      </c>
      <c r="N1754" t="n">
        <v>0.0351</v>
      </c>
      <c r="O1754" t="n">
        <v>0.0417</v>
      </c>
    </row>
    <row r="1755">
      <c r="A1755" t="inlineStr">
        <is>
          <t>retrofit</t>
        </is>
      </c>
      <c r="B1755" t="inlineStr">
        <is>
          <t>retrofit-adapters/rxjava3/src/main/java/retrofit2/adapter/rxjava3/package-info.java</t>
        </is>
      </c>
      <c r="C1755">
        <f>HYPERLINK("https://github.com/square/retrofit/blob/master/retrofit-adapters/rxjava3/src/main/java/retrofit2/adapter/rxjava3/package-info.java")</f>
        <v/>
      </c>
      <c r="D1755" t="inlineStr">
        <is>
          <t>This is a Java package for implementing RxJava 3 support in Retrofit 2. The package provides annotations and interfaces for working with RxJava types, as well as a `RetrofitRxJavaCallAdapterFactory` class that can be used to create a call adapter factory for RxJava calls. The package also includes a number of utility classes for working with R</t>
        </is>
      </c>
      <c r="E1755" t="n">
        <v>0.0039</v>
      </c>
      <c r="F1755" t="n">
        <v>0.09379999999999999</v>
      </c>
      <c r="G1755" t="n">
        <v>0.1563</v>
      </c>
      <c r="H1755" t="inlineStr">
        <is>
          <t>This is a Java package containing RxJava 3 adapter classes for Retrofit 2. The package is annotated with @Retrofit2.internal.EverythingIsNonNull to indicate that all methods in this package assume non-null inputs and outputs. It provides implementation of core algorithms for use with Retrofit 2. The complexity of the package is O(N</t>
        </is>
      </c>
      <c r="I1755" t="n">
        <v>0.0048</v>
      </c>
      <c r="J1755" t="n">
        <v>0.0968</v>
      </c>
      <c r="K1755" t="n">
        <v>0.2049</v>
      </c>
      <c r="L1755" t="inlineStr">
        <is>
          <t>The provided code is part of a Retrofit library for RxJava 3 integration. It appears to be responsible for implementing the "adapter" pattern, which allows RxJava 3 observables to work seamlessly with Retrofit's HTTP client. The code defines several classes that implement various interfaces required by the adapter, such as `CallAdapter`, `CallFactory`,</t>
        </is>
      </c>
      <c r="M1755" t="n">
        <v>0</v>
      </c>
      <c r="N1755" t="n">
        <v>0.0328</v>
      </c>
      <c r="O1755" t="n">
        <v>0.0806</v>
      </c>
    </row>
    <row r="1756">
      <c r="A1756" t="inlineStr">
        <is>
          <t>retrofit</t>
        </is>
      </c>
      <c r="B1756" t="inlineStr">
        <is>
          <t>retrofit-adapters/rxjava3/src/main/java/retrofit2/adapter/rxjava3/CallEnqueueObservable.java</t>
        </is>
      </c>
      <c r="C1756">
        <f>HYPERLINK("https://github.com/square/retrofit/blob/master/retrofit-adapters/rxjava3/src/main/java/retrofit2/adapter/rxjava3/CallEnqueueObservable.java")</f>
        <v/>
      </c>
      <c r="D1756" t="inlineStr">
        <is>
          <t>The code defines a class called `RetrofitAdapter` that implements the `retrofit2.adapter.rxjava3` package. It provides a way to convert Retrofit calls into RxJava Observables.
The class has several methods, including `toObservable`, which takes a `Call&lt;T&gt;` object as input and returns an Observable of type `T`.</t>
        </is>
      </c>
      <c r="E1756" t="n">
        <v>0.005</v>
      </c>
      <c r="F1756" t="n">
        <v>0.0727</v>
      </c>
      <c r="G1756" t="n">
        <v>0.0862</v>
      </c>
      <c r="H1756" t="inlineStr">
        <is>
          <t>This is a Java package named `retrofit2.adapter.rxjava3` that provides an implementation of RxJava 3 adapters for Retrofit 2. The package includes classes and interfaces related to handling HTTP requests and responses using Retrofit 2 and RxJava 3.
The main class in this package is `RetrofitAdapter`,</t>
        </is>
      </c>
      <c r="I1756" t="n">
        <v>0.0049</v>
      </c>
      <c r="J1756" t="n">
        <v>0.1091</v>
      </c>
      <c r="K1756" t="n">
        <v>0.1709</v>
      </c>
      <c r="L1756" t="inlineStr">
        <is>
          <t>The provided code defines a Retrofit adapter that converts RxJava Observables into Retrofit Callbacks. It implements the `retrofit2.adapter.rxjava3.RxJava3CallAdapterFactory` interface and provides a method called `responseBodyConverter()` that returns an Observable that emits a single value when the HTTP response body is received. When the Observable</t>
        </is>
      </c>
      <c r="M1756" t="n">
        <v>0.005</v>
      </c>
      <c r="N1756" t="n">
        <v>0.0727</v>
      </c>
      <c r="O1756" t="n">
        <v>0.0862</v>
      </c>
    </row>
    <row r="1757">
      <c r="A1757" t="inlineStr">
        <is>
          <t>retrofit</t>
        </is>
      </c>
      <c r="B1757" t="inlineStr">
        <is>
          <t>retrofit-adapters/rxjava3/src/main/java/retrofit2/adapter/rxjava3/CallExecuteObservable.java</t>
        </is>
      </c>
      <c r="C1757">
        <f>HYPERLINK("https://github.com/square/retrofit/blob/master/retrofit-adapters/rxjava3/src/main/java/retrofit2/adapter/rxjava3/CallExecuteObservable.java")</f>
        <v/>
      </c>
      <c r="D1757" t="inlineStr">
        <is>
          <t>This code appears to be part of a Retrofit library for RxJava 3 integration. It defines a class called `RetrofitCallAdaptor` that adapts a `retrofit2.Call` object into an `io.reactivex.rxjava3.core.Observable`. The class has several methods that handle different aspects of the call, such</t>
        </is>
      </c>
      <c r="E1757" t="n">
        <v>0.0045</v>
      </c>
      <c r="F1757" t="n">
        <v>0.0741</v>
      </c>
      <c r="G1757" t="n">
        <v>0.0885</v>
      </c>
      <c r="H1757" t="inlineStr">
        <is>
          <t>This Java class implements the `retrofit2.adapter.rxjava3` package and provides a way to convert Retrofit calls into RxJava Observables. It defines a single method called `adapt`, which takes a `Call` object as input and returns an Observable that emits a response when the call completes. The implementation of this method uses the `Retro</t>
        </is>
      </c>
      <c r="I1757" t="n">
        <v>0.0046</v>
      </c>
      <c r="J1757" t="n">
        <v>0.0968</v>
      </c>
      <c r="K1757" t="n">
        <v>0.1613</v>
      </c>
      <c r="L1757" t="inlineStr">
        <is>
          <t>The provided code defines a class named `RetrofitCallArbiter` that implements the `Observer` interface from RxJava 3. It is used as a wrapper around Retrofit's `Call` API, allowing it to be used with RxJava's reactive programming model.
The class has several responsibilities, including:
* Creating</t>
        </is>
      </c>
      <c r="M1757" t="n">
        <v>0.0042</v>
      </c>
      <c r="N1757" t="n">
        <v>0.0377</v>
      </c>
      <c r="O1757" t="n">
        <v>0.0862</v>
      </c>
    </row>
    <row r="1758">
      <c r="A1758" t="inlineStr">
        <is>
          <t>retrofit</t>
        </is>
      </c>
      <c r="B1758" t="inlineStr">
        <is>
          <t>retrofit-adapters/rxjava3/src/main/java/retrofit2/adapter/rxjava3/ResultObservable.java</t>
        </is>
      </c>
      <c r="C1758">
        <f>HYPERLINK("https://github.com/square/retrofit/blob/master/retrofit-adapters/rxjava3/src/main/java/retrofit2/adapter/rxjava3/ResultObservable.java")</f>
        <v/>
      </c>
      <c r="D1758" t="inlineStr">
        <is>
          <t>The provided code defines a `ResultObservable` class that extends RxJava's `Observable` class. It has one method, `subscribe`, which takes an observer as input and returns a disposable object. When the observable emits a value, it calls the observer's `onNext` method with the value. If the observable encounters any errors, it calls the observer</t>
        </is>
      </c>
      <c r="E1758" t="n">
        <v>0.0035</v>
      </c>
      <c r="F1758" t="n">
        <v>0.0317</v>
      </c>
      <c r="G1758" t="n">
        <v>0.04</v>
      </c>
      <c r="H1758" t="inlineStr">
        <is>
          <t>This code defines a `ResultObservable` class that extends the `Observable` class from RxJava 3 library. It implements the `Observer` interface and provides a way to observe the result of a network request made using Retrofit 2 library. The `ResultObservable` class has a constructor that takes a `Response` object as its parameter and it exposes a `subscribe()`</t>
        </is>
      </c>
      <c r="I1758" t="n">
        <v>0.0043</v>
      </c>
      <c r="J1758" t="n">
        <v>0.09379999999999999</v>
      </c>
      <c r="K1758" t="n">
        <v>0.1563</v>
      </c>
      <c r="L1758" t="inlineStr">
        <is>
          <t>The provided code defines a `ResultObservable` class that extends the `Observable` interface from RxJava 3. It overrides the `subscribeActual` method to handle responses from Retrofit API calls. When subscribed to, the observable emits a response object containing the deserialized data if the HTTP call was successful, or an error if there was a problem during the</t>
        </is>
      </c>
      <c r="M1758" t="n">
        <v>0</v>
      </c>
      <c r="N1758" t="n">
        <v>0</v>
      </c>
      <c r="O1758" t="n">
        <v>0</v>
      </c>
    </row>
    <row r="1759">
      <c r="A1759" t="inlineStr">
        <is>
          <t>retrofit</t>
        </is>
      </c>
      <c r="B1759" t="inlineStr">
        <is>
          <t>retrofit-adapters/rxjava3/src/main/java/retrofit2/adapter/rxjava3/RxJava3CallAdapter.java</t>
        </is>
      </c>
      <c r="C1759">
        <f>HYPERLINK("https://github.com/square/retrofit/blob/master/retrofit-adapters/rxjava3/src/main/java/retrofit2/adapter/rxjava3/RxJava3CallAdapter.java")</f>
        <v/>
      </c>
      <c r="D1759" t="inlineStr">
        <is>
          <t>This code defines a custom `CallAdapter` implementation called `RxJava3Ca`. It implements the `CallAdapter` interface from Retrofit, which allows it to adapt calls made using the Retrofit library into Observables that can be consumed by RxJava. The adapter uses RxJava's `toObservable()` method to convert the call into an Observable, which</t>
        </is>
      </c>
      <c r="E1759" t="n">
        <v>0.0045</v>
      </c>
      <c r="F1759" t="n">
        <v>0.06900000000000001</v>
      </c>
      <c r="G1759" t="n">
        <v>0.124</v>
      </c>
      <c r="H1759" t="inlineStr">
        <is>
          <t>This code appears to be part of a Java library for implementing Retrofit's HTTP client using RxJava3. The `RxJava3Ca` class provides a Call adapter that allows Retrofit to handle asynchronous responses from the server using RxJava3 Observables. It does so by converting a Retrofit call into an Observable, which can then be subscribed to</t>
        </is>
      </c>
      <c r="I1759" t="n">
        <v>0.0034</v>
      </c>
      <c r="J1759" t="n">
        <v>0.0635</v>
      </c>
      <c r="K1759" t="n">
        <v>0.119</v>
      </c>
      <c r="L1759" t="inlineStr">
        <is>
          <t>The code defines a `RxJava3Ca` class that implements the `CallAdapter` interface from Retrofit. It provides a way to adapt calls made using the `Retrofit` library to work with RxJava 3 observables.
The class has several methods that perform various tasks related to call adapters, such as creating new instances, configuring observ</t>
        </is>
      </c>
      <c r="M1759" t="n">
        <v>0.0036</v>
      </c>
      <c r="N1759" t="n">
        <v>0.0339</v>
      </c>
      <c r="O1759" t="n">
        <v>0.0813</v>
      </c>
    </row>
    <row r="1760">
      <c r="A1760" t="inlineStr">
        <is>
          <t>retrofit</t>
        </is>
      </c>
      <c r="B1760" t="inlineStr">
        <is>
          <t>retrofit-adapters/rxjava3/src/main/java/retrofit2/adapter/rxjava3/Result.java</t>
        </is>
      </c>
      <c r="C1760">
        <f>HYPERLINK("https://github.com/square/retrofit/blob/master/retrofit-adapters/rxjava3/src/main/java/retrofit2/adapter/rxjava3/Result.java")</f>
        <v/>
      </c>
      <c r="D1760" t="inlineStr">
        <is>
          <t>This code defines a `Result` class that represents the outcome of an HTTP request made using Retrofit. It has two fields:
* `response`: A `Response` object containing information about the response, such as its status code and headers.
* `error`: An exception thrown during the execution of the request, if any.
The `error` field is optional</t>
        </is>
      </c>
      <c r="E1760" t="n">
        <v>0.0039</v>
      </c>
      <c r="F1760" t="n">
        <v>0.0645</v>
      </c>
      <c r="G1760" t="n">
        <v>0.1172</v>
      </c>
      <c r="H1760" t="inlineStr">
        <is>
          <t>This code defines a Java class called `Result` that represents the result of executing an HTTP request using Retrofit 2. It has a generic type parameter `T`, which represents the response body type. The class has several methods, including `success()`, `error()`, and `body()`. The `success()` method returns a successful result with a given response body, while the `error()`</t>
        </is>
      </c>
      <c r="I1760" t="n">
        <v>0.0037</v>
      </c>
      <c r="J1760" t="n">
        <v>0.0606</v>
      </c>
      <c r="K1760" t="n">
        <v>0.1154</v>
      </c>
      <c r="L1760" t="inlineStr">
        <is>
          <t>The `Result` class represents the outcome of an HTTP request execution. It encapsulates the response data and any errors that occurred during the request. The class provides methods for checking whether the request was successful and accessing the response data and error details.</t>
        </is>
      </c>
      <c r="M1760" t="n">
        <v>0.0043</v>
      </c>
      <c r="N1760" t="n">
        <v>0.0392</v>
      </c>
      <c r="O1760" t="n">
        <v>0.0435</v>
      </c>
    </row>
    <row r="1761">
      <c r="A1761" t="inlineStr">
        <is>
          <t>retrofit</t>
        </is>
      </c>
      <c r="B1761" t="inlineStr">
        <is>
          <t>retrofit-adapters/rxjava3/src/test/java/retrofit2/adapter/rxjava3/SingleTest.java</t>
        </is>
      </c>
      <c r="C1761">
        <f>HYPERLINK("https://github.com/square/retrofit/blob/master/retrofit-adapters/rxjava3/src/test/java/retrofit2/adapter/rxjava3/SingleTest.java")</f>
        <v/>
      </c>
      <c r="D1761" t="inlineStr">
        <is>
          <t>The provided code appears to be part of a Java project that uses Retrofit 2.9.0 library to make HTTP requests and RxJava 3.0.5 library to handle asynchronous operations. It defines a `RetrofitAdapter` class that extends `BaseUrl`, which provides a base URL for the API endpoints. The class also has a method called `create</t>
        </is>
      </c>
      <c r="E1761" t="n">
        <v>0.0035</v>
      </c>
      <c r="F1761" t="n">
        <v>0.0308</v>
      </c>
      <c r="G1761" t="n">
        <v>0.08</v>
      </c>
      <c r="H1761" t="inlineStr">
        <is>
          <t>This is a Java package named `retrofit2.adapter.rxjava3` that provides an implementation of RxJava 3 support for Retrofit 2. It includes a single class called `RetrofitAdapter`, which serves as a bridge between the Retrofit API and the RxJava 3 reactive programming model. The package also includes unit tests using J</t>
        </is>
      </c>
      <c r="I1761" t="n">
        <v>0.0045</v>
      </c>
      <c r="J1761" t="n">
        <v>0.1017</v>
      </c>
      <c r="K1761" t="n">
        <v>0.1653</v>
      </c>
      <c r="L1761" t="inlineStr">
        <is>
          <t>The provided code defines a Java class that extends `okhttp3.mockwebserver.MockWebServer` and provides utility methods for testing RxJava 3 applications using Retrofit. The class allows developers to create a mock web server that can simulate HTTP requests and responses, making it easier to test their application's network interactions without relying on external services.
The class</t>
        </is>
      </c>
      <c r="M1761" t="n">
        <v>0.0034</v>
      </c>
      <c r="N1761" t="n">
        <v>0.0308</v>
      </c>
      <c r="O1761" t="n">
        <v>0.0794</v>
      </c>
    </row>
    <row r="1762">
      <c r="A1762" t="inlineStr">
        <is>
          <t>retrofit</t>
        </is>
      </c>
      <c r="B1762" t="inlineStr">
        <is>
          <t>retrofit-adapters/rxjava3/src/test/java/retrofit2/adapter/rxjava3/CancelDisposeTestSync.java</t>
        </is>
      </c>
      <c r="C1762">
        <f>HYPERLINK("https://github.com/square/retrofit/blob/master/retrofit-adapters/rxjava3/src/test/java/retrofit2/adapter/rxjava3/CancelDisposeTestSync.java")</f>
        <v/>
      </c>
      <c r="D1762" t="inlineStr">
        <is>
          <t>The provided code defines a test suite for verifying that RxJava3 cancellation behaves correctly when used with Retrofit. It uses JUnit and OkHttp's mock web server to simulate HTTP requests and responses.
The `CancelDisposeTestSync` class defines two methods: `setup()` and `testCancellation()`.
* In `setup()`, it creates</t>
        </is>
      </c>
      <c r="E1762" t="n">
        <v>0.004</v>
      </c>
      <c r="F1762" t="n">
        <v>0.037</v>
      </c>
      <c r="G1762" t="n">
        <v>0.0847</v>
      </c>
      <c r="H1762" t="inlineStr">
        <is>
          <t>This Java package named `retrofit2.adapter.rxjava3` implements RxJava 3 support for Retrofit 2. The package contains one class called `CancelDisposeTestSync`, which has unit tests that verify the behavior of the library when disposing of HTTP requests. The test uses a mock web server to simulate a remote API endpoint and verifies that the</t>
        </is>
      </c>
      <c r="I1762" t="n">
        <v>0.0046</v>
      </c>
      <c r="J1762" t="n">
        <v>0.0968</v>
      </c>
      <c r="K1762" t="n">
        <v>0.1613</v>
      </c>
      <c r="L1762" t="inlineStr">
        <is>
          <t>The provided code defines a test case for a Retrofit adapter that uses RxJava 3. It sets up a mock web server using OkHttp's `MockWebServer` class and creates a Retrofit instance with the adapter set up to use RxJava 3. The test then sends a GET request to the mock web server and verifies that the response is received</t>
        </is>
      </c>
      <c r="M1762" t="n">
        <v>0.0031</v>
      </c>
      <c r="N1762" t="n">
        <v>0.0294</v>
      </c>
      <c r="O1762" t="n">
        <v>0.07630000000000001</v>
      </c>
    </row>
    <row r="1763">
      <c r="A1763" t="inlineStr">
        <is>
          <t>retrofit</t>
        </is>
      </c>
      <c r="B1763" t="inlineStr">
        <is>
          <t>retrofit-adapters/rxjava3/src/test/java/retrofit2/adapter/rxjava3/ResultTest.java</t>
        </is>
      </c>
      <c r="C1763">
        <f>HYPERLINK("https://github.com/square/retrofit/blob/master/retrofit-adapters/rxjava3/src/test/java/retrofit2/adapter/rxjava3/ResultTest.java")</f>
        <v/>
      </c>
      <c r="D1763" t="inlineStr">
        <is>
          <t>The `Result` class provides a way to represent a value that may be present or absent from a computation. It has two possible states: `Success`, which represents a successful outcome with a value, and `Failure`, which represents a failed outcome with an error message.
The `Result` class also provides several methods for working with results, such as `get()`, `isSuccessful</t>
        </is>
      </c>
      <c r="E1763" t="n">
        <v>0.0031</v>
      </c>
      <c r="F1763" t="n">
        <v>0.0299</v>
      </c>
      <c r="G1763" t="n">
        <v>0.07630000000000001</v>
      </c>
      <c r="H1763" t="inlineStr">
        <is>
          <t>The code provides an implementation of the `Result` class in Java, which represents the outcome of an operation that can be successful or unsuccessful. It has a single method called `response()` that takes a `Response` object as input and returns a new `Result` object based on the status code of the response. If the status code is between 200 and 39</t>
        </is>
      </c>
      <c r="I1763" t="n">
        <v>0.003</v>
      </c>
      <c r="J1763" t="n">
        <v>0.058</v>
      </c>
      <c r="K1763" t="n">
        <v>0.0752</v>
      </c>
      <c r="L1763" t="inlineStr">
        <is>
          <t>The provided code defines a `Result` class that represents the outcome of a network request made using Retrofit. It provides methods for creating instances from `Response` objects and for mapping them to different types. The `Result` class also includes a `toString()` method for debugging purposes.</t>
        </is>
      </c>
      <c r="M1763" t="n">
        <v>0.0041</v>
      </c>
      <c r="N1763" t="n">
        <v>0.0377</v>
      </c>
      <c r="O1763" t="n">
        <v>0.08550000000000001</v>
      </c>
    </row>
    <row r="1764">
      <c r="A1764" t="inlineStr">
        <is>
          <t>retrofit</t>
        </is>
      </c>
      <c r="B1764" t="inlineStr">
        <is>
          <t>retrofit-adapters/rxjava3/src/test/java/retrofit2/adapter/rxjava3/RxJava3CallAdapterFactoryTest.java</t>
        </is>
      </c>
      <c r="C1764">
        <f>HYPERLINK("https://github.com/square/retrofit/blob/master/retrofit-adapters/rxjava3/src/test/java/retrofit2/adapter/rxjava3/RxJava3CallAdapterFactoryTest.java")</f>
        <v/>
      </c>
      <c r="D1764" t="inlineStr">
        <is>
          <t>The code implements a Retrofit adapter for RxJava 3 that allows for the conversion of RxJava types into their corresponding Retrofit types. It does so by using reflection to determine the type of the RxJava object and then returning a new instance of the appropriate Retrofit type.
The code also includes some unit tests that demonstrate how to use the adapter and</t>
        </is>
      </c>
      <c r="E1764" t="n">
        <v>0.0035</v>
      </c>
      <c r="F1764" t="n">
        <v>0.0571</v>
      </c>
      <c r="G1764" t="n">
        <v>0.1119</v>
      </c>
      <c r="H1764" t="inlineStr">
        <is>
          <t>This code is a Java implementation of the Retrofit library's RxJava 3 adapter. It provides a way to convert RESTful APIs into reactive streams using RxJava. The code is annotated with comments that explain its purpose and how it works. It also includes unit tests to ensure the correctness of the implementation.
The main class, `Retrofit</t>
        </is>
      </c>
      <c r="I1764" t="n">
        <v>0.0039</v>
      </c>
      <c r="J1764" t="n">
        <v>0.09229999999999999</v>
      </c>
      <c r="K1764" t="n">
        <v>0.1563</v>
      </c>
      <c r="L1764" t="inlineStr">
        <is>
          <t>The code defines a Retrofit adapter that converts RxJava 3 observables into HTTP requests and responses using the Retrofit library. It provides methods for converting various types of RxJava 3 observables, such as Flowable, Maybe, Observable, and Single, into HTTP requests and responses. The adapter also handles errors and exceptions thrown during the conversion process.</t>
        </is>
      </c>
      <c r="M1764" t="n">
        <v>0.0033</v>
      </c>
      <c r="N1764" t="n">
        <v>0.0317</v>
      </c>
      <c r="O1764" t="n">
        <v>0.07870000000000001</v>
      </c>
    </row>
    <row r="1765">
      <c r="A1765" t="inlineStr">
        <is>
          <t>retrofit</t>
        </is>
      </c>
      <c r="B1765" t="inlineStr">
        <is>
          <t>retrofit-adapters/rxjava3/src/test/java/retrofit2/adapter/rxjava3/RecordingObserver.java</t>
        </is>
      </c>
      <c r="C1765">
        <f>HYPERLINK("https://github.com/square/retrofit/blob/master/retrofit-adapters/rxjava3/src/test/java/retrofit2/adapter/rxjava3/RecordingObserver.java")</f>
        <v/>
      </c>
      <c r="D1765" t="inlineStr">
        <is>
          <t>The provided code appears to be part of a Retrofit library for RxJava 3 integration. It defines a class called `RetrofitAdapter` that implements the `Observer` interface from RxJava 3. The class has several methods, including `onSubscribe()`, `onNext()`, `onError()`, and `onComplete()`. These methods handle notifications from the upstream</t>
        </is>
      </c>
      <c r="E1765" t="n">
        <v>0.0046</v>
      </c>
      <c r="F1765" t="n">
        <v>0.0727</v>
      </c>
      <c r="G1765" t="n">
        <v>0.1261</v>
      </c>
      <c r="H1765" t="inlineStr">
        <is>
          <t>This code appears to be part of a Java library that provides RxJava3 support for Retrofit, a popular HTTP client library for Android and other platforms. The library defines several classes and methods related to handling notifications from RxJava3 streams.
The `RetrofitRxJava3CallAdapterFactory` class is responsible for creating instances of `RxJava3Call</t>
        </is>
      </c>
      <c r="I1765" t="n">
        <v>0.0044</v>
      </c>
      <c r="J1765" t="n">
        <v>0.06900000000000001</v>
      </c>
      <c r="K1765" t="n">
        <v>0.123</v>
      </c>
      <c r="L1765" t="inlineStr">
        <is>
          <t>The provided code defines a Retrofit adapter that converts RxJava3 Observables into HTTP requests using the Retrofit library. It implements the Observer interface from RxJava3 and exposes a subscribe method that takes an Observable as input. When the Observable emits a notification, the adapter creates a new HTTP request based on the notification's type and sends it to the</t>
        </is>
      </c>
      <c r="M1765" t="n">
        <v>0.0037</v>
      </c>
      <c r="N1765" t="n">
        <v>0.0588</v>
      </c>
      <c r="O1765" t="n">
        <v>0.1145</v>
      </c>
    </row>
    <row r="1766">
      <c r="A1766" t="inlineStr">
        <is>
          <t>retrofit</t>
        </is>
      </c>
      <c r="B1766" t="inlineStr">
        <is>
          <t>retrofit-adapters/rxjava3/src/test/java/retrofit2/adapter/rxjava3/FlowableThrowingTest.java</t>
        </is>
      </c>
      <c r="C1766">
        <f>HYPERLINK("https://github.com/square/retrofit/blob/master/retrofit-adapters/rxjava3/src/test/java/retrofit2/adapter/rxjava3/FlowableThrowingTest.java")</f>
        <v/>
      </c>
      <c r="D1766" t="inlineStr">
        <is>
          <t>This code appears to be part of a Retrofit library for RxJava 3, which allows developers to make HTTP requests using RxJava Observables. The code defines a `RetrofitAdapter` class that provides a way to convert RxJava Observables into Retrofit calls, allowing developers to easily make HTTP requests from within their RxJava streams.
The</t>
        </is>
      </c>
      <c r="E1766" t="n">
        <v>0.0035</v>
      </c>
      <c r="F1766" t="n">
        <v>0.0328</v>
      </c>
      <c r="G1766" t="n">
        <v>0.08</v>
      </c>
      <c r="H1766" t="inlineStr">
        <is>
          <t>This code appears to be part of a Java project that uses RxJava 3 to handle HTTP requests using Retrofit 2. The code defines a `RetrofitAdapter` class that provides a way to create RxJava 3 Flowables from Retrofit calls. It also includes some test cases that demonstrate how to use the adapter to make HTTP requests and process their responses</t>
        </is>
      </c>
      <c r="I1766" t="n">
        <v>0.0036</v>
      </c>
      <c r="J1766" t="n">
        <v>0.0588</v>
      </c>
      <c r="K1766" t="n">
        <v>0.1136</v>
      </c>
      <c r="L1766" t="inlineStr">
        <is>
          <t>The code defines a Retrofit adapter that integrates RxJava 3 with Retrofit. It provides a way to handle errors and exceptions in RxJava flows when using Retrofit's HTTP client. The adapter uses the `io.reactivex.rxjava3.core.Flowable` class from RxJava 3 to create a reactive stream that</t>
        </is>
      </c>
      <c r="M1766" t="n">
        <v>0.0042</v>
      </c>
      <c r="N1766" t="n">
        <v>0.0351</v>
      </c>
      <c r="O1766" t="n">
        <v>0.0862</v>
      </c>
    </row>
    <row r="1767">
      <c r="A1767" t="inlineStr">
        <is>
          <t>retrofit</t>
        </is>
      </c>
      <c r="B1767" t="inlineStr">
        <is>
          <t>retrofit-adapters/rxjava3/src/test/java/retrofit2/adapter/rxjava3/RecordingSingleObserver.java</t>
        </is>
      </c>
      <c r="C1767">
        <f>HYPERLINK("https://github.com/square/retrofit/blob/master/retrofit-adapters/rxjava3/src/test/java/retrofit2/adapter/rxjava3/RecordingSingleObserver.java")</f>
        <v/>
      </c>
      <c r="D1767" t="inlineStr">
        <is>
          <t>This code appears to be a Java implementation of RxJava's `Single` type, which represents a single value that will eventually be produced. The class defines several methods related to observing the `Single`, including `subscribe()`, `unsubscribe()`, and `isUnsubscribed()`. It also implements the `Observer` interface, which provides callback methods for handling notifications from the `Single</t>
        </is>
      </c>
      <c r="E1767" t="n">
        <v>0.0045</v>
      </c>
      <c r="F1767" t="n">
        <v>0.0968</v>
      </c>
      <c r="G1767" t="n">
        <v>0.12</v>
      </c>
      <c r="H1767" t="inlineStr">
        <is>
          <t>This is a Java package named `retrofit2.adapter.rxjava3` that provides an implementation of RxJava 3 adapters for Retrofit 2. The package includes several classes that implement the Observer interface from RxJava 3, which allows them to receive notifications from the Retrofit API. These classes include `RetrofitSingleObserver`,</t>
        </is>
      </c>
      <c r="I1767" t="n">
        <v>0.0041</v>
      </c>
      <c r="J1767" t="n">
        <v>0.0727</v>
      </c>
      <c r="K1767" t="n">
        <v>0.08550000000000001</v>
      </c>
      <c r="L1767" t="inlineStr">
        <is>
          <t>The provided code defines a class called `RetrofitRxJavaCallAdapterFactory` that extends `CallAdapter.Factory`. It provides a way to adapt Retrofit calls into RxJava 3 Single objects. The class has several methods, including `create`, which creates a new instance of the call adapter factory, and `get`, which returns the appropriate call adapter for a given</t>
        </is>
      </c>
      <c r="M1767" t="n">
        <v>0.0035</v>
      </c>
      <c r="N1767" t="n">
        <v>0.0328</v>
      </c>
      <c r="O1767" t="n">
        <v>0.0403</v>
      </c>
    </row>
    <row r="1768">
      <c r="A1768" t="inlineStr">
        <is>
          <t>rxandroid</t>
        </is>
      </c>
      <c r="B1768" t="inlineStr">
        <is>
          <t>rxandroid/src/main/java/io/reactivex/rxjava3/android/MainThreadDisposable.java</t>
        </is>
      </c>
      <c r="C1768">
        <f>HYPERLINK("https://github.com/ReactiveX/RxAndroid/blob/master/rxandroid/src/main/java/io/reactivex/rxjava3/android/MainThreadDisposable.java")</f>
        <v/>
      </c>
      <c r="D1768" t="inlineStr">
        <is>
          <t>The provided code defines a custom `Disposable` implementation called `MainThreadDisposable`. It overrides the `onDispose()` method to ensure that the dispose action is executed on the Android's main thread using `AndroidSchedulers.mainThread()`. This is useful when working with RxJava and Android, as it allows developers to perform UI updates and other operations</t>
        </is>
      </c>
      <c r="E1768" t="n">
        <v>0.0044</v>
      </c>
      <c r="F1768" t="n">
        <v>0.0667</v>
      </c>
      <c r="G1768" t="n">
        <v>0.1639</v>
      </c>
      <c r="H1768" t="inlineStr">
        <is>
          <t>This code defines a class called `MainThreadDisposable` that extends the `Disposable` interface from RxJava. It provides a way to execute a dispose action on the Android main thread, which is useful when working with asynchronous operations that involve UI updates. The class has a single method, `onDispose()`, which is called when the object is disposed, and it</t>
        </is>
      </c>
      <c r="I1768" t="n">
        <v>0.0038</v>
      </c>
      <c r="J1768" t="n">
        <v>0.0615</v>
      </c>
      <c r="K1768" t="n">
        <v>0.1163</v>
      </c>
      <c r="L1768" t="inlineStr">
        <is>
          <t>The provided code defines a custom implementation of the RxJava Android Scheduler class that schedules actions on the main thread. It uses the Android Looper mechanism to ensure that the dispose method is called on the main thread. The class also includes a utility function to check if the current thread is the main thread before executing the dispose action.</t>
        </is>
      </c>
      <c r="M1768" t="n">
        <v>0</v>
      </c>
      <c r="N1768" t="n">
        <v>0.0588</v>
      </c>
      <c r="O1768" t="n">
        <v>0.07580000000000001</v>
      </c>
    </row>
    <row r="1769">
      <c r="A1769" t="inlineStr">
        <is>
          <t>rxandroid</t>
        </is>
      </c>
      <c r="B1769" t="inlineStr">
        <is>
          <t>rxandroid/src/main/java/io/reactivex/rxjava3/android/schedulers/AndroidSchedulers.java</t>
        </is>
      </c>
      <c r="C1769">
        <f>HYPERLINK("https://github.com/ReactiveX/RxAndroid/blob/master/rxandroid/src/main/java/io/reactivex/rxjava3/android/schedulers/AndroidSchedulers.java")</f>
        <v/>
      </c>
      <c r="D1769" t="inlineStr">
        <is>
          <t>The `AndroidSchedulers` class provides several scheduling options for RxJava operations on Android devices. It includes methods such as `mainThread()`, which returns a scheduler that runs on the main thread of the application, and `from()` which takes a handler and returns a scheduler that uses it to execute tasks. Additionally, there are methods for creating custom schedulers based</t>
        </is>
      </c>
      <c r="E1769" t="n">
        <v>0.0032</v>
      </c>
      <c r="F1769" t="n">
        <v>0.0308</v>
      </c>
      <c r="G1769" t="n">
        <v>0.0775</v>
      </c>
      <c r="H1769" t="inlineStr">
        <is>
          <t>The `AndroidSchedulers` class provides several scheduling mechanisms that can be used to execute tasks on different threads in an Android application. It includes methods such as `mainThread()`, which returns a scheduler that executes actions on the main thread, and `io()` and `computation()` which return schedulers that execute actions on background threads. Additionally, it also includes a</t>
        </is>
      </c>
      <c r="I1769" t="n">
        <v>0.0033</v>
      </c>
      <c r="J1769" t="n">
        <v>0.0312</v>
      </c>
      <c r="K1769" t="n">
        <v>0.0781</v>
      </c>
      <c r="L1769" t="inlineStr">
        <is>
          <t>The provided code defines a set of scheduling utilities for Android applications using RxJava. The `MainHolder` class provides a singleton instance of a `Scheduler` that runs tasks on the main thread's message loop. The `AndroidSchedulers` class exposes several methods for creating instances of this scheduler, as well as other schedulers for background threads and</t>
        </is>
      </c>
      <c r="M1769" t="n">
        <v>0.0034</v>
      </c>
      <c r="N1769" t="n">
        <v>0.0635</v>
      </c>
      <c r="O1769" t="n">
        <v>0.119</v>
      </c>
    </row>
    <row r="1770">
      <c r="A1770" t="inlineStr">
        <is>
          <t>rxandroid</t>
        </is>
      </c>
      <c r="B1770" t="inlineStr">
        <is>
          <t>rxandroid/src/main/java/io/reactivex/rxjava3/android/schedulers/HandlerScheduler.java</t>
        </is>
      </c>
      <c r="C1770">
        <f>HYPERLINK("https://github.com/ReactiveX/RxAndroid/blob/master/rxandroid/src/main/java/io/reactivex/rxjava3/android/schedulers/HandlerScheduler.java")</f>
        <v/>
      </c>
      <c r="D1770" t="inlineStr">
        <is>
          <t>The `HandlerScheduler` class provides a way to schedule actions using Android's `Handler` mechanism. It allows scheduling tasks to be executed on a background thread using the `post()` method, which takes a `Runnable` object as its argument. The `HandlerScheduler` also implements the `Scheduler` interface, which provides a standardized API for scheduling work on</t>
        </is>
      </c>
      <c r="E1770" t="n">
        <v>0.0035</v>
      </c>
      <c r="F1770" t="n">
        <v>0.0328</v>
      </c>
      <c r="G1770" t="n">
        <v>0.0806</v>
      </c>
      <c r="H1770" t="inlineStr">
        <is>
          <t>This code defines a custom `Scheduler` implementation called `HandlerScheduler`. It uses Android's `Handler` class to schedule tasks to run on a background thread. The scheduler can be used to execute RxJava operations that require a non-UI thread, such as network requests or database queries.
The constructor takes a `Handler` instance as its argument, which will</t>
        </is>
      </c>
      <c r="I1770" t="n">
        <v>0.0033</v>
      </c>
      <c r="J1770" t="n">
        <v>0.0615</v>
      </c>
      <c r="K1770" t="n">
        <v>0.1181</v>
      </c>
      <c r="L1770" t="inlineStr">
        <is>
          <t>The `HandlerScheduler` class provides a way to schedule actions using Android's `Handler` mechanism. It implements the `Scheduler` interface from RxJava, which allows it to be used in conjunction with other scheduling mechanisms. The class takes two parameters during construction: `handler`, which is an instance of `Handler`, and `as`, which specifies whether the</t>
        </is>
      </c>
      <c r="M1770" t="n">
        <v>0.0042</v>
      </c>
      <c r="N1770" t="n">
        <v>0.06560000000000001</v>
      </c>
      <c r="O1770" t="n">
        <v>0.121</v>
      </c>
    </row>
    <row r="1771">
      <c r="A1771" t="inlineStr">
        <is>
          <t>rxandroid</t>
        </is>
      </c>
      <c r="B1771" t="inlineStr">
        <is>
          <t>rxandroid/src/main/java/io/reactivex/rxjava3/android/plugins/RxAndroidPlugins.java</t>
        </is>
      </c>
      <c r="C1771">
        <f>HYPERLINK("https://github.com/ReactiveX/RxAndroid/blob/master/rxandroid/src/main/java/io/reactivex/rxjava3/android/plugins/RxAndroidPlugins.java")</f>
        <v/>
      </c>
      <c r="D1771" t="inlineStr">
        <is>
          <t>The `RxAndroidPlugins` class provides utility methods for injecting custom schedulers into various parts of the RxJava library when running on Android. It allows developers to customize how certain tasks are executed, such as initializing the main thread scheduler or handling uncaught exceptions.</t>
        </is>
      </c>
      <c r="E1771" t="n">
        <v>0</v>
      </c>
      <c r="F1771" t="n">
        <v>0</v>
      </c>
      <c r="G1771" t="n">
        <v>0.0439</v>
      </c>
      <c r="H1771" t="inlineStr">
        <is>
          <t>This Java package named `io.reactivex.rxjava3.android.plugins` appears to contain utility classes that allow developers to customize certain aspects of RxJava's behavior when running on Android devices. The package includes several classes and interfaces, including `RxAndroidPlugins`, which provides methods for setting up and managing various plugins that can be used to modify the</t>
        </is>
      </c>
      <c r="I1771" t="n">
        <v>0.0043</v>
      </c>
      <c r="J1771" t="n">
        <v>0.0625</v>
      </c>
      <c r="K1771" t="n">
        <v>0.122</v>
      </c>
      <c r="L1771" t="inlineStr">
        <is>
          <t>The `RxAndroidPlugins` class provides utility methods for injecting custom schedulers into various RxJava operators that run on Android's Main Thread. It allows developers to modify the default scheduling behavior of these operators, which can be useful for testing purposes or when working with legacy APIs that require synchronous execution.</t>
        </is>
      </c>
      <c r="M1771" t="n">
        <v>0</v>
      </c>
      <c r="N1771" t="n">
        <v>0</v>
      </c>
      <c r="O1771" t="n">
        <v>0.0413</v>
      </c>
    </row>
    <row r="1772">
      <c r="A1772" t="inlineStr">
        <is>
          <t>rxandroid</t>
        </is>
      </c>
      <c r="B1772" t="inlineStr">
        <is>
          <t>rxandroid/src/test/java/io/reactivex/rxjava3/android/MainThreadDisposableTest.java</t>
        </is>
      </c>
      <c r="C1772">
        <f>HYPERLINK("https://github.com/ReactiveX/RxAndroid/blob/master/rxandroid/src/test/java/io/reactivex/rxjava3/android/MainThreadDisposableTest.java")</f>
        <v/>
      </c>
      <c r="D1772" t="inlineStr">
        <is>
          <t>This code appears to be part of a Java project that uses RxJava to implement some kind of asynchronous operation. The `Main` class defines a method called `run()` which creates a new instance of `MyClass`, calls its `doSomething()` method, and then waits for it to complete using a `CountDownLatch`.
The `MyClass` class has two</t>
        </is>
      </c>
      <c r="E1772" t="n">
        <v>0.004</v>
      </c>
      <c r="F1772" t="n">
        <v>0.0968</v>
      </c>
      <c r="G1772" t="n">
        <v>0.1587</v>
      </c>
      <c r="H1772" t="inlineStr">
        <is>
          <t>This code appears to be part of a Java project that uses RxJava 3 to implement some kind of backend system. The code imports various classes from the `io.reactivex.rxjava3` package, including `Disposable`, `CountDownLatch`, `AtomicBoolean`, and `AtomicInteger`. It also imports the `org.robolectric</t>
        </is>
      </c>
      <c r="I1772" t="n">
        <v>0.0054</v>
      </c>
      <c r="J1772" t="n">
        <v>0.1154</v>
      </c>
      <c r="K1772" t="n">
        <v>0.177</v>
      </c>
      <c r="L1772" t="inlineStr">
        <is>
          <t>The provided code is part of a Java project that uses RxJava to handle asynchronous tasks. It appears to be a test class that verifies the correctness of the `io.reactivex.rxjava3.android` package's implementation of some core algorithms. The test case creates a mock Android environment using Robolectric, sets up several variables and objects, and then</t>
        </is>
      </c>
      <c r="M1772" t="n">
        <v>0.004</v>
      </c>
      <c r="N1772" t="n">
        <v>0.09089999999999999</v>
      </c>
      <c r="O1772" t="n">
        <v>0.1587</v>
      </c>
    </row>
    <row r="1773">
      <c r="A1773" t="inlineStr">
        <is>
          <t>rxandroid</t>
        </is>
      </c>
      <c r="B1773" t="inlineStr">
        <is>
          <t>rxandroid/src/test/java/io/reactivex/rxjava3/android/schedulers/HandlerSchedulerTest.java</t>
        </is>
      </c>
      <c r="C1773">
        <f>HYPERLINK("https://github.com/ReactiveX/RxAndroid/blob/master/rxandroid/src/test/java/io/reactivex/rxjava3/android/schedulers/HandlerSchedulerTest.java")</f>
        <v/>
      </c>
      <c r="D1773" t="inlineStr">
        <is>
          <t>The provided code defines a custom `AndroidScheduler` class that extends the `Scheduler` interface from RxJava. It provides a way to schedule actions using Android's main thread looper.
The constructor takes no arguments and creates a new instance of `AndroidScheduler`.
The `createWorker()` method returns a new instance of `AndroidScheduler.Worker`,</t>
        </is>
      </c>
      <c r="E1773" t="n">
        <v>0.0038</v>
      </c>
      <c r="F1773" t="n">
        <v>0.0345</v>
      </c>
      <c r="G1773" t="n">
        <v>0.0833</v>
      </c>
      <c r="H1773" t="inlineStr">
        <is>
          <t>This code defines a class called `AndroidSchedulers` that provides scheduling capabilities for Android applications using RxJava. The class has several methods for creating schedulers, including `from`, which creates a scheduler from a looper object, and `mainThread`, which returns a scheduler that runs tasks on the main thread. It also includes a method called `newThread</t>
        </is>
      </c>
      <c r="I1773" t="n">
        <v>0.004</v>
      </c>
      <c r="J1773" t="n">
        <v>0.0645</v>
      </c>
      <c r="K1773" t="n">
        <v>0.119</v>
      </c>
      <c r="L1773" t="inlineStr">
        <is>
          <t>The provided code defines a custom implementation of the Scheduler interface from RxJava 3. It uses Android's Handler class to schedule tasks on the UI thread, allowing for scheduling of work that needs to be executed on the main thread. The code also includes a CountingRunnable class that provides a way to track the number of times a task has been run, as well</t>
        </is>
      </c>
      <c r="M1773" t="n">
        <v>0</v>
      </c>
      <c r="N1773" t="n">
        <v>0.0274</v>
      </c>
      <c r="O1773" t="n">
        <v>0.0735</v>
      </c>
    </row>
    <row r="1774">
      <c r="A1774" t="inlineStr">
        <is>
          <t>rxandroid</t>
        </is>
      </c>
      <c r="B1774" t="inlineStr">
        <is>
          <t>rxandroid/src/test/java/io/reactivex/rxjava3/android/schedulers/AndroidSchedulersTest.java</t>
        </is>
      </c>
      <c r="C1774">
        <f>HYPERLINK("https://github.com/ReactiveX/RxAndroid/blob/master/rxandroid/src/test/java/io/reactivex/rxjava3/android/schedulers/AndroidSchedulersTest.java")</f>
        <v/>
      </c>
      <c r="D1774" t="inlineStr">
        <is>
          <t>This code defines a custom `Scheduler` implementation that uses Android's main thread looper to schedule tasks. It also includes some utility methods for testing purposes. The class is annotated with `@RestrictTo` from the Android Support Library, which means it should only be used within the Android platform.
The `createHandler()` method creates a new handler instance using the current thread</t>
        </is>
      </c>
      <c r="E1774" t="n">
        <v>0.0031</v>
      </c>
      <c r="F1774" t="n">
        <v>0.0588</v>
      </c>
      <c r="G1774" t="n">
        <v>0.1145</v>
      </c>
      <c r="H1774" t="inlineStr">
        <is>
          <t>This code defines a package named `io.reactivex.rxjava3.android.schedulers` that provides various scheduling mechanisms for Android applications using RxJava 3. The package includes several classes and interfaces related to scheduling, such as `HandlerScheduler`, `MainThreadScheduler`, and `NewThreadScheduler`. These schedulers allow developers</t>
        </is>
      </c>
      <c r="I1774" t="n">
        <v>0.0058</v>
      </c>
      <c r="J1774" t="n">
        <v>0.08</v>
      </c>
      <c r="K1774" t="n">
        <v>0.1364</v>
      </c>
      <c r="L1774" t="inlineStr">
        <is>
          <t>The provided code defines a custom implementation of Android's Looper class called EmptyScheduler. It provides a simple way to schedule tasks on a background thread without creating a new thread. The EmptyScheduler uses RxJava's Scheduler API to execute tasks asynchronously. The code also includes unit tests using JUnit and Mockito to verify the correctness of the Em</t>
        </is>
      </c>
      <c r="M1774" t="n">
        <v>0.0032</v>
      </c>
      <c r="N1774" t="n">
        <v>0.0597</v>
      </c>
      <c r="O1774" t="n">
        <v>0.1163</v>
      </c>
    </row>
    <row r="1775">
      <c r="A1775" t="inlineStr">
        <is>
          <t>rxandroid</t>
        </is>
      </c>
      <c r="B1775" t="inlineStr">
        <is>
          <t>rxandroid/src/test/java/io/reactivex/rxjava3/android/plugins/RxAndroidPluginsTest.java</t>
        </is>
      </c>
      <c r="C1775">
        <f>HYPERLINK("https://github.com/ReactiveX/RxAndroid/blob/master/rxandroid/src/test/java/io/reactivex/rxjava3/android/plugins/RxAndroidPluginsTest.java")</f>
        <v/>
      </c>
      <c r="D1775" t="inlineStr">
        <is>
          <t>This code defines a plugin for RxJava that allows it to run on Android devices using Robolectric. The plugin provides an `EmptyScheduler` implementation that can be used instead of the default scheduler when running tests on Android. It also includes some test cases using JUnit and Robolectric.</t>
        </is>
      </c>
      <c r="E1775" t="n">
        <v>0.0046</v>
      </c>
      <c r="F1775" t="n">
        <v>0.1091</v>
      </c>
      <c r="G1775" t="n">
        <v>0.1681</v>
      </c>
      <c r="H1775" t="inlineStr">
        <is>
          <t>This code appears to be part of a Java project that implements various plugins for RxJava, which is a reactive programming library for Java. The code defines a class called `RxAndroidPlugins` that provides a way to configure and manage the behavior of RxJava's schedulers, which are used to schedule tasks asynchronously.
The `RxAndroid</t>
        </is>
      </c>
      <c r="I1775" t="n">
        <v>0.0045</v>
      </c>
      <c r="J1775" t="n">
        <v>0.0968</v>
      </c>
      <c r="K1775" t="n">
        <v>0.16</v>
      </c>
      <c r="L1775" t="inlineStr">
        <is>
          <t>The provided code defines a test suite for the RxJava Android plugins library using Robolectric. It includes three tests that verify the correctness of various features of the library, such as scheduling tasks on the Android UI thread and handling errors correctly. The test cases are written using JUnit and run using the Robolectric test runner. The code also includes comments and annotations that</t>
        </is>
      </c>
      <c r="M1775" t="n">
        <v>0.0028</v>
      </c>
      <c r="N1775" t="n">
        <v>0.0278</v>
      </c>
      <c r="O1775" t="n">
        <v>0.0735</v>
      </c>
    </row>
    <row r="1776">
      <c r="A1776" t="inlineStr">
        <is>
          <t>rxandroid</t>
        </is>
      </c>
      <c r="B1776" t="inlineStr">
        <is>
          <t>rxandroid/src/test/java/io/reactivex/rxjava3/android/plugins/RxAndroidPluginsNoRobolectricTest.java</t>
        </is>
      </c>
      <c r="C1776">
        <f>HYPERLINK("https://github.com/ReactiveX/RxAndroid/blob/master/rxandroid/src/test/java/io/reactivex/rxjava3/android/plugins/RxAndroidPluginsNoRobolectricTest.java")</f>
        <v/>
      </c>
      <c r="D1776" t="inlineStr">
        <is>
          <t>This is a JUnit test for the RxAndroidPlugins class in the io.reactivex.rxjava3.android package. The test sets up and tears down the RxAndroidPlugins before and after each test run using the `@Before` and `@After` annotations. It then tests that the `mainThreadSchedulerHandler` method can be used to replace the default</t>
        </is>
      </c>
      <c r="E1776" t="n">
        <v>0.0045</v>
      </c>
      <c r="F1776" t="n">
        <v>0.0678</v>
      </c>
      <c r="G1776" t="n">
        <v>0.125</v>
      </c>
      <c r="H1776" t="inlineStr">
        <is>
          <t>This is a Java test file that tests the behavior of the `RxAndroidPlugins` class in the `io.reactivex.rxjava3.android.plugins` package. The test file includes three methods: `@Before`, `@After`, and `@Test`.
The `@Before` method sets up the testing environment by resetting the `RxAndroidPlugins`</t>
        </is>
      </c>
      <c r="I1776" t="n">
        <v>0.0055</v>
      </c>
      <c r="J1776" t="n">
        <v>0.0769</v>
      </c>
      <c r="K1776" t="n">
        <v>0.0893</v>
      </c>
      <c r="L1776" t="inlineStr">
        <is>
          <t>The provided code is a JUnit test for the RxAndroidPlugins library. It tests that the main thread scheduler can be replaced using the `RxAndroidPlugins` class. The test sets up and tears down the RxAndroidPlugins before and after each test run, respectively, and verifies that the main thread scheduler has been replaced by an instance of `Empty</t>
        </is>
      </c>
      <c r="M1776" t="n">
        <v>0.0033</v>
      </c>
      <c r="N1776" t="n">
        <v>0.0312</v>
      </c>
      <c r="O1776" t="n">
        <v>0.0781</v>
      </c>
    </row>
    <row r="1777">
      <c r="A1777" t="inlineStr">
        <is>
          <t>rxandroid</t>
        </is>
      </c>
      <c r="B1777" t="inlineStr">
        <is>
          <t>rxandroid/src/test/java/io/reactivex/rxjava3/android/testutil/CountingRunnable.java</t>
        </is>
      </c>
      <c r="C1777">
        <f>HYPERLINK("https://github.com/ReactiveX/RxAndroid/blob/master/rxandroid/src/test/java/io/reactivex/rxjava3/android/testutil/CountingRunnable.java")</f>
        <v/>
      </c>
      <c r="D1777" t="inlineStr">
        <is>
          <t>This code defines a `CountingRunnable` class that extends `AtomicInteger` and implements the `Runnable` interface. The `run()` method simply increments the value stored in the atomic integer using the `getAndIncrement()` method.
The purpose of this class is likely to provide a simple way to track the number of times a particular piece of code has been</t>
        </is>
      </c>
      <c r="E1777" t="n">
        <v>0.0044</v>
      </c>
      <c r="F1777" t="n">
        <v>0.0635</v>
      </c>
      <c r="G1777" t="n">
        <v>0.1575</v>
      </c>
      <c r="H1777" t="inlineStr">
        <is>
          <t>This code defines a custom `Runnable` implementation called `CountingRunnable`. It inherits from `AtomicInteger`, which provides atomic access to its integer value. The `run()` method increments the value of the counter using `getAndIncrement()`. The purpose of this code is likely to provide a way to track the number of times a certain operation has been executed, such</t>
        </is>
      </c>
      <c r="I1777" t="n">
        <v>0.0033</v>
      </c>
      <c r="J1777" t="n">
        <v>0.0625</v>
      </c>
      <c r="K1777" t="n">
        <v>0.1172</v>
      </c>
      <c r="L1777" t="inlineStr">
        <is>
          <t>The provided code defines a custom implementation of `Runnable` called `CountingRunnable`. It inherits from `AtomicInteger`, which provides atomic access to an integer value. When the `run()` method is invoked, it increments the internal counter using `getAndIncrement()`. The resulting count can be accessed through the inherited `intValue()` method.</t>
        </is>
      </c>
      <c r="M1777" t="n">
        <v>0</v>
      </c>
      <c r="N1777" t="n">
        <v>0.0364</v>
      </c>
      <c r="O1777" t="n">
        <v>0.08400000000000001</v>
      </c>
    </row>
    <row r="1778">
      <c r="A1778" t="inlineStr">
        <is>
          <t>rxandroid</t>
        </is>
      </c>
      <c r="B1778" t="inlineStr">
        <is>
          <t>rxandroid/src/test/java/io/reactivex/rxjava3/android/testutil/EmptyScheduler.java</t>
        </is>
      </c>
      <c r="C1778">
        <f>HYPERLINK("https://github.com/ReactiveX/RxAndroid/blob/master/rxandroid/src/test/java/io/reactivex/rxjava3/android/testutil/EmptyScheduler.java")</f>
        <v/>
      </c>
      <c r="D1778" t="inlineStr">
        <is>
          <t>The `EmptyScheduler` class is a custom implementation of the `Scheduler` interface from RxJava. It does not provide any actual scheduling capabilities, but instead throws an exception when its `createWorker()` method is called. This is done to indicate that the scheduler cannot be used for real work.</t>
        </is>
      </c>
      <c r="E1778" t="n">
        <v>0.004</v>
      </c>
      <c r="F1778" t="n">
        <v>0.037</v>
      </c>
      <c r="G1778" t="n">
        <v>0.1271</v>
      </c>
      <c r="H1778" t="inlineStr">
        <is>
          <t>This code defines an empty implementation of the `io.reactivex.rxjava3.core.Scheduler` interface. The `createWorker()` method throws an unsupported operation exception. It appears to be part of a larger project that involves implementing reactive programming concepts using RxJava 3.</t>
        </is>
      </c>
      <c r="I1778" t="n">
        <v>0.0052</v>
      </c>
      <c r="J1778" t="n">
        <v>0.125</v>
      </c>
      <c r="K1778" t="n">
        <v>0.1389</v>
      </c>
      <c r="L1778" t="inlineStr">
        <is>
          <t>The provided code defines a custom implementation of the RxJava `Scheduler` interface called `EmptyScheduler`. It overrides the `createWorker()` method and throws an unsupported operation exception. This means that the scheduler cannot be used to schedule any work, as there is no worker available to handle the tasks.</t>
        </is>
      </c>
      <c r="M1778" t="n">
        <v>0.0046</v>
      </c>
      <c r="N1778" t="n">
        <v>0.0727</v>
      </c>
      <c r="O1778" t="n">
        <v>0.1681</v>
      </c>
    </row>
    <row r="1779">
      <c r="A1779" t="inlineStr">
        <is>
          <t>rxandroid</t>
        </is>
      </c>
      <c r="B1779" t="inlineStr">
        <is>
          <t>sample-app/src/main/java/io/reactivex/rxjava3/android/samples/MainActivity.java</t>
        </is>
      </c>
      <c r="C1779">
        <f>HYPERLINK("https://github.com/ReactiveX/RxAndroid/blob/master/sample-app/src/main/java/io/reactivex/rxjava3/android/samples/MainActivity.java")</f>
        <v/>
      </c>
      <c r="D1779" t="inlineStr">
        <is>
          <t>The provided code appears to be a Java Android application that uses RxJava to perform some kind of background processing. It defines an `Activity` class called `MainActivity`, which has a method called `onCreate()` that sets up the UI and subscribes to an observable sequence using the `subscribeOn()` operator from RxJava. The observable sequence is defined as an anonymous inner class within the `</t>
        </is>
      </c>
      <c r="E1779" t="n">
        <v>0.0029</v>
      </c>
      <c r="F1779" t="n">
        <v>0.0286</v>
      </c>
      <c r="G1779" t="n">
        <v>0.0741</v>
      </c>
      <c r="H1779" t="inlineStr">
        <is>
          <t>This code appears to be part of a Java Android project that implements some sort of backend system. The code defines several classes and methods related to data processing using RxJava observables. It also includes comments explaining the purpose of each class and method.
The main class, `Backend`, seems to handle the initialization and shutdown of the backend system. It creates an instance of `</t>
        </is>
      </c>
      <c r="I1779" t="n">
        <v>0.0037</v>
      </c>
      <c r="J1779" t="n">
        <v>0.0833</v>
      </c>
      <c r="K1779" t="n">
        <v>0.146</v>
      </c>
      <c r="L1779" t="inlineStr">
        <is>
          <t>The provided code is a sample Android application that demonstrates how to use RxJava 3 to perform asynchronous programming. It creates an observable sequence from a button click event and schedules it using `AndroidSchedulers.mainThread()`. When the observable emits an item, it logs a message to the console. The code also includes comments explaining the license header, imports, and package</t>
        </is>
      </c>
      <c r="M1779" t="n">
        <v>0.0031</v>
      </c>
      <c r="N1779" t="n">
        <v>0.0294</v>
      </c>
      <c r="O1779" t="n">
        <v>0.07630000000000001</v>
      </c>
    </row>
    <row r="1780">
      <c r="A1780" t="inlineStr">
        <is>
          <t>sponge</t>
        </is>
      </c>
      <c r="B1780" t="inlineStr">
        <is>
          <t>src/ap/java/org/spongepowered/plugin/processor/ListenerProcessor.java</t>
        </is>
      </c>
      <c r="C1780">
        <f>HYPERLINK("https://github.com/SpongePowered/SpongeAPI/blob/master/src/ap/java/org/spongepowered/plugin/processor/ListenerProcessor.java")</f>
        <v/>
      </c>
      <c r="D1780" t="inlineStr">
        <is>
          <t>The code provides a simple implementation of a function that takes two strings as input and returns their concatenation. It uses the `+` operator to concatenate the two strings and return the result.</t>
        </is>
      </c>
      <c r="E1780" t="n">
        <v>0.0056</v>
      </c>
      <c r="F1780" t="n">
        <v>0.15</v>
      </c>
      <c r="G1780" t="n">
        <v>0.1429</v>
      </c>
      <c r="H1780" t="inlineStr">
        <is>
          <t>This code implements a set of backend software components that perform various tasks related to data processing and analysis. It uses a modular design with separate modules for different functionalities, such as data ingestion, transformation, and visualization. The codebase includes comments explaining the implementation details and the reasoning behind certain decisions. The complexity of the code is O(N), where N represents the number of</t>
        </is>
      </c>
      <c r="I1780" t="n">
        <v>0.004</v>
      </c>
      <c r="J1780" t="n">
        <v>0.137</v>
      </c>
      <c r="K1780" t="n">
        <v>0.2206</v>
      </c>
      <c r="L1780" t="inlineStr">
        <is>
          <t>This file implements the core algorithms for a web application using the SpongeAPI framework. It handles various tasks such as user authentication, data processing, and API endpoint handling. The code is well-documented with comments and has been optimized for performance using techniques like memoization and caching.</t>
        </is>
      </c>
      <c r="M1780" t="n">
        <v>0.0057</v>
      </c>
      <c r="N1780" t="n">
        <v>0.1455</v>
      </c>
      <c r="O1780" t="n">
        <v>0.2119</v>
      </c>
    </row>
    <row r="1781">
      <c r="A1781" t="inlineStr">
        <is>
          <t>sponge</t>
        </is>
      </c>
      <c r="B1781" t="inlineStr">
        <is>
          <t>src/ap/java/org/spongepowered/plugin/processor/ProcessorUtils.java</t>
        </is>
      </c>
      <c r="C1781">
        <f>HYPERLINK("https://github.com/SpongePowered/SpongeAPI/blob/master/src/ap/java/org/spongepowered/plugin/processor/ProcessorUtils.java")</f>
        <v/>
      </c>
      <c r="D1781" t="inlineStr">
        <is>
          <t>This code implements various algorithms for solving problems related to data structures and algorithms. It includes implementations of sorting algorithms such as bubble sort, insertion sort, and selection sort, as well as search algorithms like linear search and binary search. Additionally, it provides a simple implementation of a linked list data structure. The code is written in Java and uses the SpongeAPI library for some of its</t>
        </is>
      </c>
      <c r="E1781" t="n">
        <v>0.0036</v>
      </c>
      <c r="F1781" t="n">
        <v>0.08</v>
      </c>
      <c r="G1781" t="n">
        <v>0.1439</v>
      </c>
      <c r="H1781" t="inlineStr">
        <is>
          <t>This code implements a backend system for a web application, with a complexity of O(N) and comments describing the implementation of core algorithms. It was initially committed and has since been modified.</t>
        </is>
      </c>
      <c r="I1781" t="n">
        <v>0.0083</v>
      </c>
      <c r="J1781" t="n">
        <v>0.1951</v>
      </c>
      <c r="K1781" t="n">
        <v>0.1923</v>
      </c>
      <c r="L1781" t="inlineStr">
        <is>
          <t>This file implements the core algorithms for a web application using the SpongeAPI framework. It is written in Java and has a complexity of O(N), with existing comments providing insight into the implementation. The code size is approximately 1000 lines long. Its primary purpose is to provide a robust and efficient foundation for building scalable web applications.</t>
        </is>
      </c>
      <c r="M1781" t="n">
        <v>0.0045</v>
      </c>
      <c r="N1781" t="n">
        <v>0.1212</v>
      </c>
      <c r="O1781" t="n">
        <v>0.1938</v>
      </c>
    </row>
    <row r="1782">
      <c r="A1782" t="inlineStr">
        <is>
          <t>sponge</t>
        </is>
      </c>
      <c r="B1782" t="inlineStr">
        <is>
          <t>src/ap/java/org/spongepowered/plugin/processor/ListenerParameterAnnotation.java</t>
        </is>
      </c>
      <c r="C1782">
        <f>HYPERLINK("https://github.com/SpongePowered/SpongeAPI/blob/master/src/ap/java/org/spongepowered/plugin/processor/ListenerParameterAnnotation.java")</f>
        <v/>
      </c>
      <c r="D1782" t="inlineStr">
        <is>
          <t>The provided code appears to be a Java implementation of a backend system for a web application. It includes comments explaining the purpose of each class and method, as well as some basic complexity analysis and performance metrics. The code also includes a README file that describes the overall project and its goals. Overall, it seems like the code is well-documented and organized, with a focus on</t>
        </is>
      </c>
      <c r="E1782" t="n">
        <v>0.0027</v>
      </c>
      <c r="F1782" t="n">
        <v>0.0526</v>
      </c>
      <c r="G1782" t="n">
        <v>0.07190000000000001</v>
      </c>
      <c r="H1782" t="inlineStr">
        <is>
          <t>This code implements various backend software components that perform core algorithms. It has a complexity of O(N), with comments describing the implementation details. There have been no commits since the initial codebase was created, but there is a README file containing information about the project's purpose and structure. The total size of the code is approximately 1000 lines.</t>
        </is>
      </c>
      <c r="I1782" t="n">
        <v>0.0047</v>
      </c>
      <c r="J1782" t="n">
        <v>0.1176</v>
      </c>
      <c r="K1782" t="n">
        <v>0.1923</v>
      </c>
      <c r="L1782" t="inlineStr">
        <is>
          <t>This file implements the core algorithms for a web application using the SpongeAPI framework. It provides a high-level overview of the code's functionality and purpose, highlighting its complexity and existing comments.</t>
        </is>
      </c>
      <c r="M1782" t="n">
        <v>0.016</v>
      </c>
      <c r="N1782" t="n">
        <v>0.2439</v>
      </c>
      <c r="O1782" t="n">
        <v>0.2427</v>
      </c>
    </row>
    <row r="1783">
      <c r="A1783" t="inlineStr">
        <is>
          <t>sponge</t>
        </is>
      </c>
      <c r="B1783" t="inlineStr">
        <is>
          <t>src/ap/java/org/spongepowered/plugin/processor/ParameterContext.java</t>
        </is>
      </c>
      <c r="C1783">
        <f>HYPERLINK("https://github.com/SpongePowered/SpongeAPI/blob/master/src/ap/java/org/spongepowered/plugin/processor/ParameterContext.java")</f>
        <v/>
      </c>
      <c r="D1783" t="inlineStr">
        <is>
          <t>This code appears to be a Java implementation of various algorithms for solving problems related to graphs and networks. It includes methods for finding shortest paths, minimum spanning trees, and other graph-related tasks. The code also includes comments explaining the purpose and complexity of each method. Overall, it seems like this code could be useful for implementing graph-based applications in a variety of domains.</t>
        </is>
      </c>
      <c r="E1783" t="n">
        <v>0.0034</v>
      </c>
      <c r="F1783" t="n">
        <v>0.08110000000000001</v>
      </c>
      <c r="G1783" t="n">
        <v>0.1471</v>
      </c>
      <c r="H1783" t="inlineStr">
        <is>
          <t>This code implements a set of backend software components that perform various tasks related to data processing and analysis. The code has been written using the Java programming language and makes use of object-oriented design principles. It includes comments explaining the purpose and implementation of each component, as well as a README file providing additional information about the project's goals and structure. Overall, the code appears</t>
        </is>
      </c>
      <c r="I1783" t="n">
        <v>0.0039</v>
      </c>
      <c r="J1783" t="n">
        <v>0.1053</v>
      </c>
      <c r="K1783" t="n">
        <v>0.1812</v>
      </c>
      <c r="L1783" t="inlineStr">
        <is>
          <t>This file implements the core algorithms for a web application using the SpongeAPI framework. It includes functions for handling user authentication, data storage, and API requests.</t>
        </is>
      </c>
      <c r="M1783" t="n">
        <v>0.0103</v>
      </c>
      <c r="N1783" t="n">
        <v>0.2941</v>
      </c>
      <c r="O1783" t="n">
        <v>0.2551</v>
      </c>
    </row>
    <row r="1784">
      <c r="A1784" t="inlineStr">
        <is>
          <t>sponge</t>
        </is>
      </c>
      <c r="B1784" t="inlineStr">
        <is>
          <t>src/main/java/org/spongepowered/api/ResourceKeyed.java</t>
        </is>
      </c>
      <c r="C1784">
        <f>HYPERLINK("https://github.com/SpongePowered/SpongeAPI/blob/master/src/main/java/org/spongepowered/api/ResourceKeyed.java")</f>
        <v/>
      </c>
      <c r="D1784" t="inlineStr">
        <is>
          <t>The code implements various algorithms for solving complex problems, with a focus on optimizing performance. It is written in Java and uses the SpongeAPI framework for building the application. The code has been designed to be modular and extensible, allowing developers to easily add new features and improve existing ones. The project also includes unit tests and integration tests to ensure that the code functions correctly. Over</t>
        </is>
      </c>
      <c r="E1784" t="n">
        <v>0.0032</v>
      </c>
      <c r="F1784" t="n">
        <v>0.0533</v>
      </c>
      <c r="G1784" t="n">
        <v>0.1079</v>
      </c>
      <c r="H1784" t="inlineStr">
        <is>
          <t>This code implements a web server using Node.js, with the ability to handle HTTP requests and responses. It uses Express.js as its framework for routing and middleware handling. The code also includes some basic error handling and logging features.</t>
        </is>
      </c>
      <c r="I1784" t="n">
        <v>0.0062</v>
      </c>
      <c r="J1784" t="n">
        <v>0.1224</v>
      </c>
      <c r="K1784" t="n">
        <v>0.1802</v>
      </c>
      <c r="L1784" t="inlineStr">
        <is>
          <t>This file implements the core algorithms for a web application using the SpongeAPI framework. It is written in Java and uses the MIT license. The code has a complexity of O(N) and includes existing comments that provide implementation details. The code was initially committed as part of a larger repository containing backend software components. The primary purpose of the code is to perform various operations related to user</t>
        </is>
      </c>
      <c r="M1784" t="n">
        <v>0.004</v>
      </c>
      <c r="N1784" t="n">
        <v>0.1039</v>
      </c>
      <c r="O1784" t="n">
        <v>0.2143</v>
      </c>
    </row>
    <row r="1785">
      <c r="A1785" t="inlineStr">
        <is>
          <t>sponge</t>
        </is>
      </c>
      <c r="B1785" t="inlineStr">
        <is>
          <t>src/main/java/org/spongepowered/api/SystemSubject.java</t>
        </is>
      </c>
      <c r="C1785">
        <f>HYPERLINK("https://github.com/SpongePowered/SpongeAPI/blob/master/src/main/java/org/spongepowered/api/SystemSubject.java")</f>
        <v/>
      </c>
      <c r="D1785" t="inlineStr">
        <is>
          <t>This code implements various algorithms for processing data. It appears to be written in Java and uses the SpongeAPI library, which is used for implementing plugins for Minecraft servers. The code includes comments that explain the purpose of each algorithm and provides information about the complexity and size of the code. There have been several commits made to the codebase since its initial creation, with the most recent one</t>
        </is>
      </c>
      <c r="E1785" t="n">
        <v>0.0035</v>
      </c>
      <c r="F1785" t="n">
        <v>0.0779</v>
      </c>
      <c r="G1785" t="n">
        <v>0.1418</v>
      </c>
      <c r="H1785" t="inlineStr">
        <is>
          <t>This code is a set of backend software components that implement various algorithms for processing data. It uses the MIT License, which allows for free use and modification of the code as long as the original copyright notice and license terms are included. The code has been committed once with a total size of 1000 lines. The complexity of the code is O(N), indicating that it</t>
        </is>
      </c>
      <c r="I1785" t="n">
        <v>0.0036</v>
      </c>
      <c r="J1785" t="n">
        <v>0.1067</v>
      </c>
      <c r="K1785" t="n">
        <v>0.1812</v>
      </c>
      <c r="L1785" t="inlineStr">
        <is>
          <t>This file implements the core algorithms for a web application using the SpongeAPI framework. It includes functions for handling user authentication, data storage, and other essential features.</t>
        </is>
      </c>
      <c r="M1785" t="n">
        <v>0.009900000000000001</v>
      </c>
      <c r="N1785" t="n">
        <v>0.2857</v>
      </c>
      <c r="O1785" t="n">
        <v>0.2525</v>
      </c>
    </row>
    <row r="1786">
      <c r="A1786" t="inlineStr">
        <is>
          <t>sponge</t>
        </is>
      </c>
      <c r="B1786" t="inlineStr">
        <is>
          <t>src/main/java/org/spongepowered/api/ResourceKey.java</t>
        </is>
      </c>
      <c r="C1786">
        <f>HYPERLINK("https://github.com/SpongePowered/SpongeAPI/blob/master/src/main/java/org/spongepowered/api/ResourceKey.java")</f>
        <v/>
      </c>
      <c r="D1786" t="inlineStr">
        <is>
          <t>This code appears to be a Java implementation of various algorithms for solving problems related to graphs. It includes functions for finding shortest paths, minimum spanning trees, and other graph-related tasks. The code also includes tests for each function to ensure correctness and performance. Overall, it seems like this code is a solid foundation for building more complex graph-based systems.</t>
        </is>
      </c>
      <c r="E1786" t="n">
        <v>0.0036</v>
      </c>
      <c r="F1786" t="n">
        <v>0.1143</v>
      </c>
      <c r="G1786" t="n">
        <v>0.1515</v>
      </c>
      <c r="H1786" t="inlineStr">
        <is>
          <t>This code implements various backend software components for a web application. It includes a number of different functionalities, such as user authentication, data storage, and API endpoints. The code is written in Java and uses Spring Boot as its framework. The README provides information about the project's purpose, complexity, comments, commits, and code size. Overall, it appears that this code</t>
        </is>
      </c>
      <c r="I1786" t="n">
        <v>0.0043</v>
      </c>
      <c r="J1786" t="n">
        <v>0.1159</v>
      </c>
      <c r="K1786" t="n">
        <v>0.1894</v>
      </c>
      <c r="L1786" t="inlineStr">
        <is>
          <t>This file implements the core algorithms for a web application using the SpongeAPI framework. It is written in Java and uses the MIT license. The code has been optimized for performance and is well-documented with comments that explain the implementation details. The code size is approximately 1000 lines long.</t>
        </is>
      </c>
      <c r="M1786" t="n">
        <v>0.0053</v>
      </c>
      <c r="N1786" t="n">
        <v>0.1379</v>
      </c>
      <c r="O1786" t="n">
        <v>0.2066</v>
      </c>
    </row>
    <row r="1787">
      <c r="A1787" t="inlineStr">
        <is>
          <t>sponge</t>
        </is>
      </c>
      <c r="B1787" t="inlineStr">
        <is>
          <t>src/main/java/org/spongepowered/api/Game.java</t>
        </is>
      </c>
      <c r="C1787">
        <f>HYPERLINK("https://github.com/SpongePowered/SpongeAPI/blob/master/src/main/java/org/spongepowered/api/Game.java")</f>
        <v/>
      </c>
      <c r="D1787" t="inlineStr">
        <is>
          <t>The provided code appears to be a Java implementation of a backend system for a web application. It includes comments that describe its purpose and complexity, as well as information about commits and code size.
The main functionalities of the code seem to be:
* Implementing core algorithms for the backend system.
* Handling requests and responses from clients.
* Managing data</t>
        </is>
      </c>
      <c r="E1787" t="n">
        <v>0.0035</v>
      </c>
      <c r="F1787" t="n">
        <v>0.0896</v>
      </c>
      <c r="G1787" t="n">
        <v>0.2355</v>
      </c>
      <c r="H1787" t="inlineStr">
        <is>
          <t>The code in this repository implements backend software components for a system. It includes the implementation of core algorithms, which have a time complexity of O(N), where N is the size of the input data set. The code has been committed once with an initial codebase. The total code size is approximately 1000 lines of code.</t>
        </is>
      </c>
      <c r="I1787" t="n">
        <v>0.0043</v>
      </c>
      <c r="J1787" t="n">
        <v>0.1231</v>
      </c>
      <c r="K1787" t="n">
        <v>0.1563</v>
      </c>
      <c r="L1787" t="inlineStr">
        <is>
          <t>The provided code implements the core algorithms for a web application's backend. It uses a complex algorithmic approach to perform various tasks, such as data processing and analysis. The code has been optimized for performance using techniques like caching and parallelization. The purpose of the code is to provide a robust and efficient solution for handling large amounts of data.</t>
        </is>
      </c>
      <c r="M1787" t="n">
        <v>0.004</v>
      </c>
      <c r="N1787" t="n">
        <v>0.08699999999999999</v>
      </c>
      <c r="O1787" t="n">
        <v>0.1515</v>
      </c>
    </row>
    <row r="1788">
      <c r="A1788" t="inlineStr">
        <is>
          <t>sponge</t>
        </is>
      </c>
      <c r="B1788" t="inlineStr">
        <is>
          <t>src/main/java/org/spongepowered/api/Engine.java</t>
        </is>
      </c>
      <c r="C1788">
        <f>HYPERLINK("https://github.com/SpongePowered/SpongeAPI/blob/master/src/main/java/org/spongepowered/api/Engine.java")</f>
        <v/>
      </c>
      <c r="D1788" t="inlineStr">
        <is>
          <t>The provided code appears to be a Java implementation of various algorithms used for data processing and analysis. It includes comments explaining the purpose and complexity of each algorithm, as well as information about commits, code size, and other relevant details. Overall, it seems like this codebase is intended to provide a foundation for implementing more complex data-processing tasks in future projects.</t>
        </is>
      </c>
      <c r="E1788" t="n">
        <v>0.0029</v>
      </c>
      <c r="F1788" t="n">
        <v>0.0563</v>
      </c>
      <c r="G1788" t="n">
        <v>0.1493</v>
      </c>
      <c r="H1788" t="inlineStr">
        <is>
          <t>Summary: This repository contains backend software components that implement core algorithms. It has a complexity of O(N) and uses comments to explain its implementation. There have been one commit made to the codebase, and it has a total size of 1000 lines of code.</t>
        </is>
      </c>
      <c r="I1788" t="n">
        <v>0.0059</v>
      </c>
      <c r="J1788" t="n">
        <v>0.1887</v>
      </c>
      <c r="K1788" t="n">
        <v>0.3676</v>
      </c>
      <c r="L1788" t="inlineStr">
        <is>
          <t>This file implements the core algorithms for a web application using the SpongeAPI framework. It handles various tasks such as user authentication, data storage, and API endpoints. The code has a complexity of O(N) and includes existing comments that explain implementation details. The code size is approximately 1000 lines long.</t>
        </is>
      </c>
      <c r="M1788" t="n">
        <v>0.0052</v>
      </c>
      <c r="N1788" t="n">
        <v>0.1356</v>
      </c>
      <c r="O1788" t="n">
        <v>0.2049</v>
      </c>
    </row>
    <row r="1789">
      <c r="A1789" t="inlineStr">
        <is>
          <t>sponge</t>
        </is>
      </c>
      <c r="B1789" t="inlineStr">
        <is>
          <t>src/main/java/org/spongepowered/api/package-info.java</t>
        </is>
      </c>
      <c r="C1789">
        <f>HYPERLINK("https://github.com/SpongePowered/SpongeAPI/blob/master/src/main/java/org/spongepowered/api/package-info.java")</f>
        <v/>
      </c>
      <c r="D1789" t="inlineStr">
        <is>
          <t>The provided code appears to be a Java implementation of various algorithms for solving problems related to graphs and networks. It includes methods for computing shortest paths, minimum spanning trees, and other graph-related operations. The code also includes comments explaining the purpose and complexity of each method. Overall, it seems like a well-structured and efficient piece of code that could be useful for a variety</t>
        </is>
      </c>
      <c r="E1789" t="n">
        <v>0.0028</v>
      </c>
      <c r="F1789" t="n">
        <v>0.0533</v>
      </c>
      <c r="G1789" t="n">
        <v>0.1095</v>
      </c>
      <c r="H1789" t="inlineStr">
        <is>
          <t>This code implements various backend software components for a web application. It includes comments that explain the purpose of each component and how it contributes to the overall system's functionality. The complexity of the code is O(N), where N represents the number of users interacting with the system at once. The code size is approximately 1000 lines long.</t>
        </is>
      </c>
      <c r="I1789" t="n">
        <v>0.0045</v>
      </c>
      <c r="J1789" t="n">
        <v>0.0882</v>
      </c>
      <c r="K1789" t="n">
        <v>0.1538</v>
      </c>
      <c r="L1789" t="inlineStr">
        <is>
          <t>This file implements the core algorithms for a web application using the SpongeAPI framework. It provides a RESTful API that allows users to interact with the application's data. The code is written in Java and uses the Spring Boot framework for building the RESTful APIs. The code has a complexity of O(N) and includes existing comments, commit messages, and README context.</t>
        </is>
      </c>
      <c r="M1789" t="n">
        <v>0.0042</v>
      </c>
      <c r="N1789" t="n">
        <v>0.1127</v>
      </c>
      <c r="O1789" t="n">
        <v>0.188</v>
      </c>
    </row>
    <row r="1790">
      <c r="A1790" t="inlineStr">
        <is>
          <t>sponge</t>
        </is>
      </c>
      <c r="B1790" t="inlineStr">
        <is>
          <t>src/main/java/org/spongepowered/api/Server.java</t>
        </is>
      </c>
      <c r="C1790">
        <f>HYPERLINK("https://github.com/SpongePowered/SpongeAPI/blob/master/src/main/java/org/spongepowered/api/Server.java")</f>
        <v/>
      </c>
      <c r="D1790" t="inlineStr">
        <is>
          <t>This code appears to be a Java implementation of a simple algorithm for solving a problem with complexity O(N), where N is the size of the input data set. It consists of a single class named `Solver` that has one method called `solve`, which takes an array of integers as its argument and returns an integer representing the solution to the problem. The method first sorts the input</t>
        </is>
      </c>
      <c r="E1790" t="n">
        <v>0.0032</v>
      </c>
      <c r="F1790" t="n">
        <v>0.0779</v>
      </c>
      <c r="G1790" t="n">
        <v>0.1071</v>
      </c>
      <c r="H1790" t="inlineStr">
        <is>
          <t>This code implements various backend software components for a web application. It includes a set of algorithms for processing data and performing operations on it. The complexity of the code is O(N), where N is the size of the input data. The code has been committed once with an initial set of codebase. The total code size is approximately 1000 lines.</t>
        </is>
      </c>
      <c r="I1790" t="n">
        <v>0.0042</v>
      </c>
      <c r="J1790" t="n">
        <v>0.0857</v>
      </c>
      <c r="K1790" t="n">
        <v>0.1504</v>
      </c>
      <c r="L1790" t="inlineStr">
        <is>
          <t>This file implements a set of core algorithms for a web application using the SpongeAPI framework. It provides a high-level overview of the code's functionality and purpose, highlighting its complexity and existing comments.</t>
        </is>
      </c>
      <c r="M1790" t="n">
        <v>0.015</v>
      </c>
      <c r="N1790" t="n">
        <v>0.2326</v>
      </c>
      <c r="O1790" t="n">
        <v>0.2381</v>
      </c>
    </row>
    <row r="1791">
      <c r="A1791" t="inlineStr">
        <is>
          <t>sponge</t>
        </is>
      </c>
      <c r="B1791" t="inlineStr">
        <is>
          <t>src/main/java/org/spongepowered/api/Platform.java</t>
        </is>
      </c>
      <c r="C1791">
        <f>HYPERLINK("https://github.com/SpongePowered/SpongeAPI/blob/master/src/main/java/org/spongepowered/api/Platform.java")</f>
        <v/>
      </c>
      <c r="D1791" t="inlineStr">
        <is>
          <t>This code appears to be a Java implementation of various algorithms for solving problems related to graphs and networks. It includes methods for computing shortest paths, finding connected components, and performing other graph-related operations. The code is well-documented with comments that explain the purpose and usage of each method. The complexity of the code is O(N), where N is the number of nodes in the</t>
        </is>
      </c>
      <c r="E1791" t="n">
        <v>0.0033</v>
      </c>
      <c r="F1791" t="n">
        <v>0.0789</v>
      </c>
      <c r="G1791" t="n">
        <v>0.1095</v>
      </c>
      <c r="H1791" t="inlineStr">
        <is>
          <t>This repository contains backend software components that implement core algorithms. It has a complexity of O(N) and uses comments to explain its implementation. There have been no commits since the initial codebase was created.</t>
        </is>
      </c>
      <c r="I1791" t="n">
        <v>0.0077</v>
      </c>
      <c r="J1791" t="n">
        <v>0.2326</v>
      </c>
      <c r="K1791" t="n">
        <v>0.4023</v>
      </c>
      <c r="L1791" t="inlineStr">
        <is>
          <t>This file implements the core algorithms for a web application's backend. It uses the SpongeAPI library, which provides a set of tools for building web applications. The code has been optimized for performance using techniques such as memoization and caching. The file also includes comments explaining the implementation details and the reasoning behind certain design choices.</t>
        </is>
      </c>
      <c r="M1791" t="n">
        <v>0.0046</v>
      </c>
      <c r="N1791" t="n">
        <v>0.1231</v>
      </c>
      <c r="O1791" t="n">
        <v>0.1953</v>
      </c>
    </row>
    <row r="1792">
      <c r="A1792" t="inlineStr">
        <is>
          <t>sponge</t>
        </is>
      </c>
      <c r="B1792" t="inlineStr">
        <is>
          <t>src/main/java/org/spongepowered/api/UnsupportedEngineException.java</t>
        </is>
      </c>
      <c r="C1792">
        <f>HYPERLINK("https://github.com/SpongePowered/SpongeAPI/blob/master/src/main/java/org/spongepowered/api/UnsupportedEngineException.java")</f>
        <v/>
      </c>
      <c r="D1792" t="inlineStr">
        <is>
          <t>This code implements various algorithms for processing data. It appears to be written in Java and uses the SpongeAPI library. The code includes comments explaining its purpose and complexity, as well as information about commits and code size.</t>
        </is>
      </c>
      <c r="E1792" t="n">
        <v>0.0064</v>
      </c>
      <c r="F1792" t="n">
        <v>0.1304</v>
      </c>
      <c r="G1792" t="n">
        <v>0.1818</v>
      </c>
      <c r="H1792" t="inlineStr">
        <is>
          <t>The provided code is a Java implementation of a backend system that uses the MIT License. It includes comments describing the purpose of the code and its complexity, as well as information about commits and code size. The code itself appears to be a collection of classes and interfaces related to implementing core algorithms for a backend system.</t>
        </is>
      </c>
      <c r="I1792" t="n">
        <v>0.0037</v>
      </c>
      <c r="J1792" t="n">
        <v>0.0606</v>
      </c>
      <c r="K1792" t="n">
        <v>0.2428</v>
      </c>
      <c r="L1792" t="inlineStr">
        <is>
          <t>This file implements various algorithms for handling data structures such as lists, sets, and maps. It provides methods for inserting, removing, and retrieving elements from these data structures, as well as methods for checking their size and emptiness. The code also includes comments that explain the implementation details and provide examples of how to use the functions.</t>
        </is>
      </c>
      <c r="M1792" t="n">
        <v>0.0042</v>
      </c>
      <c r="N1792" t="n">
        <v>0.09229999999999999</v>
      </c>
      <c r="O1792" t="n">
        <v>0.155</v>
      </c>
    </row>
    <row r="1793">
      <c r="A1793" t="inlineStr">
        <is>
          <t>sponge</t>
        </is>
      </c>
      <c r="B1793" t="inlineStr">
        <is>
          <t>src/main/java/org/spongepowered/api/Client.java</t>
        </is>
      </c>
      <c r="C1793">
        <f>HYPERLINK("https://github.com/SpongePowered/SpongeAPI/blob/master/src/main/java/org/spongepowered/api/Client.java")</f>
        <v/>
      </c>
      <c r="D1793" t="inlineStr">
        <is>
          <t>This code appears to be a Java implementation of various data structures and algorithms used in computer science, such as linked lists, stacks, queues, trees, graphs, and more. It also includes comments describing the purpose and complexity of each component. The code size is approximately 1000 lines long.</t>
        </is>
      </c>
      <c r="E1793" t="n">
        <v>0.0045</v>
      </c>
      <c r="F1793" t="n">
        <v>0.1071</v>
      </c>
      <c r="G1793" t="n">
        <v>0.1667</v>
      </c>
      <c r="H1793" t="inlineStr">
        <is>
          <t>This code is a collection of backend software components that implement various algorithms. It has a complexity of O(N), with comments describing the implementation details. There have been no commits since the initial codebase was created, but there is a README file that provides information about the project's purpose and structure. The total size of the code is approximately 1000 lines.</t>
        </is>
      </c>
      <c r="I1793" t="n">
        <v>0.0039</v>
      </c>
      <c r="J1793" t="n">
        <v>0.1127</v>
      </c>
      <c r="K1793" t="n">
        <v>0.1504</v>
      </c>
      <c r="L1793" t="inlineStr">
        <is>
          <t>This file implements the core algorithms for a web application using the SpongeAPI framework. It provides a RESTful API for interacting with the application's data models, allowing users to create, retrieve, update, and delete entities. The code is well-documented and includes comments explaining the purpose and usage of each function.</t>
        </is>
      </c>
      <c r="M1793" t="n">
        <v>0.0052</v>
      </c>
      <c r="N1793" t="n">
        <v>0.1333</v>
      </c>
      <c r="O1793" t="n">
        <v>0.2049</v>
      </c>
    </row>
    <row r="1794">
      <c r="A1794" t="inlineStr">
        <is>
          <t>sponge</t>
        </is>
      </c>
      <c r="B1794" t="inlineStr">
        <is>
          <t>src/main/java/org/spongepowered/api/Sponge.java</t>
        </is>
      </c>
      <c r="C1794">
        <f>HYPERLINK("https://github.com/SpongePowered/SpongeAPI/blob/master/src/main/java/org/spongepowered/api/Sponge.java")</f>
        <v/>
      </c>
      <c r="D1794" t="inlineStr">
        <is>
          <t>This code appears to be a Java implementation of a sponge-based algorithm for solving certain problems. It includes comments that explain the purpose of each class and method, as well as some basic information about the project's history and complexity. There is also a README file that provides more detailed information about the project, its goals, and how it can be used. Overall,</t>
        </is>
      </c>
      <c r="E1794" t="n">
        <v>0.0034</v>
      </c>
      <c r="F1794" t="n">
        <v>0.0822</v>
      </c>
      <c r="G1794" t="n">
        <v>0.1111</v>
      </c>
      <c r="H1794" t="inlineStr">
        <is>
          <t>This repository contains backend software components that implement core algorithms. The complexity of the code is O(N), where N is the number of elements being processed. There are no comments in the code, but there is a README file that provides some information about the project's purpose and structure. The code size is approximately 1000 lines of code.</t>
        </is>
      </c>
      <c r="I1794" t="n">
        <v>0.0045</v>
      </c>
      <c r="J1794" t="n">
        <v>0.1471</v>
      </c>
      <c r="K1794" t="n">
        <v>0.2862</v>
      </c>
      <c r="L1794" t="inlineStr">
        <is>
          <t>This file implements the core algorithms for a web application using the SpongeAPI framework. It provides a RESTful API for interacting with the application's data models, which can be used by clients such as web browsers or mobile apps. The code is written in Java and uses the Spring Boot framework for building the web service.</t>
        </is>
      </c>
      <c r="M1794" t="n">
        <v>0.0046</v>
      </c>
      <c r="N1794" t="n">
        <v>0.1231</v>
      </c>
      <c r="O1794" t="n">
        <v>0.1953</v>
      </c>
    </row>
    <row r="1795">
      <c r="A1795" t="inlineStr">
        <is>
          <t>sponge</t>
        </is>
      </c>
      <c r="B1795" t="inlineStr">
        <is>
          <t>src/main/java/org/spongepowered/api/MinecraftVersion.java</t>
        </is>
      </c>
      <c r="C1795">
        <f>HYPERLINK("https://github.com/SpongePowered/SpongeAPI/blob/master/src/main/java/org/spongepowered/api/MinecraftVersion.java")</f>
        <v/>
      </c>
      <c r="D1795" t="inlineStr">
        <is>
          <t>This code appears to be a Java implementation of a sponge-based algorithm for solving certain types of optimization problems. It includes comments explaining the purpose of each class and method, as well as a license header indicating that it is released under the MIT License. The code also includes a README file with additional information about the project's goals and complexity. Overall, this code</t>
        </is>
      </c>
      <c r="E1795" t="n">
        <v>0.0034</v>
      </c>
      <c r="F1795" t="n">
        <v>0.08110000000000001</v>
      </c>
      <c r="G1795" t="n">
        <v>0.1103</v>
      </c>
      <c r="H1795" t="inlineStr">
        <is>
          <t>This code implements a set of backend software components that perform various tasks related to the management of data. The code is written in Java and uses the Spring Framework for dependency injection and configuration. It includes several classes and interfaces that define the structure and behavior of these components, as well as some utility methods for performing common operations such as logging and error handling. Overall, the code appears to be well</t>
        </is>
      </c>
      <c r="I1795" t="n">
        <v>0.0035</v>
      </c>
      <c r="J1795" t="n">
        <v>0.0741</v>
      </c>
      <c r="K1795" t="n">
        <v>0.1724</v>
      </c>
      <c r="L1795" t="inlineStr">
        <is>
          <t>This file is part of SpongeAPI, a framework for building Minecraft plugins. It appears to implement various features related to plugin management and execution.</t>
        </is>
      </c>
      <c r="M1795" t="n">
        <v>0.0094</v>
      </c>
      <c r="N1795" t="n">
        <v>0.1875</v>
      </c>
      <c r="O1795" t="n">
        <v>0.2083</v>
      </c>
    </row>
    <row r="1796">
      <c r="A1796" t="inlineStr">
        <is>
          <t>sponge</t>
        </is>
      </c>
      <c r="B1796" t="inlineStr">
        <is>
          <t>src/main/java/org/spongepowered/api/datapack/DataPacks.java</t>
        </is>
      </c>
      <c r="C1796">
        <f>HYPERLINK("https://github.com/SpongePowered/SpongeAPI/blob/master/src/main/java/org/spongepowered/api/datapack/DataPacks.java")</f>
        <v/>
      </c>
      <c r="D1796" t="inlineStr">
        <is>
          <t>The provided code appears to be a Java implementation of a simple algorithm for solving a problem. It consists of a single class with several methods that perform different operations on input data. The main method takes an array of integers as input and performs some calculations on it before returning the result. The other methods seem to be helper functions used by the main method. The overall complexity of the code is O(</t>
        </is>
      </c>
      <c r="E1796" t="n">
        <v>0.0025</v>
      </c>
      <c r="F1796" t="n">
        <v>0.0488</v>
      </c>
      <c r="G1796" t="n">
        <v>0.1027</v>
      </c>
      <c r="H1796" t="inlineStr">
        <is>
          <t>This code implements a system for managing backend software components. It includes a set of algorithms that perform various tasks related to the management of these components. The complexity of the code is O(N), where N represents the number of components being managed. The code has been committed with initial codebase commits, and its size is approximately 1000 lines long.</t>
        </is>
      </c>
      <c r="I1796" t="n">
        <v>0.0043</v>
      </c>
      <c r="J1796" t="n">
        <v>0.08699999999999999</v>
      </c>
      <c r="K1796" t="n">
        <v>0.1515</v>
      </c>
      <c r="L1796" t="inlineStr">
        <is>
          <t>This file implements core algorithms for a web application using SpongeAPI, which is licensed under the MIT License. It includes comments and documentation that explain the purpose and usage of the code, as well as references to existing commits and other relevant information.</t>
        </is>
      </c>
      <c r="M1796" t="n">
        <v>0.0108</v>
      </c>
      <c r="N1796" t="n">
        <v>0.1569</v>
      </c>
      <c r="O1796" t="n">
        <v>0.3235</v>
      </c>
    </row>
    <row r="1797">
      <c r="A1797" t="inlineStr">
        <is>
          <t>sponge</t>
        </is>
      </c>
      <c r="B1797" t="inlineStr">
        <is>
          <t>src/main/java/org/spongepowered/api/datapack/package-info.java</t>
        </is>
      </c>
      <c r="C1797">
        <f>HYPERLINK("https://github.com/SpongePowered/SpongeAPI/blob/master/src/main/java/org/spongepowered/api/datapack/package-info.java")</f>
        <v/>
      </c>
      <c r="D1797" t="inlineStr">
        <is>
          <t>This code appears to be a Java implementation of various algorithms for solving problems related to graphs and networks. It includes implementations of graph traversal algorithms such as DFS and BFS, as well as network flow algorithms like Ford-Fulkerson and Edmonds-Karp. The code also includes a number of utility functions for working with graphs and networks. Overall, it seems to be</t>
        </is>
      </c>
      <c r="E1797" t="n">
        <v>0.0036</v>
      </c>
      <c r="F1797" t="n">
        <v>0.1127</v>
      </c>
      <c r="G1797" t="n">
        <v>0.1504</v>
      </c>
      <c r="H1797" t="inlineStr">
        <is>
          <t>This code implements a backend system that uses an algorithmic approach to perform various tasks. It has a complexity of O(N), with comments describing the implementation of core algorithms. There have been no commits since the initial codebase was created, and the total size of the code is approximately 1000 lines.</t>
        </is>
      </c>
      <c r="I1797" t="n">
        <v>0.0051</v>
      </c>
      <c r="J1797" t="n">
        <v>0.1333</v>
      </c>
      <c r="K1797" t="n">
        <v>0.2033</v>
      </c>
      <c r="L1797" t="inlineStr">
        <is>
          <t>This file is part of SpongeAPI, a Java library for building mods for Minecraft. It appears to implement the core algorithms required by the API, as indicated by the existing comments and commit messages. The code size is approximately 1000 lines long, and it has a complexity of O(N), where N is the number of elements in the input array.</t>
        </is>
      </c>
      <c r="M1797" t="n">
        <v>0.004</v>
      </c>
      <c r="N1797" t="n">
        <v>0.1159</v>
      </c>
      <c r="O1797" t="n">
        <v>0.1894</v>
      </c>
    </row>
    <row r="1798">
      <c r="A1798" t="inlineStr">
        <is>
          <t>sponge</t>
        </is>
      </c>
      <c r="B1798" t="inlineStr">
        <is>
          <t>src/main/java/org/spongepowered/api/datapack/DataPackType.java</t>
        </is>
      </c>
      <c r="C1798">
        <f>HYPERLINK("https://github.com/SpongePowered/SpongeAPI/blob/master/src/main/java/org/spongepowered/api/datapack/DataPackType.java")</f>
        <v/>
      </c>
      <c r="D1798" t="inlineStr">
        <is>
          <t>This code appears to be a Java implementation of various algorithms for solving problems related to graphs and networks. The code includes classes such as `Graph`, `Vertex`, and `Edge` that represent graph structures, as well as methods for performing operations on these structures such as finding shortest paths, computing connected components, and checking whether two vertices are connected by an edge. The code also includes comments describing</t>
        </is>
      </c>
      <c r="E1798" t="n">
        <v>0.0032</v>
      </c>
      <c r="F1798" t="n">
        <v>0.08</v>
      </c>
      <c r="G1798" t="n">
        <v>0.1079</v>
      </c>
      <c r="H1798" t="inlineStr">
        <is>
          <t>This code repository contains backend software components that implement core algorithms. It has a complexity of O(N) and uses comments to explain its implementation. There have been no commits since the initial codebase was created. The total size of the codebase is approximately 1000 lines.</t>
        </is>
      </c>
      <c r="I1798" t="n">
        <v>0.0058</v>
      </c>
      <c r="J1798" t="n">
        <v>0.1852</v>
      </c>
      <c r="K1798" t="n">
        <v>0.3644</v>
      </c>
      <c r="L1798" t="inlineStr">
        <is>
          <t>This file implements the core algorithms for a web application using the SpongeAPI framework. It provides a RESTful API that allows users to interact with the system through HTTP requests. The code has a complexity of O(N), with existing comments providing insight into the implementation details. The purpose of the code is to provide a robust and scalable foundation for building modern web applications.</t>
        </is>
      </c>
      <c r="M1798" t="n">
        <v>0.004</v>
      </c>
      <c r="N1798" t="n">
        <v>0.1096</v>
      </c>
      <c r="O1798" t="n">
        <v>0.1838</v>
      </c>
    </row>
    <row r="1799">
      <c r="A1799" t="inlineStr">
        <is>
          <t>sponge</t>
        </is>
      </c>
      <c r="B1799" t="inlineStr">
        <is>
          <t>src/main/java/org/spongepowered/api/datapack/DataPackTypes.java</t>
        </is>
      </c>
      <c r="C1799">
        <f>HYPERLINK("https://github.com/SpongePowered/SpongeAPI/blob/master/src/main/java/org/spongepowered/api/datapack/DataPackTypes.java")</f>
        <v/>
      </c>
      <c r="D1799" t="inlineStr">
        <is>
          <t>This code appears to be a Java implementation of various algorithms for solving problems related to graphs, such as finding shortest paths, minimum spanning trees, and other graph-related tasks. The code includes comments explaining the purpose of each algorithm and its complexity. It also includes a README file that describes the overall project and provides information on how to build and run the code. Overall,</t>
        </is>
      </c>
      <c r="E1799" t="n">
        <v>0.0033</v>
      </c>
      <c r="F1799" t="n">
        <v>0.08110000000000001</v>
      </c>
      <c r="G1799" t="n">
        <v>0.146</v>
      </c>
      <c r="H1799" t="inlineStr">
        <is>
          <t>This code implements various backend software components for a web application. It includes the implementation of core algorithms using the MIT license, which allows for modification and distribution of the source code. The complexity of the code is O(N), where N is the number of elements being processed. There have been one commit made to the project with a total of 1000 lines of code.</t>
        </is>
      </c>
      <c r="I1799" t="n">
        <v>0.0042</v>
      </c>
      <c r="J1799" t="n">
        <v>0.1351</v>
      </c>
      <c r="K1799" t="n">
        <v>0.219</v>
      </c>
      <c r="L1799" t="inlineStr">
        <is>
          <t>This file is part of SpongeAPI, a framework for building Minecraft plugins. It appears to implement core algorithms for various features such as command parsing, event handling, and data storage. The code is written in Java and uses the MIT license.</t>
        </is>
      </c>
      <c r="M1799" t="n">
        <v>0.0059</v>
      </c>
      <c r="N1799" t="n">
        <v>0.1633</v>
      </c>
      <c r="O1799" t="n">
        <v>0.3292</v>
      </c>
    </row>
    <row r="1800">
      <c r="A1800" t="inlineStr">
        <is>
          <t>sponge</t>
        </is>
      </c>
      <c r="B1800" t="inlineStr">
        <is>
          <t>src/main/java/org/spongepowered/api/datapack/DataPackEntry.java</t>
        </is>
      </c>
      <c r="C1800">
        <f>HYPERLINK("https://github.com/SpongePowered/SpongeAPI/blob/master/src/main/java/org/spongepowered/api/datapack/DataPackEntry.java")</f>
        <v/>
      </c>
      <c r="D1800" t="inlineStr">
        <is>
          <t>This code appears to be a Java implementation of a simple algorithm for solving a problem. It defines a class called `Solver` with a single method called `solve`, which takes an integer array as input and returns the sum of its elements. The `Solver` class also has a constructor that initializes some variables used by the `solve` method.
The `sol</t>
        </is>
      </c>
      <c r="E1800" t="n">
        <v>0.0036</v>
      </c>
      <c r="F1800" t="n">
        <v>0.0882</v>
      </c>
      <c r="G1800" t="n">
        <v>0.1894</v>
      </c>
      <c r="H1800" t="inlineStr">
        <is>
          <t>This code implements various backend software components for a web application. It includes comments that explain the purpose and implementation of each component, as well as information about the complexity and size of the code.</t>
        </is>
      </c>
      <c r="I1800" t="n">
        <v>0.0075</v>
      </c>
      <c r="J1800" t="n">
        <v>0.186</v>
      </c>
      <c r="K1800" t="n">
        <v>0.1869</v>
      </c>
      <c r="L1800" t="inlineStr">
        <is>
          <t>This file implements the core algorithms for a web application using SpongeAPI, which is open-source software released under the MIT license. It provides a high-level overview of the code's functionality and purpose, highlighting its complexity, existing comments, commit messages, README context, and size.</t>
        </is>
      </c>
      <c r="M1800" t="n">
        <v>0.0119</v>
      </c>
      <c r="N1800" t="n">
        <v>0.1852</v>
      </c>
      <c r="O1800" t="n">
        <v>0.2609</v>
      </c>
    </row>
    <row r="1801">
      <c r="A1801" t="inlineStr">
        <is>
          <t>sponge</t>
        </is>
      </c>
      <c r="B1801" t="inlineStr">
        <is>
          <t>src/main/java/org/spongepowered/api/datapack/DataPack.java</t>
        </is>
      </c>
      <c r="C1801">
        <f>HYPERLINK("https://github.com/SpongePowered/SpongeAPI/blob/master/src/main/java/org/spongepowered/api/datapack/DataPack.java")</f>
        <v/>
      </c>
      <c r="D1801" t="inlineStr">
        <is>
          <t>This code appears to be a Java implementation of various algorithms for solving certain problems. It includes classes for implementing basic data structures such as arrays, linked lists, stacks, and queues, as well as more complex data structures like graphs and trees. There are also implementations for various algorithms such as sorting, searching, and graph traversal. The code is well-documented with comments explaining the</t>
        </is>
      </c>
      <c r="E1801" t="n">
        <v>0.0034</v>
      </c>
      <c r="F1801" t="n">
        <v>0.0822</v>
      </c>
      <c r="G1801" t="n">
        <v>0.1103</v>
      </c>
      <c r="H1801" t="inlineStr">
        <is>
          <t>This code implements a system for managing and processing data. It appears to be written in Java and uses a variety of libraries and frameworks, such as Spring Boot and Hibernate, to provide a robust and scalable infrastructure for handling large amounts of data. The code also includes a number of comments that explain the purpose and implementation of various parts of the system. Overall, it seems like this</t>
        </is>
      </c>
      <c r="I1801" t="n">
        <v>0.0035</v>
      </c>
      <c r="J1801" t="n">
        <v>0.0779</v>
      </c>
      <c r="K1801" t="n">
        <v>0.1418</v>
      </c>
      <c r="L1801" t="inlineStr">
        <is>
          <t>This file implements the SpongeAPI, which is a modular platform for building Minecraft plugins. It provides a set of libraries and tools for creating custom game mechanics and integrating them into the game.</t>
        </is>
      </c>
      <c r="M1801" t="n">
        <v>0.0074</v>
      </c>
      <c r="N1801" t="n">
        <v>0.1463</v>
      </c>
      <c r="O1801" t="n">
        <v>0.1429</v>
      </c>
    </row>
    <row r="1802">
      <c r="A1802" t="inlineStr">
        <is>
          <t>sponge</t>
        </is>
      </c>
      <c r="B1802" t="inlineStr">
        <is>
          <t>src/main/java/org/spongepowered/api/state/EnumStateProperties.java</t>
        </is>
      </c>
      <c r="C1802">
        <f>HYPERLINK("https://github.com/SpongePowered/SpongeAPI/blob/master/src/main/java/org/spongepowered/api/state/EnumStateProperties.java")</f>
        <v/>
      </c>
      <c r="D1802" t="inlineStr">
        <is>
          <t>This code appears to be a Java implementation of various algorithms for solving computational problems. It includes classes for implementing different data structures such as arrays, linked lists, stacks, and queues, as well as functions for performing operations on these data structures. Additionally, there are comments explaining the purpose of each class and function, and a README file that provides information about the project's goals</t>
        </is>
      </c>
      <c r="E1802" t="n">
        <v>0.0033</v>
      </c>
      <c r="F1802" t="n">
        <v>0.1081</v>
      </c>
      <c r="G1802" t="n">
        <v>0.146</v>
      </c>
      <c r="H1802" t="inlineStr">
        <is>
          <t>This code implements a set of backend software components that perform various tasks related to data processing and analysis. The code is written in Java and uses the Spring framework for dependency injection and configuration management. It includes several modules for different functionalities such as user authentication, data storage, and analytics. The code has been optimized for performance using techniques like caching and lazy loading, and it has been tested thoroughly</t>
        </is>
      </c>
      <c r="I1802" t="n">
        <v>0.0036</v>
      </c>
      <c r="J1802" t="n">
        <v>0.1266</v>
      </c>
      <c r="K1802" t="n">
        <v>0.2098</v>
      </c>
      <c r="L1802" t="inlineStr">
        <is>
          <t>This file is part of SpongeAPI, a software framework for building scalable and modular Minecraft plugins. It implements various algorithms and data structures used by the platform, such as hash tables, linked lists, and binary search trees. The code is written in Java and adheres to the MIT License, allowing for open-source collaboration and distribution.</t>
        </is>
      </c>
      <c r="M1802" t="n">
        <v>0.0047</v>
      </c>
      <c r="N1802" t="n">
        <v>0.125</v>
      </c>
      <c r="O1802" t="n">
        <v>0.1969</v>
      </c>
    </row>
    <row r="1803">
      <c r="A1803" t="inlineStr">
        <is>
          <t>sponge</t>
        </is>
      </c>
      <c r="B1803" t="inlineStr">
        <is>
          <t>src/main/java/org/spongepowered/api/state/IntegerStateProperties.java</t>
        </is>
      </c>
      <c r="C1803">
        <f>HYPERLINK("https://github.com/SpongePowered/SpongeAPI/blob/master/src/main/java/org/spongepowered/api/state/IntegerStateProperties.java")</f>
        <v/>
      </c>
      <c r="D1803" t="inlineStr">
        <is>
          <t>This code appears to be a Java implementation of a set of algorithms for solving various problems related to graphs and networks. It includes implementations of graph traversal algorithms such as DFS and BFS, as well as network flow algorithms like Ford-Fulkerson. The code also includes a number of utility functions for working with graphs and networks. Overall, it seems to be a comprehensive collection</t>
        </is>
      </c>
      <c r="E1803" t="n">
        <v>0.0033</v>
      </c>
      <c r="F1803" t="n">
        <v>0.1081</v>
      </c>
      <c r="G1803" t="n">
        <v>0.146</v>
      </c>
      <c r="H1803" t="inlineStr">
        <is>
          <t>This code implements a set of backend software components that handle various tasks such as data processing, analysis, and storage. It uses the MIT License for open-source distribution and has been written by a team of developers with contributions from multiple individuals. The code size is approximately 1000 lines long and has a complexity of O(N), indicating that its performance degrades linearly</t>
        </is>
      </c>
      <c r="I1803" t="n">
        <v>0.0042</v>
      </c>
      <c r="J1803" t="n">
        <v>0.0833</v>
      </c>
      <c r="K1803" t="n">
        <v>0.1866</v>
      </c>
      <c r="L1803" t="inlineStr">
        <is>
          <t>This file implements various functions related to the SpongeAPI, which is licensed under the MIT License. It provides a high-level overview of the code's functionality and purpose.</t>
        </is>
      </c>
      <c r="M1803" t="n">
        <v>0.0176</v>
      </c>
      <c r="N1803" t="n">
        <v>0.2162</v>
      </c>
      <c r="O1803" t="n">
        <v>0.3188</v>
      </c>
    </row>
    <row r="1804">
      <c r="A1804" t="inlineStr">
        <is>
          <t>sponge</t>
        </is>
      </c>
      <c r="B1804" t="inlineStr">
        <is>
          <t>src/main/java/org/spongepowered/api/state/StateContainer.java</t>
        </is>
      </c>
      <c r="C1804">
        <f>HYPERLINK("https://github.com/SpongePowered/SpongeAPI/blob/master/src/main/java/org/spongepowered/api/state/StateContainer.java")</f>
        <v/>
      </c>
      <c r="D1804" t="inlineStr">
        <is>
          <t>The provided code appears to be a Java implementation of a backend system for a web application. It includes several classes and interfaces that define the architecture of the system, as well as some utility methods for working with strings and collections. The code also includes a `README` file that provides information about the project's purpose, complexity, comments, commits, and code size. Overall, it</t>
        </is>
      </c>
      <c r="E1804" t="n">
        <v>0.0028</v>
      </c>
      <c r="F1804" t="n">
        <v>0.0548</v>
      </c>
      <c r="G1804" t="n">
        <v>0.1103</v>
      </c>
      <c r="H1804" t="inlineStr">
        <is>
          <t>This code appears to be a collection of backend software components that implement various algorithms. It includes comments describing the purpose and implementation of each component, as well as information about the complexity and size of the code. The README file provides an overview of the project's goals and structure, while the commits section lists the initial codebase commit. Overall, it seems like this codebase</t>
        </is>
      </c>
      <c r="I1804" t="n">
        <v>0.0037</v>
      </c>
      <c r="J1804" t="n">
        <v>0.1081</v>
      </c>
      <c r="K1804" t="n">
        <v>0.146</v>
      </c>
      <c r="L1804" t="inlineStr">
        <is>
          <t>This file implements various algorithms for processing data, specifically for the SpongeAPI project. It includes functions for sorting, searching, and manipulating data structures such as lists and maps. The code has been optimized for performance using techniques like memoization and caching. The overall complexity of the code is O(N), where N is the size of the input data set.</t>
        </is>
      </c>
      <c r="M1804" t="n">
        <v>0.0041</v>
      </c>
      <c r="N1804" t="n">
        <v>0.1176</v>
      </c>
      <c r="O1804" t="n">
        <v>0.1527</v>
      </c>
    </row>
    <row r="1805">
      <c r="A1805" t="inlineStr">
        <is>
          <t>sponge</t>
        </is>
      </c>
      <c r="B1805" t="inlineStr">
        <is>
          <t>src/main/java/org/spongepowered/api/state/StateProperty.java</t>
        </is>
      </c>
      <c r="C1805">
        <f>HYPERLINK("https://github.com/SpongePowered/SpongeAPI/blob/master/src/main/java/org/spongepowered/api/state/StateProperty.java")</f>
        <v/>
      </c>
      <c r="D1805" t="inlineStr">
        <is>
          <t>The provided code appears to be a Java implementation of a backend system for a web application. It includes several classes that define various data structures and algorithms used by the system, as well as some supporting utility functions. The main class, `Backend`, defines the entry point for the program and sets up the necessary dependencies. Other classes include `Database` for interacting with a database, `Cache</t>
        </is>
      </c>
      <c r="E1805" t="n">
        <v>0.0028</v>
      </c>
      <c r="F1805" t="n">
        <v>0.08110000000000001</v>
      </c>
      <c r="G1805" t="n">
        <v>0.1087</v>
      </c>
      <c r="H1805" t="inlineStr">
        <is>
          <t>This code implements various backend software components for a web application. It includes a number of classes and functions that implement core algorithms, such as data storage and retrieval, user authentication, and API endpoints. The code is written in Java and uses Spring Boot as a framework. The README file provides information about the project's purpose, complexity, comments, commits, and code size.</t>
        </is>
      </c>
      <c r="I1805" t="n">
        <v>0.0044</v>
      </c>
      <c r="J1805" t="n">
        <v>0.1408</v>
      </c>
      <c r="K1805" t="n">
        <v>0.2239</v>
      </c>
      <c r="L1805" t="inlineStr">
        <is>
          <t>This file implements the core algorithms for a web application using the SpongeAPI framework. It handles user authentication, authorization, and data storage. The code is well-documented and has a complexity of O(N), with existing comments providing insight into the implementation details.</t>
        </is>
      </c>
      <c r="M1805" t="n">
        <v>0.0064</v>
      </c>
      <c r="N1805" t="n">
        <v>0.1569</v>
      </c>
      <c r="O1805" t="n">
        <v>0.2212</v>
      </c>
    </row>
    <row r="1806">
      <c r="A1806" t="inlineStr">
        <is>
          <t>sponge</t>
        </is>
      </c>
      <c r="B1806" t="inlineStr">
        <is>
          <t>src/main/java/org/spongepowered/api/state/BooleanStateProperty.java</t>
        </is>
      </c>
      <c r="C1806">
        <f>HYPERLINK("https://github.com/SpongePowered/SpongeAPI/blob/master/src/main/java/org/spongepowered/api/state/BooleanStateProperty.java")</f>
        <v/>
      </c>
      <c r="D1806" t="inlineStr">
        <is>
          <t>This is a Java implementation of a backend system that uses O(N) complexity for its algorithms. It includes comments describing the purpose of each class and method, as well as a README file with information about the project's goals and structure. There have been two commits made to the repository so far, with the first containing the initial codebase. The total size of the code is</t>
        </is>
      </c>
      <c r="E1806" t="n">
        <v>0.0033</v>
      </c>
      <c r="F1806" t="n">
        <v>0.0789</v>
      </c>
      <c r="G1806" t="n">
        <v>0.1449</v>
      </c>
      <c r="H1806" t="inlineStr">
        <is>
          <t>Summary: This repository contains backend software components that implement core algorithms. It has a complexity of O(N) and uses comments to explain its implementation. There have been 5 commits to the project, with the first one being the initial codebase commit. The total size of the code is approximately 1000 lines.</t>
        </is>
      </c>
      <c r="I1806" t="n">
        <v>0.0051</v>
      </c>
      <c r="J1806" t="n">
        <v>0.1667</v>
      </c>
      <c r="K1806" t="n">
        <v>0.3467</v>
      </c>
      <c r="L1806" t="inlineStr">
        <is>
          <t>This file implements the core algorithms for a web application using the SpongeAPI framework. It provides a RESTful API for interacting with the application's data, allowing users to perform CRUD (create, read, update, delete) operations on various resources. The code is well-documented and follows best practices for code organization and structure.</t>
        </is>
      </c>
      <c r="M1806" t="n">
        <v>0.0051</v>
      </c>
      <c r="N1806" t="n">
        <v>0.1311</v>
      </c>
      <c r="O1806" t="n">
        <v>0.2033</v>
      </c>
    </row>
    <row r="1807">
      <c r="A1807" t="inlineStr">
        <is>
          <t>sponge</t>
        </is>
      </c>
      <c r="B1807" t="inlineStr">
        <is>
          <t>src/main/java/org/spongepowered/api/state/State.java</t>
        </is>
      </c>
      <c r="C1807">
        <f>HYPERLINK("https://github.com/SpongePowered/SpongeAPI/blob/master/src/main/java/org/spongepowered/api/state/State.java")</f>
        <v/>
      </c>
      <c r="D1807" t="inlineStr">
        <is>
          <t>This code appears to be a Java implementation of a backend system for a web application. It includes several classes that define the structure and behavior of different types of data objects, as well as methods for performing various operations on those objects. The code also includes comments explaining the purpose and usage of each class and method. Overall, it seems like this codebase is intended to provide a foundation for building</t>
        </is>
      </c>
      <c r="E1807" t="n">
        <v>0.003</v>
      </c>
      <c r="F1807" t="n">
        <v>0.075</v>
      </c>
      <c r="G1807" t="n">
        <v>0.1042</v>
      </c>
      <c r="H1807" t="inlineStr">
        <is>
          <t>This code implements a backend system that provides various functionalities related to data processing and analysis. It uses a modular design with separate modules for different tasks, such as data ingestion, data transformation, and data visualization. The code is written in Java and uses the Spring Framework for dependency injection and configuration management. The README file provides information about the project's goals, architecture,</t>
        </is>
      </c>
      <c r="I1807" t="n">
        <v>0.0038</v>
      </c>
      <c r="J1807" t="n">
        <v>0.1111</v>
      </c>
      <c r="K1807" t="n">
        <v>0.1852</v>
      </c>
      <c r="L1807" t="inlineStr">
        <is>
          <t>This file implements various algorithms for working with strings in Java. It appears to be part of a larger project that involves implementing a text editor or IDE. The code includes comments explaining the implementation of certain features, such as tokenization and syntax highlighting. The code also includes unit tests to ensure that the implemented features work correctly. Overall, the code seems to be well-organized and easy</t>
        </is>
      </c>
      <c r="M1807" t="n">
        <v>0.0036</v>
      </c>
      <c r="N1807" t="n">
        <v>0.0789</v>
      </c>
      <c r="O1807" t="n">
        <v>0.1439</v>
      </c>
    </row>
    <row r="1808">
      <c r="A1808" t="inlineStr">
        <is>
          <t>sponge</t>
        </is>
      </c>
      <c r="B1808" t="inlineStr">
        <is>
          <t>src/main/java/org/spongepowered/api/state/EnumStateProperty.java</t>
        </is>
      </c>
      <c r="C1808">
        <f>HYPERLINK("https://github.com/SpongePowered/SpongeAPI/blob/master/src/main/java/org/spongepowered/api/state/EnumStateProperty.java")</f>
        <v/>
      </c>
      <c r="D1808" t="inlineStr">
        <is>
          <t>This code appears to be a Java implementation of various algorithms for processing data. It includes functions for sorting, searching, and manipulating arrays and other data structures. The code is well-documented with comments explaining the purpose and complexity of each function. There are also several commits and a total size of approximately 1000 lines of code. Overall, it seems like this code could</t>
        </is>
      </c>
      <c r="E1808" t="n">
        <v>0.0034</v>
      </c>
      <c r="F1808" t="n">
        <v>0.1111</v>
      </c>
      <c r="G1808" t="n">
        <v>0.1481</v>
      </c>
      <c r="H1808" t="inlineStr">
        <is>
          <t>This code implements various backend software components for a web application. It includes a set of functions that perform core algorithms, such as sorting, searching, and manipulating data structures. The complexity of the code is O(N), where N is the size of the input data. The code has been committed once with an initial codebase. The total code size is approximately 1000 lines</t>
        </is>
      </c>
      <c r="I1808" t="n">
        <v>0.0043</v>
      </c>
      <c r="J1808" t="n">
        <v>0.1111</v>
      </c>
      <c r="K1808" t="n">
        <v>0.2222</v>
      </c>
      <c r="L1808" t="inlineStr">
        <is>
          <t>This file implements the core algorithms for a web application using the SpongeAPI framework. It handles user authentication, authorization, and session management. The code has been optimized for performance and scalability, with a focus on maintainability and readability.</t>
        </is>
      </c>
      <c r="M1808" t="n">
        <v>0.0069</v>
      </c>
      <c r="N1808" t="n">
        <v>0.1739</v>
      </c>
      <c r="O1808" t="n">
        <v>0.2273</v>
      </c>
    </row>
    <row r="1809">
      <c r="A1809" t="inlineStr">
        <is>
          <t>sponge</t>
        </is>
      </c>
      <c r="B1809" t="inlineStr">
        <is>
          <t>src/main/java/org/spongepowered/api/state/package-info.java</t>
        </is>
      </c>
      <c r="C1809">
        <f>HYPERLINK("https://github.com/SpongePowered/SpongeAPI/blob/master/src/main/java/org/spongepowered/api/state/package-info.java")</f>
        <v/>
      </c>
      <c r="D1809" t="inlineStr">
        <is>
          <t>This code appears to be a Java implementation of a backend system for a web application. It includes comments explaining its purpose and complexity, as well as information about commits and code size. The code itself does not appear to contain much detail beyond basic syntax and structure, but it may include important functions such as data processing or algorithm implementations that could have significant impact on performance or security.</t>
        </is>
      </c>
      <c r="E1809" t="n">
        <v>0.0031</v>
      </c>
      <c r="F1809" t="n">
        <v>0.0769</v>
      </c>
      <c r="G1809" t="n">
        <v>0.1408</v>
      </c>
      <c r="H1809" t="inlineStr">
        <is>
          <t>This code implements a set of backend software components that perform various tasks related to data processing and analysis. It uses a modular design with multiple classes and functions, each responsible for specific aspects of the system's behavior. The code has been optimized for performance using techniques such as caching and parallelization, but it also includes comments and documentation to help developers understand how the different parts fit together. Over</t>
        </is>
      </c>
      <c r="I1809" t="n">
        <v>0.0037</v>
      </c>
      <c r="J1809" t="n">
        <v>0.1013</v>
      </c>
      <c r="K1809" t="n">
        <v>0.1761</v>
      </c>
      <c r="L1809" t="inlineStr">
        <is>
          <t>This file implements the core algorithms for a web application using the SpongeAPI framework. It handles various tasks such as user authentication, data storage, and API requests.</t>
        </is>
      </c>
      <c r="M1809" t="n">
        <v>0.009900000000000001</v>
      </c>
      <c r="N1809" t="n">
        <v>0.2286</v>
      </c>
      <c r="O1809" t="n">
        <v>0.2525</v>
      </c>
    </row>
    <row r="1810">
      <c r="A1810" t="inlineStr">
        <is>
          <t>sponge</t>
        </is>
      </c>
      <c r="B1810" t="inlineStr">
        <is>
          <t>src/main/java/org/spongepowered/api/state/StateMatcher.java</t>
        </is>
      </c>
      <c r="C1810">
        <f>HYPERLINK("https://github.com/SpongePowered/SpongeAPI/blob/master/src/main/java/org/spongepowered/api/state/StateMatcher.java")</f>
        <v/>
      </c>
      <c r="D1810" t="inlineStr">
        <is>
          <t>This code implements various algorithms for processing data. It appears to be written in Java and uses the SpongeAPI library. The code is well-documented with comments explaining the purpose and complexity of each algorithm. There have been two commits made to the codebase, and it currently consists of approximately 1000 lines of code.</t>
        </is>
      </c>
      <c r="E1810" t="n">
        <v>0.0045</v>
      </c>
      <c r="F1810" t="n">
        <v>0.0968</v>
      </c>
      <c r="G1810" t="n">
        <v>0.16</v>
      </c>
      <c r="H1810" t="inlineStr">
        <is>
          <t>This repository contains backend software components that implement core algorithms with a time complexity of O(N). The code was initially committed and has since been modified by multiple authors. It includes comments explaining the implementation details and is licensed under the MIT license.</t>
        </is>
      </c>
      <c r="I1810" t="n">
        <v>0.0061</v>
      </c>
      <c r="J1810" t="n">
        <v>0.1923</v>
      </c>
      <c r="K1810" t="n">
        <v>0.2174</v>
      </c>
      <c r="L1810" t="inlineStr">
        <is>
          <t>This file implements the core algorithms for a web application's backend using the SpongeAPI framework. It handles various tasks such as user authentication, data storage, and server management. The code has a complexity of O(N), with existing comments providing insight into the implementation details. The purpose of the code is to provide a robust and scalable foundation for the web application's backend.</t>
        </is>
      </c>
      <c r="M1810" t="n">
        <v>0.0042</v>
      </c>
      <c r="N1810" t="n">
        <v>0.1096</v>
      </c>
      <c r="O1810" t="n">
        <v>0.1866</v>
      </c>
    </row>
    <row r="1811">
      <c r="A1811" t="inlineStr">
        <is>
          <t>sponge</t>
        </is>
      </c>
      <c r="B1811" t="inlineStr">
        <is>
          <t>src/main/java/org/spongepowered/api/state/IntegerStateProperty.java</t>
        </is>
      </c>
      <c r="C1811">
        <f>HYPERLINK("https://github.com/SpongePowered/SpongeAPI/blob/master/src/main/java/org/spongepowered/api/state/IntegerStateProperty.java")</f>
        <v/>
      </c>
      <c r="D1811" t="inlineStr">
        <is>
          <t>The provided code appears to be a Java implementation for a web application's backend. It includes various classes and methods that perform different tasks related to the application's functionality, such as handling HTTP requests and responses, managing user sessions, and implementing business logic. The code also includes comments and documentation explaining the purpose and usage of each class and method. Overall, it seems like the code</t>
        </is>
      </c>
      <c r="E1811" t="n">
        <v>0.0033</v>
      </c>
      <c r="F1811" t="n">
        <v>0.1053</v>
      </c>
      <c r="G1811" t="n">
        <v>0.1087</v>
      </c>
      <c r="H1811" t="inlineStr">
        <is>
          <t>This code appears to be a Java implementation of a server that provides a RESTful API for accessing data stored in a database. The code includes comments explaining the purpose of each class and method, as well as information about the complexity and size of the code. The README file provides additional context about the project, including its license and the fact that it is open source. Overall, this</t>
        </is>
      </c>
      <c r="I1811" t="n">
        <v>0.0031</v>
      </c>
      <c r="J1811" t="n">
        <v>0.0779</v>
      </c>
      <c r="K1811" t="n">
        <v>0.1064</v>
      </c>
      <c r="L1811" t="inlineStr">
        <is>
          <t>This file implements various algorithms for processing text data. It uses a combination of regular expressions and machine learning techniques to analyze and classify text into different categories. The code has been optimized for performance using techniques such as caching and parallelization. The project also includes a user interface for interacting with the algorithm and visualizing the results.</t>
        </is>
      </c>
      <c r="M1811" t="n">
        <v>0.0041</v>
      </c>
      <c r="N1811" t="n">
        <v>0.09089999999999999</v>
      </c>
      <c r="O1811" t="n">
        <v>0.1538</v>
      </c>
    </row>
    <row r="1812">
      <c r="A1812" t="inlineStr">
        <is>
          <t>sponge</t>
        </is>
      </c>
      <c r="B1812" t="inlineStr">
        <is>
          <t>src/main/java/org/spongepowered/api/state/BooleanStateProperties.java</t>
        </is>
      </c>
      <c r="C1812">
        <f>HYPERLINK("https://github.com/SpongePowered/SpongeAPI/blob/master/src/main/java/org/spongepowered/api/state/BooleanStateProperties.java")</f>
        <v/>
      </c>
      <c r="D1812" t="inlineStr">
        <is>
          <t>This code appears to be a Java implementation of a backend system for a web application. It includes various classes and methods that perform different tasks related to the operation of the system. Some of these tasks include handling HTTP requests and responses, managing user sessions, and implementing complex algorithms. The code also includes comments and documentation explaining the purpose and usage of each class and method. Overall, it seems</t>
        </is>
      </c>
      <c r="E1812" t="n">
        <v>0.0031</v>
      </c>
      <c r="F1812" t="n">
        <v>0.0769</v>
      </c>
      <c r="G1812" t="n">
        <v>0.1056</v>
      </c>
      <c r="H1812" t="inlineStr">
        <is>
          <t>This code implements various backend software components for a web application. It includes comments explaining the purpose and implementation of each component, as well as information about the complexity and size of the code.</t>
        </is>
      </c>
      <c r="I1812" t="n">
        <v>0.0077</v>
      </c>
      <c r="J1812" t="n">
        <v>0.1905</v>
      </c>
      <c r="K1812" t="n">
        <v>0.1887</v>
      </c>
      <c r="L1812" t="inlineStr">
        <is>
          <t>This file implements the core algorithms for a web application using the SpongeAPI framework. It provides a RESTful API that allows users to interact with the system's data through HTTP requests. The code is written in Java and uses the Spring Boot framework for building the web service.</t>
        </is>
      </c>
      <c r="M1812" t="n">
        <v>0.0054</v>
      </c>
      <c r="N1812" t="n">
        <v>0.1404</v>
      </c>
      <c r="O1812" t="n">
        <v>0.2083</v>
      </c>
    </row>
    <row r="1813">
      <c r="A1813" t="inlineStr">
        <is>
          <t>sponge</t>
        </is>
      </c>
      <c r="B1813" t="inlineStr">
        <is>
          <t>src/main/java/org/spongepowered/api/command/package-info.java</t>
        </is>
      </c>
      <c r="C1813">
        <f>HYPERLINK("https://github.com/SpongePowered/SpongeAPI/blob/master/src/main/java/org/spongepowered/api/command/package-info.java")</f>
        <v/>
      </c>
      <c r="D1813" t="inlineStr">
        <is>
          <t>The provided code appears to be a Java implementation of various algorithms for solving problems related to graphs. It includes classes for representing graph nodes and edges, as well as methods for traversing and manipulating these structures. The code also includes comments describing the purpose and complexity of each method, as well as information about commits and code size. Overall, it seems like this code could be used as a</t>
        </is>
      </c>
      <c r="E1813" t="n">
        <v>0.0026</v>
      </c>
      <c r="F1813" t="n">
        <v>0.0513</v>
      </c>
      <c r="G1813" t="n">
        <v>0.1408</v>
      </c>
      <c r="H1813" t="inlineStr">
        <is>
          <t>Summary: This repository contains backend software components that implement core algorithms. It has a complexity of O(N) and uses comments to explain its purpose and implementation. The code size is 1000 lines.</t>
        </is>
      </c>
      <c r="I1813" t="n">
        <v>0.0083</v>
      </c>
      <c r="J1813" t="n">
        <v>0.2439</v>
      </c>
      <c r="K1813" t="n">
        <v>0.41</v>
      </c>
      <c r="L1813" t="inlineStr">
        <is>
          <t>This file implements the core algorithms for a web application using the SpongeAPI framework. It handles various tasks such as user authentication, data storage, and server management. The code has a complexity of O(N), with existing comments providing insight into implementation details. The purpose of the code is to provide a robust and scalable foundation for the web application's backend components.</t>
        </is>
      </c>
      <c r="M1813" t="n">
        <v>0.0042</v>
      </c>
      <c r="N1813" t="n">
        <v>0.1127</v>
      </c>
      <c r="O1813" t="n">
        <v>0.188</v>
      </c>
    </row>
    <row r="1814">
      <c r="A1814" t="inlineStr">
        <is>
          <t>sponge</t>
        </is>
      </c>
      <c r="B1814" t="inlineStr">
        <is>
          <t>src/main/java/org/spongepowered/api/command/CommandCause.java</t>
        </is>
      </c>
      <c r="C1814">
        <f>HYPERLINK("https://github.com/SpongePowered/SpongeAPI/blob/master/src/main/java/org/spongepowered/api/command/CommandCause.java")</f>
        <v/>
      </c>
      <c r="D1814" t="inlineStr">
        <is>
          <t>This code appears to be a Java implementation of various algorithms for solving problems related to graphs and networks. It includes functions for computing shortest paths, minimum spanning trees, and other graph-related tasks. The code also includes comments explaining the purpose of each function and its complexity. The project's README describes it as a collection of backend software components that implement core algorithms.</t>
        </is>
      </c>
      <c r="E1814" t="n">
        <v>0.0041</v>
      </c>
      <c r="F1814" t="n">
        <v>0.1096</v>
      </c>
      <c r="G1814" t="n">
        <v>0.3786</v>
      </c>
      <c r="H1814" t="inlineStr">
        <is>
          <t>This code implements a set of backend software components that perform various tasks related to the management of data. It includes a number of functions for handling different types of data, such as strings, integers, and arrays, and also provides support for working with databases and other external systems. Overall, the code appears to be well-structured and follows best practices for software development.</t>
        </is>
      </c>
      <c r="I1814" t="n">
        <v>0.0041</v>
      </c>
      <c r="J1814" t="n">
        <v>0.1111</v>
      </c>
      <c r="K1814" t="n">
        <v>0.1852</v>
      </c>
      <c r="L1814" t="inlineStr">
        <is>
          <t>This file implements the core algorithms for a web application using the SpongeAPI framework. It is written in Java and uses the MIT license. The code has a complexity of O(N) and includes existing comments that provide implementation details. The code size is approximately 1000 lines long.</t>
        </is>
      </c>
      <c r="M1814" t="n">
        <v>0.0055</v>
      </c>
      <c r="N1814" t="n">
        <v>0.1429</v>
      </c>
      <c r="O1814" t="n">
        <v>0.2101</v>
      </c>
    </row>
    <row r="1815">
      <c r="A1815" t="inlineStr">
        <is>
          <t>sponge</t>
        </is>
      </c>
      <c r="B1815" t="inlineStr">
        <is>
          <t>src/main/java/org/spongepowered/api/command/CommandResult.java</t>
        </is>
      </c>
      <c r="C1815">
        <f>HYPERLINK("https://github.com/SpongePowered/SpongeAPI/blob/master/src/main/java/org/spongepowered/api/command/CommandResult.java")</f>
        <v/>
      </c>
      <c r="D1815" t="inlineStr">
        <is>
          <t>This code appears to be a Java implementation of a backend system that provides various functionalities such as user authentication, data storage, and processing. It uses the Spring Framework for dependency injection and manages dependencies through the use of annotations. The code also includes comments explaining the purpose of each class and method, making it easier to understand and maintain. Overall, this code seems to be well-struct</t>
        </is>
      </c>
      <c r="E1815" t="n">
        <v>0.0032</v>
      </c>
      <c r="F1815" t="n">
        <v>0.1053</v>
      </c>
      <c r="G1815" t="n">
        <v>0.1439</v>
      </c>
      <c r="H1815" t="inlineStr">
        <is>
          <t>This code is a Java implementation of a backend system that uses a specific algorithm to perform certain tasks. It has been written with performance optimization in mind, as indicated by its complexity being O(N), where N represents the size of the input data set. The code includes comments throughout to help explain how it works and what each section does. There have been no commits made to the code since its</t>
        </is>
      </c>
      <c r="I1815" t="n">
        <v>0.003</v>
      </c>
      <c r="J1815" t="n">
        <v>0.0741</v>
      </c>
      <c r="K1815" t="n">
        <v>0.2192</v>
      </c>
      <c r="L1815" t="inlineStr">
        <is>
          <t>This file implements the core algorithms for a web application's backend. It uses the MIT license and has a complexity of O(N), with existing comments that provide implementation details. The code size is approximately 1000 lines long.</t>
        </is>
      </c>
      <c r="M1815" t="n">
        <v>0.0071</v>
      </c>
      <c r="N1815" t="n">
        <v>0.1702</v>
      </c>
      <c r="O1815" t="n">
        <v>0.2294</v>
      </c>
    </row>
    <row r="1816">
      <c r="A1816" t="inlineStr">
        <is>
          <t>sponge</t>
        </is>
      </c>
      <c r="B1816" t="inlineStr">
        <is>
          <t>src/main/java/org/spongepowered/api/command/CommandCompletion.java</t>
        </is>
      </c>
      <c r="C1816">
        <f>HYPERLINK("https://github.com/SpongePowered/SpongeAPI/blob/master/src/main/java/org/spongepowered/api/command/CommandCompletion.java")</f>
        <v/>
      </c>
      <c r="D1816" t="inlineStr">
        <is>
          <t>This code implements various core algorithms for a backend system. It includes features such as data processing, analysis, and visualization. The complexity of the code is O(N), where N is the size of the input dataset. The code has been implemented using Java and uses the SpongeAPI framework. There have been several commits to the codebase over time, with the initial commit containing the</t>
        </is>
      </c>
      <c r="E1816" t="n">
        <v>0.004</v>
      </c>
      <c r="F1816" t="n">
        <v>0.1096</v>
      </c>
      <c r="G1816" t="n">
        <v>0.1838</v>
      </c>
      <c r="H1816" t="inlineStr">
        <is>
          <t>This code implements various backend software components for a web application. It includes core algorithms that are implemented using Java. The complexity of the code is O(N), where N is the number of elements being processed. The code has been committed once with an initial set of code. The size of the code is approximately 1000 lines.</t>
        </is>
      </c>
      <c r="I1816" t="n">
        <v>0.0045</v>
      </c>
      <c r="J1816" t="n">
        <v>0.09089999999999999</v>
      </c>
      <c r="K1816" t="n">
        <v>0.1938</v>
      </c>
      <c r="L1816" t="inlineStr">
        <is>
          <t>This file implements the core algorithms for a web application's backend using Java. It uses the SpongeAPI library, which provides a set of tools for building modular and extensible applications. The code is well-documented and includes comments explaining the implementation details. The overall complexity of the code is O(N), where N is the number of input elements.</t>
        </is>
      </c>
      <c r="M1816" t="n">
        <v>0.0045</v>
      </c>
      <c r="N1816" t="n">
        <v>0.1176</v>
      </c>
      <c r="O1816" t="n">
        <v>0.1938</v>
      </c>
    </row>
    <row r="1817">
      <c r="A1817" t="inlineStr">
        <is>
          <t>sponge</t>
        </is>
      </c>
      <c r="B1817" t="inlineStr">
        <is>
          <t>src/main/java/org/spongepowered/api/command/Command.java</t>
        </is>
      </c>
      <c r="C1817">
        <f>HYPERLINK("https://github.com/SpongePowered/SpongeAPI/blob/master/src/main/java/org/spongepowered/api/command/Command.java")</f>
        <v/>
      </c>
      <c r="D1817" t="inlineStr">
        <is>
          <t>This code implements various algorithms for processing data. It appears to be written in Java and uses the SpongeAPI library. The code has been commented extensively and includes a README file that describes the purpose of the repository and provides information about the complexity and size of the code. There have been several commits made to the codebase since its initial creation, with each commit containing changes to</t>
        </is>
      </c>
      <c r="E1817" t="n">
        <v>0.0035</v>
      </c>
      <c r="F1817" t="n">
        <v>0.0789</v>
      </c>
      <c r="G1817" t="n">
        <v>0.1429</v>
      </c>
      <c r="H1817" t="inlineStr">
        <is>
          <t>This code implements a set of backend software components that perform various tasks related to data processing and analysis. The code is written in Java and uses the Spring framework for dependency injection and configuration management. It includes several modules, each with its own responsibilities and functionalities. Some of the key features include:
* Data processing: The code can process large datasets and perform complex calculations on them</t>
        </is>
      </c>
      <c r="I1817" t="n">
        <v>0.0038</v>
      </c>
      <c r="J1817" t="n">
        <v>0.1333</v>
      </c>
      <c r="K1817" t="n">
        <v>0.1786</v>
      </c>
      <c r="L1817" t="inlineStr">
        <is>
          <t>This file implements the core algorithms for a web application using the SpongeAPI framework. It handles various tasks such as user authentication, data storage, and API endpoint handling.</t>
        </is>
      </c>
      <c r="M1817" t="n">
        <v>0.0095</v>
      </c>
      <c r="N1817" t="n">
        <v>0.2222</v>
      </c>
      <c r="O1817" t="n">
        <v>0.25</v>
      </c>
    </row>
    <row r="1818">
      <c r="A1818" t="inlineStr">
        <is>
          <t>sponge</t>
        </is>
      </c>
      <c r="B1818" t="inlineStr">
        <is>
          <t>src/main/java/org/spongepowered/api/command/CommandExecutor.java</t>
        </is>
      </c>
      <c r="C1818">
        <f>HYPERLINK("https://github.com/SpongePowered/SpongeAPI/blob/master/src/main/java/org/spongepowered/api/command/CommandExecutor.java")</f>
        <v/>
      </c>
      <c r="D1818" t="inlineStr">
        <is>
          <t>The code implements various algorithms for processing data, with a focus on efficiency and scalability. It appears to be written in Java, using the SpongeAPI framework, which provides a set of tools for building web applications. The code includes comments that explain its purpose and provide guidance on how to implement certain features. The complexity of the code is O(N), where N represents the size of</t>
        </is>
      </c>
      <c r="E1818" t="n">
        <v>0.0033</v>
      </c>
      <c r="F1818" t="n">
        <v>0.0533</v>
      </c>
      <c r="G1818" t="n">
        <v>0.1087</v>
      </c>
      <c r="H1818" t="inlineStr">
        <is>
          <t>This code implements a backend system for a web application. It consists of several components that work together to provide a robust and scalable infrastructure for the app's operations. The code includes comments explaining its purpose and implementation details, as well as a README file with information about the project's goals, complexity, and other relevant metadata. Overall, the code appears to be well</t>
        </is>
      </c>
      <c r="I1818" t="n">
        <v>0.0038</v>
      </c>
      <c r="J1818" t="n">
        <v>0.0822</v>
      </c>
      <c r="K1818" t="n">
        <v>0.1481</v>
      </c>
      <c r="L1818" t="inlineStr">
        <is>
          <t>This file implements the core algorithms for a web application using the SpongeAPI framework. It includes functions for handling HTTP requests and responses, as well as business logic for managing user accounts and permissions. The code is written in Java and uses the MIT license, which allows for modification and distribution of the code.</t>
        </is>
      </c>
      <c r="M1818" t="n">
        <v>0.0048</v>
      </c>
      <c r="N1818" t="n">
        <v>0.1935</v>
      </c>
      <c r="O1818" t="n">
        <v>0.1984</v>
      </c>
    </row>
    <row r="1819">
      <c r="A1819" t="inlineStr">
        <is>
          <t>sponge</t>
        </is>
      </c>
      <c r="B1819" t="inlineStr">
        <is>
          <t>src/main/java/org/spongepowered/api/command/manager/package-info.java</t>
        </is>
      </c>
      <c r="C1819">
        <f>HYPERLINK("https://github.com/SpongePowered/SpongeAPI/blob/master/src/main/java/org/spongepowered/api/command/manager/package-info.java")</f>
        <v/>
      </c>
      <c r="D1819" t="inlineStr">
        <is>
          <t>This code appears to be a Java implementation of various algorithms for solving certain problems. It includes comments that explain the purpose of each algorithm and the complexity of their implementations. The code also includes a README file that describes the overall structure of the project and provides information about the complexity and performance characteristics of the implemented algorithms. Overall, it seems like this codebase is intended to serve as a</t>
        </is>
      </c>
      <c r="E1819" t="n">
        <v>0.003</v>
      </c>
      <c r="F1819" t="n">
        <v>0.0759</v>
      </c>
      <c r="G1819" t="n">
        <v>0.1049</v>
      </c>
      <c r="H1819" t="inlineStr">
        <is>
          <t>This repository contains backend software components that implement core algorithms. The complexity of the code is O(N), with comments describing the implementation of these algorithms. The code size is approximately 1000 lines long.</t>
        </is>
      </c>
      <c r="I1819" t="n">
        <v>0.0074</v>
      </c>
      <c r="J1819" t="n">
        <v>0.1905</v>
      </c>
      <c r="K1819" t="n">
        <v>0.1905</v>
      </c>
      <c r="L1819" t="inlineStr">
        <is>
          <t>This code implements a system for generating random numbers using the Mersenne Twister algorithm. It takes an integer parameter `seed` as input and uses it to initialize the internal state of the generator. The `generate()` method then returns a new random number from the generated sequence. The code also includes comments explaining the purpose of each function and variable, as well as providing some basic information about the</t>
        </is>
      </c>
      <c r="M1819" t="n">
        <v>0.0035</v>
      </c>
      <c r="N1819" t="n">
        <v>0.1053</v>
      </c>
      <c r="O1819" t="n">
        <v>0.2254</v>
      </c>
    </row>
    <row r="1820">
      <c r="A1820" t="inlineStr">
        <is>
          <t>sponge</t>
        </is>
      </c>
      <c r="B1820" t="inlineStr">
        <is>
          <t>src/main/java/org/spongepowered/api/command/manager/CommandFailedRegistrationException.java</t>
        </is>
      </c>
      <c r="C1820">
        <f>HYPERLINK("https://github.com/SpongePowered/SpongeAPI/blob/master/src/main/java/org/spongepowered/api/command/manager/CommandFailedRegistrationException.java")</f>
        <v/>
      </c>
      <c r="D1820" t="inlineStr">
        <is>
          <t>This code appears to be a Java implementation of a backend system for a web application. It includes comments explaining the purpose of each class and method, as well as a license header indicating that it is open source with the MIT License. The code also includes a README file that describes the project's goals and provides some basic information about its complexity and size. Overall, it seems</t>
        </is>
      </c>
      <c r="E1820" t="n">
        <v>0.0032</v>
      </c>
      <c r="F1820" t="n">
        <v>0.0779</v>
      </c>
      <c r="G1820" t="n">
        <v>0.1071</v>
      </c>
      <c r="H1820" t="inlineStr">
        <is>
          <t>This code implements a backend system for a web application. It includes various features such as user authentication, data storage, and algorithm implementation. The complexity of the code is O(N), indicating that it has a linear time complexity. The comments provide insight into the purpose and implementation details of each section of the code. There have been several commits to the project, with the first one being the initial</t>
        </is>
      </c>
      <c r="I1820" t="n">
        <v>0.0035</v>
      </c>
      <c r="J1820" t="n">
        <v>0.0769</v>
      </c>
      <c r="K1820" t="n">
        <v>0.1064</v>
      </c>
      <c r="L1820" t="inlineStr">
        <is>
          <t>This file implements the core algorithms for a web application using the SpongeAPI framework. It is written in Java and uses the MIT license. The code has been optimized for performance and includes comments explaining the implementation details.</t>
        </is>
      </c>
      <c r="M1820" t="n">
        <v>0.0069</v>
      </c>
      <c r="N1820" t="n">
        <v>0.1739</v>
      </c>
      <c r="O1820" t="n">
        <v>0.2273</v>
      </c>
    </row>
    <row r="1821">
      <c r="A1821" t="inlineStr">
        <is>
          <t>sponge</t>
        </is>
      </c>
      <c r="B1821" t="inlineStr">
        <is>
          <t>src/main/java/org/spongepowered/api/command/manager/CommandMapping.java</t>
        </is>
      </c>
      <c r="C1821">
        <f>HYPERLINK("https://github.com/SpongePowered/SpongeAPI/blob/master/src/main/java/org/spongepowered/api/command/manager/CommandMapping.java")</f>
        <v/>
      </c>
      <c r="D1821" t="inlineStr">
        <is>
          <t>The code implements various algorithms for solving problems related to graphs, such as finding shortest paths, minimum spanning trees, and other graph-related tasks. It also includes comments explaining the implementation and providing information about the complexity and performance characteristics of each algorithm.</t>
        </is>
      </c>
      <c r="E1821" t="n">
        <v>0.0052</v>
      </c>
      <c r="F1821" t="n">
        <v>0.0784</v>
      </c>
      <c r="G1821" t="n">
        <v>0.0877</v>
      </c>
      <c r="H1821" t="inlineStr">
        <is>
          <t>This code implements a set of backend software components that perform various tasks related to data processing and analysis. The code has been optimized for performance using techniques such as caching and parallelization, and it includes comments explaining the implementation of key algorithms. The complexity of the code is O(N), where N represents the size of the input data. The code has been committed once with an initial set of features</t>
        </is>
      </c>
      <c r="I1821" t="n">
        <v>0.0036</v>
      </c>
      <c r="J1821" t="n">
        <v>0.075</v>
      </c>
      <c r="K1821" t="n">
        <v>0.1748</v>
      </c>
      <c r="L1821" t="inlineStr">
        <is>
          <t>This file implements the core algorithms for a web application using the SpongeAPI framework. It handles various tasks such as user authentication, data retrieval, and processing requests from clients. The code has a complexity of O(N), with existing comments providing insight into the implementation details. The repository also includes a README file that describes the project's purpose and provides instructions for setting up</t>
        </is>
      </c>
      <c r="M1821" t="n">
        <v>0.0041</v>
      </c>
      <c r="N1821" t="n">
        <v>0.1096</v>
      </c>
      <c r="O1821" t="n">
        <v>0.1852</v>
      </c>
    </row>
    <row r="1822">
      <c r="A1822" t="inlineStr">
        <is>
          <t>sponge</t>
        </is>
      </c>
      <c r="B1822" t="inlineStr">
        <is>
          <t>src/main/java/org/spongepowered/api/command/manager/CommandManager.java</t>
        </is>
      </c>
      <c r="C1822">
        <f>HYPERLINK("https://github.com/SpongePowered/SpongeAPI/blob/master/src/main/java/org/spongepowered/api/command/manager/CommandManager.java")</f>
        <v/>
      </c>
      <c r="D1822" t="inlineStr">
        <is>
          <t>This code appears to be a Java implementation of various algorithms for solving mathematical problems, such as finding the maximum value in an array of integers, finding the minimum value in an array of integers, and finding the sum of two arrays of integers. It also includes comments explaining the purpose and complexity of each algorithm.</t>
        </is>
      </c>
      <c r="E1822" t="n">
        <v>0.0039</v>
      </c>
      <c r="F1822" t="n">
        <v>0.09379999999999999</v>
      </c>
      <c r="G1822" t="n">
        <v>0.1563</v>
      </c>
      <c r="H1822" t="inlineStr">
        <is>
          <t>This code implements various algorithms for a backend system. It has a complexity of O(N), with comments describing the implementation details. There have been no commits since the initial codebase was created, but there is a large amount of code present. The summary provides a brief overview of the code's purpose and functionality.</t>
        </is>
      </c>
      <c r="I1822" t="n">
        <v>0.0045</v>
      </c>
      <c r="J1822" t="n">
        <v>0.09520000000000001</v>
      </c>
      <c r="K1822" t="n">
        <v>0.12</v>
      </c>
      <c r="L1822" t="inlineStr">
        <is>
          <t>The provided code implements the core algorithms for a web application's backend. It uses a modular design pattern and follows the MVC architecture. The code has a complexity of O(N), as it processes input data and generates output based on that input. The existing comments provide insight into the implementation details, while the commit messages and README context describe the overall purpose of the repository.</t>
        </is>
      </c>
      <c r="M1822" t="n">
        <v>0.0037</v>
      </c>
      <c r="N1822" t="n">
        <v>0.08</v>
      </c>
      <c r="O1822" t="n">
        <v>0.146</v>
      </c>
    </row>
    <row r="1823">
      <c r="A1823" t="inlineStr">
        <is>
          <t>sponge</t>
        </is>
      </c>
      <c r="B1823" t="inlineStr">
        <is>
          <t>src/main/java/org/spongepowered/api/command/selector/SelectorSortAlgorithm.java</t>
        </is>
      </c>
      <c r="C1823">
        <f>HYPERLINK("https://github.com/SpongePowered/SpongeAPI/blob/master/src/main/java/org/spongepowered/api/command/selector/SelectorSortAlgorithm.java")</f>
        <v/>
      </c>
      <c r="D1823" t="inlineStr">
        <is>
          <t>This code appears to be a Java implementation of a data structure called a "trie" (pronounced "try") which is used for efficient storage and retrieval of strings. It consists of a set of classes that define the nodes and edges of the trie, as well as methods for inserting, searching, and deleting strings from the trie. The complexity of the algorithm is O</t>
        </is>
      </c>
      <c r="E1823" t="n">
        <v>0.0034</v>
      </c>
      <c r="F1823" t="n">
        <v>0.08450000000000001</v>
      </c>
      <c r="G1823" t="n">
        <v>0.1481</v>
      </c>
      <c r="H1823" t="inlineStr">
        <is>
          <t>This code implements a backend system for a web application. It includes comments explaining the purpose of each section of the code, as well as a README that provides information about the project's goals and scope. The complexity of the code is estimated at O(N), where N represents the number of elements being processed. The code size is approximately 1000 lines long.</t>
        </is>
      </c>
      <c r="I1823" t="n">
        <v>0.0039</v>
      </c>
      <c r="J1823" t="n">
        <v>0.0833</v>
      </c>
      <c r="K1823" t="n">
        <v>0.1119</v>
      </c>
      <c r="L1823" t="inlineStr">
        <is>
          <t>This file implements the core algorithms for a web application's backend using the SpongeAPI framework. It handles various tasks such as user authentication, data storage, and API endpoint handling. The code has a complexity of O(N), with existing comments providing insight into implementation details. The purpose of the code is to provide a robust and scalable foundation for the web application's backend infrastr</t>
        </is>
      </c>
      <c r="M1823" t="n">
        <v>0.0041</v>
      </c>
      <c r="N1823" t="n">
        <v>0.1081</v>
      </c>
      <c r="O1823" t="n">
        <v>0.1852</v>
      </c>
    </row>
    <row r="1824">
      <c r="A1824" t="inlineStr">
        <is>
          <t>sponge</t>
        </is>
      </c>
      <c r="B1824" t="inlineStr">
        <is>
          <t>src/main/java/org/spongepowered/api/command/selector/package-info.java</t>
        </is>
      </c>
      <c r="C1824">
        <f>HYPERLINK("https://github.com/SpongePowered/SpongeAPI/blob/master/src/main/java/org/spongepowered/api/command/selector/package-info.java")</f>
        <v/>
      </c>
      <c r="D1824" t="inlineStr">
        <is>
          <t>This code appears to be a Java implementation of various algorithms for solving mathematical problems. It includes functions for computing the greatest common divisor (GCD), least common multiple (LCM), and prime factorization. The code also includes a main method that demonstrates how to use these functions by providing sample input values.</t>
        </is>
      </c>
      <c r="E1824" t="n">
        <v>0.0043</v>
      </c>
      <c r="F1824" t="n">
        <v>0.1356</v>
      </c>
      <c r="G1824" t="n">
        <v>0.1626</v>
      </c>
      <c r="H1824" t="inlineStr">
        <is>
          <t>This code implements various backend software components for a web application. It includes the implementation of core algorithms, which have a time complexity of O(N), as well as comments describing the purpose and structure of the code. The code has been committed once, with a total size of approximately 1000 lines.</t>
        </is>
      </c>
      <c r="I1824" t="n">
        <v>0.0054</v>
      </c>
      <c r="J1824" t="n">
        <v>0.1667</v>
      </c>
      <c r="K1824" t="n">
        <v>0.2033</v>
      </c>
      <c r="L1824" t="inlineStr">
        <is>
          <t>This file implements the core algorithms for a web application using the SpongeAPI framework. It handles various tasks such as user authentication, data management, and API endpoint handling. The code has been optimized for performance and scalability, with a focus on maintainable and readable code.</t>
        </is>
      </c>
      <c r="M1824" t="n">
        <v>0.0058</v>
      </c>
      <c r="N1824" t="n">
        <v>0.1509</v>
      </c>
      <c r="O1824" t="n">
        <v>0.2137</v>
      </c>
    </row>
    <row r="1825">
      <c r="A1825" t="inlineStr">
        <is>
          <t>sponge</t>
        </is>
      </c>
      <c r="B1825" t="inlineStr">
        <is>
          <t>src/main/java/org/spongepowered/api/command/selector/SelectorSortAlgorithms.java</t>
        </is>
      </c>
      <c r="C1825">
        <f>HYPERLINK("https://github.com/SpongePowered/SpongeAPI/blob/master/src/main/java/org/spongepowered/api/command/selector/SelectorSortAlgorithms.java")</f>
        <v/>
      </c>
      <c r="D1825" t="inlineStr">
        <is>
          <t>This code appears to be a Java implementation of a simple algorithm for solving a problem. It defines a class called `Solver` with a single method `solve`, which takes a list of integers as input and returns a list of integers representing the solution to the problem. The algorithm seems to be based on some kind of sorting or searching technique, but it's difficult to say more without</t>
        </is>
      </c>
      <c r="E1825" t="n">
        <v>0.0032</v>
      </c>
      <c r="F1825" t="n">
        <v>0.0779</v>
      </c>
      <c r="G1825" t="n">
        <v>0.1071</v>
      </c>
      <c r="H1825" t="inlineStr">
        <is>
          <t>This code implements a system for managing backend software components. It includes a set of algorithms that perform various tasks related to the management of these components, such as implementing new features, fixing bugs, and optimizing performance. The code also includes comments explaining the purpose and implementation of each algorithm, as well as information about the complexity of the code and how it was developed. Overall, the code</t>
        </is>
      </c>
      <c r="I1825" t="n">
        <v>0.0038</v>
      </c>
      <c r="J1825" t="n">
        <v>0.1053</v>
      </c>
      <c r="K1825" t="n">
        <v>0.1429</v>
      </c>
      <c r="L1825" t="inlineStr">
        <is>
          <t>The provided code implements a system for managing user accounts and authentication in a web application. It includes functions for creating, reading, updating, and deleting user accounts, as well as authenticating users using a username and password combination. The code also includes comments explaining the implementation of core algorithms and the purpose of each function.</t>
        </is>
      </c>
      <c r="M1825" t="n">
        <v>0.0044</v>
      </c>
      <c r="N1825" t="n">
        <v>0.09520000000000001</v>
      </c>
      <c r="O1825" t="n">
        <v>0.1575</v>
      </c>
    </row>
    <row r="1826">
      <c r="A1826" t="inlineStr">
        <is>
          <t>sponge</t>
        </is>
      </c>
      <c r="B1826" t="inlineStr">
        <is>
          <t>src/main/java/org/spongepowered/api/command/selector/Selector.java</t>
        </is>
      </c>
      <c r="C1826">
        <f>HYPERLINK("https://github.com/SpongePowered/SpongeAPI/blob/master/src/main/java/org/spongepowered/api/command/selector/Selector.java")</f>
        <v/>
      </c>
      <c r="D1826" t="inlineStr">
        <is>
          <t>This code appears to be a Java implementation of a server-side application that provides various features for managing and processing data. It includes a number of different modules and classes, each with its own specific responsibilities and functionalities. Some of these include:
* `Server`: This class represents the main entry point for the application and handles incoming requests from clients. It also manages</t>
        </is>
      </c>
      <c r="E1826" t="n">
        <v>0.0034</v>
      </c>
      <c r="F1826" t="n">
        <v>0.1127</v>
      </c>
      <c r="G1826" t="n">
        <v>0.1481</v>
      </c>
      <c r="H1826" t="inlineStr">
        <is>
          <t>This code implements a backend system that consists of various algorithms for processing data. It uses the MIT license, which allows users to use, copy, modify, merge, publish, distribute, sublicense, and/or sell copies of the software, as long as they include the original copyright notice and permission notice. The code has been committed once and its size is approximately 1</t>
        </is>
      </c>
      <c r="I1826" t="n">
        <v>0.004</v>
      </c>
      <c r="J1826" t="n">
        <v>0.08699999999999999</v>
      </c>
      <c r="K1826" t="n">
        <v>0.1515</v>
      </c>
      <c r="L1826" t="inlineStr">
        <is>
          <t>This file is part of SpongeAPI, a set of open-source libraries for building server-side plugins for Minecraft servers. It appears to implement various features related to plugin management and communication between plugins.</t>
        </is>
      </c>
      <c r="M1826" t="n">
        <v>0.0069</v>
      </c>
      <c r="N1826" t="n">
        <v>0.1429</v>
      </c>
      <c r="O1826" t="n">
        <v>0.1923</v>
      </c>
    </row>
    <row r="1827">
      <c r="A1827" t="inlineStr">
        <is>
          <t>sponge</t>
        </is>
      </c>
      <c r="B1827" t="inlineStr">
        <is>
          <t>src/main/java/org/spongepowered/api/command/selector/SelectorTypes.java</t>
        </is>
      </c>
      <c r="C1827">
        <f>HYPERLINK("https://github.com/SpongePowered/SpongeAPI/blob/master/src/main/java/org/spongepowered/api/command/selector/SelectorTypes.java")</f>
        <v/>
      </c>
      <c r="D1827" t="inlineStr">
        <is>
          <t>This code appears to be a Java implementation of various algorithms for solving problems related to graphs, such as finding the shortest path between two nodes in a graph or determining whether a given graph is connected. It uses a variety of data structures and techniques, including adjacency matrices, breadth-first search, and depth-first search. The code also includes comments explaining the purpose and complexity</t>
        </is>
      </c>
      <c r="E1827" t="n">
        <v>0.0034</v>
      </c>
      <c r="F1827" t="n">
        <v>0.08110000000000001</v>
      </c>
      <c r="G1827" t="n">
        <v>0.1471</v>
      </c>
      <c r="H1827" t="inlineStr">
        <is>
          <t>This code implements a system for processing data using a modular architecture. It consists of several modules that work together to perform specific tasks, such as data ingestion, data transformation, and data storage. The code is written in Java and uses a variety of libraries and frameworks to handle different aspects of the system's operation. The README file provides information about the project's goals and</t>
        </is>
      </c>
      <c r="I1827" t="n">
        <v>0.0037</v>
      </c>
      <c r="J1827" t="n">
        <v>0.08</v>
      </c>
      <c r="K1827" t="n">
        <v>0.1825</v>
      </c>
      <c r="L1827" t="inlineStr">
        <is>
          <t>This file implements the core algorithms for a web application using the SpongeAPI framework. It provides a high-level overview of the code's functionality and purpose, highlighting its complexity, existing comments, commit messages, README content, and code size.</t>
        </is>
      </c>
      <c r="M1827" t="n">
        <v>0.0133</v>
      </c>
      <c r="N1827" t="n">
        <v>0.2128</v>
      </c>
      <c r="O1827" t="n">
        <v>0.2294</v>
      </c>
    </row>
    <row r="1828">
      <c r="A1828" t="inlineStr">
        <is>
          <t>sponge</t>
        </is>
      </c>
      <c r="B1828" t="inlineStr">
        <is>
          <t>src/main/java/org/spongepowered/api/command/selector/SelectorType.java</t>
        </is>
      </c>
      <c r="C1828">
        <f>HYPERLINK("https://github.com/SpongePowered/SpongeAPI/blob/master/src/main/java/org/spongepowered/api/command/selector/SelectorType.java")</f>
        <v/>
      </c>
      <c r="D1828" t="inlineStr">
        <is>
          <t>This code implements a system for processing data using algorithms. It uses O(N) complexity and has comments explaining its implementation.</t>
        </is>
      </c>
      <c r="E1828" t="n">
        <v>0.0127</v>
      </c>
      <c r="F1828" t="n">
        <v>0.2069</v>
      </c>
      <c r="G1828" t="n">
        <v>0.2174</v>
      </c>
      <c r="H1828" t="inlineStr">
        <is>
          <t>This code implements various backend software components for a web application. It includes a number of classes and functions that implement core algorithms, such as data storage and retrieval, user authentication, and API endpoint handling. The code is written in Java and uses the Spring Framework for dependency injection and configuration management. The README file provides an overview of the project's purpose, its complexity, and</t>
        </is>
      </c>
      <c r="I1828" t="n">
        <v>0.0042</v>
      </c>
      <c r="J1828" t="n">
        <v>0.1351</v>
      </c>
      <c r="K1828" t="n">
        <v>0.219</v>
      </c>
      <c r="L1828" t="inlineStr">
        <is>
          <t>This file implements a set of functions for performing various tasks related to data processing and analysis. It appears to be written in Java and uses the SpongeAPI library for some of its functionality. The code is well-documented, with comments explaining the purpose of each function and how they fit into the overall system. Overall, this code appears to be designed to perform complex data manipulation</t>
        </is>
      </c>
      <c r="M1828" t="n">
        <v>0.0036</v>
      </c>
      <c r="N1828" t="n">
        <v>0.1067</v>
      </c>
      <c r="O1828" t="n">
        <v>0.2287</v>
      </c>
    </row>
    <row r="1829">
      <c r="A1829" t="inlineStr">
        <is>
          <t>sponge</t>
        </is>
      </c>
      <c r="B1829" t="inlineStr">
        <is>
          <t>src/main/java/org/spongepowered/api/command/registrar/CommandRegistrarType.java</t>
        </is>
      </c>
      <c r="C1829">
        <f>HYPERLINK("https://github.com/SpongePowered/SpongeAPI/blob/master/src/main/java/org/spongepowered/api/command/registrar/CommandRegistrarType.java")</f>
        <v/>
      </c>
      <c r="D1829" t="inlineStr">
        <is>
          <t>This code appears to be a Java implementation of a system for processing data. It includes comments that describe its purpose and complexity, as well as information about commits, code size, and other relevant details.</t>
        </is>
      </c>
      <c r="E1829" t="n">
        <v>0.0063</v>
      </c>
      <c r="F1829" t="n">
        <v>0.1395</v>
      </c>
      <c r="G1829" t="n">
        <v>0.1402</v>
      </c>
      <c r="H1829" t="inlineStr">
        <is>
          <t>This code implements the backend for a web application. It consists of several components that work together to provide a robust and scalable infrastructure. The code includes comments explaining the purpose and implementation of each component, as well as a README file with information about the project's goals and objectives. The complexity of the code is described as O(N), indicating that it has a linear</t>
        </is>
      </c>
      <c r="I1829" t="n">
        <v>0.0037</v>
      </c>
      <c r="J1829" t="n">
        <v>0.08</v>
      </c>
      <c r="K1829" t="n">
        <v>0.146</v>
      </c>
      <c r="L1829" t="inlineStr">
        <is>
          <t>This file implements the core algorithms for a web application's backend. It uses the MIT license and has a complexity of O(N), with existing comments that provide implementation details. The code size is approximately 1000 lines.</t>
        </is>
      </c>
      <c r="M1829" t="n">
        <v>0.0073</v>
      </c>
      <c r="N1829" t="n">
        <v>0.1739</v>
      </c>
      <c r="O1829" t="n">
        <v>0.2315</v>
      </c>
    </row>
    <row r="1830">
      <c r="A1830" t="inlineStr">
        <is>
          <t>sponge</t>
        </is>
      </c>
      <c r="B1830" t="inlineStr">
        <is>
          <t>src/main/java/org/spongepowered/api/command/registrar/package-info.java</t>
        </is>
      </c>
      <c r="C1830">
        <f>HYPERLINK("https://github.com/SpongePowered/SpongeAPI/blob/master/src/main/java/org/spongepowered/api/command/registrar/package-info.java")</f>
        <v/>
      </c>
      <c r="D1830" t="inlineStr">
        <is>
          <t>The provided code implements various algorithms for processing data, with a focus on efficiency and simplicity. It appears to be written in Java and uses the SpongeAPI library for some of its functionalities. The code includes comments that explain the purpose and implementation of each algorithm, as well as the complexity and size of the code. Overall, it seems like a solid foundation for building a robust and</t>
        </is>
      </c>
      <c r="E1830" t="n">
        <v>0.0032</v>
      </c>
      <c r="F1830" t="n">
        <v>0.0789</v>
      </c>
      <c r="G1830" t="n">
        <v>0.1071</v>
      </c>
      <c r="H1830" t="inlineStr">
        <is>
          <t>This code implements a set of backend software components that perform various tasks such as data processing, analysis, and manipulation. It uses a modular design with separate modules for each component, allowing for easy maintenance and updates. The code is written in a clean and efficient manner, making it suitable for large-scale applications. The README provides detailed information about the project's goals, complexity</t>
        </is>
      </c>
      <c r="I1830" t="n">
        <v>0.0041</v>
      </c>
      <c r="J1830" t="n">
        <v>0.1096</v>
      </c>
      <c r="K1830" t="n">
        <v>0.2222</v>
      </c>
      <c r="L1830" t="inlineStr">
        <is>
          <t>This file implements the core algorithms for the SpongeAPI project, which is licensed under the MIT license. It includes functions for data manipulation, processing, and analysis. The code is written in Java and uses various libraries such as Guava and Apache Commons Lang.</t>
        </is>
      </c>
      <c r="M1830" t="n">
        <v>0.0061</v>
      </c>
      <c r="N1830" t="n">
        <v>0.1961</v>
      </c>
      <c r="O1830" t="n">
        <v>0.2174</v>
      </c>
    </row>
    <row r="1831">
      <c r="A1831" t="inlineStr">
        <is>
          <t>sponge</t>
        </is>
      </c>
      <c r="B1831" t="inlineStr">
        <is>
          <t>src/main/java/org/spongepowered/api/command/registrar/CommandRegistrar.java</t>
        </is>
      </c>
      <c r="C1831">
        <f>HYPERLINK("https://github.com/SpongePowered/SpongeAPI/blob/master/src/main/java/org/spongepowered/api/command/registrar/CommandRegistrar.java")</f>
        <v/>
      </c>
      <c r="D1831" t="inlineStr">
        <is>
          <t>The provided code appears to be a Java implementation of a simple algorithm for solving a problem. It consists of a single class with several methods that perform different operations on an input array. The main method takes an integer array as input and calls other methods to sort it using various sorting algorithms. The code also includes comments explaining the purpose of each method and the overall structure of the program. Overall,</t>
        </is>
      </c>
      <c r="E1831" t="n">
        <v>0.0025</v>
      </c>
      <c r="F1831" t="n">
        <v>0.0494</v>
      </c>
      <c r="G1831" t="n">
        <v>0.1034</v>
      </c>
      <c r="H1831" t="inlineStr">
        <is>
          <t>This code implements a backend system that uses various algorithms for processing data. It is written in Java and has a complexity of O(N), where N is the size of the input data set. The code includes comments explaining its implementation and provides a README file with information about the project's purpose and structure. The code has been committed once and has a total size of approximately 1</t>
        </is>
      </c>
      <c r="I1831" t="n">
        <v>0.0035</v>
      </c>
      <c r="J1831" t="n">
        <v>0.0769</v>
      </c>
      <c r="K1831" t="n">
        <v>0.1429</v>
      </c>
      <c r="L1831" t="inlineStr">
        <is>
          <t>This file implements the core algorithms for a web application using SpongeAPI, a popular open-source API framework. It handles various tasks such as user authentication, data storage, and server management. The code has a complexity of O(N), with existing comments providing insight into implementation details.</t>
        </is>
      </c>
      <c r="M1831" t="n">
        <v>0.0058</v>
      </c>
      <c r="N1831" t="n">
        <v>0.1455</v>
      </c>
      <c r="O1831" t="n">
        <v>0.2137</v>
      </c>
    </row>
    <row r="1832">
      <c r="A1832" t="inlineStr">
        <is>
          <t>sponge</t>
        </is>
      </c>
      <c r="B1832" t="inlineStr">
        <is>
          <t>src/main/java/org/spongepowered/api/command/registrar/tree/package-info.java</t>
        </is>
      </c>
      <c r="C1832">
        <f>HYPERLINK("https://github.com/SpongePowered/SpongeAPI/blob/master/src/main/java/org/spongepowered/api/command/registrar/tree/package-info.java")</f>
        <v/>
      </c>
      <c r="D1832" t="inlineStr">
        <is>
          <t>The provided code appears to be a Java implementation of various algorithms for solving mathematical problems. It includes classes for implementing different types of equations, such as linear and nonlinear equations, and also includes functions for solving systems of equations. The code also includes comments explaining the purpose and usage of each class and function. Overall, it seems like this codebase could be used as a foundation for building more</t>
        </is>
      </c>
      <c r="E1832" t="n">
        <v>0.0026</v>
      </c>
      <c r="F1832" t="n">
        <v>0.0769</v>
      </c>
      <c r="G1832" t="n">
        <v>0.1408</v>
      </c>
      <c r="H1832" t="inlineStr">
        <is>
          <t>This repository contains backend software components that implement various algorithms. The complexity of the code is O(N), where N represents the size of the input data. The code includes comments explaining the implementation details and the purpose of each algorithm. The commits include an initial codebase commit. The total code size is approximately 1000 lines.</t>
        </is>
      </c>
      <c r="I1832" t="n">
        <v>0.0044</v>
      </c>
      <c r="J1832" t="n">
        <v>0.125</v>
      </c>
      <c r="K1832" t="n">
        <v>0.1575</v>
      </c>
      <c r="L1832" t="inlineStr">
        <is>
          <t>This file implements the core algorithms for a web application's backend using the SpongeAPI framework. It handles various tasks such as user authentication, data storage, and API endpoint implementation.</t>
        </is>
      </c>
      <c r="M1832" t="n">
        <v>0.0092</v>
      </c>
      <c r="N1832" t="n">
        <v>0.2105</v>
      </c>
      <c r="O1832" t="n">
        <v>0.2475</v>
      </c>
    </row>
    <row r="1833">
      <c r="A1833" t="inlineStr">
        <is>
          <t>sponge</t>
        </is>
      </c>
      <c r="B1833" t="inlineStr">
        <is>
          <t>src/main/java/org/spongepowered/api/command/registrar/tree/CommandTreeNodeTypes.java</t>
        </is>
      </c>
      <c r="C1833">
        <f>HYPERLINK("https://github.com/SpongePowered/SpongeAPI/blob/master/src/main/java/org/spongepowered/api/command/registrar/tree/CommandTreeNodeTypes.java")</f>
        <v/>
      </c>
      <c r="D1833" t="inlineStr">
        <is>
          <t>This code appears to be a Java implementation of various data structures and algorithms used in computer science. It includes classes for implementing stacks, queues, linked lists, trees, graphs, and other data structures, as well as functions for searching, sorting, and manipulating these data structures. The code also includes comments explaining the purpose and usage of each class and function.</t>
        </is>
      </c>
      <c r="E1833" t="n">
        <v>0.0036</v>
      </c>
      <c r="F1833" t="n">
        <v>0.1176</v>
      </c>
      <c r="G1833" t="n">
        <v>0.1515</v>
      </c>
      <c r="H1833" t="inlineStr">
        <is>
          <t>This code implements a set of backend software components that perform various tasks related to data processing and analysis. It uses the MIT License for open-source distribution and allows users to modify and redistribute the code with certain restrictions. The code has been committed once and its size is approximately 1000 lines long. The complexity of the code is O(N), indicating that it grows</t>
        </is>
      </c>
      <c r="I1833" t="n">
        <v>0.004</v>
      </c>
      <c r="J1833" t="n">
        <v>0.08110000000000001</v>
      </c>
      <c r="K1833" t="n">
        <v>0.1838</v>
      </c>
      <c r="L1833" t="inlineStr">
        <is>
          <t>This file implements various functions related to the management and manipulation of data structures such as lists and maps. It uses the MIT license and has been contributed by multiple authors. The code is written in Java and is part of a larger project called SpongeAPI.</t>
        </is>
      </c>
      <c r="M1833" t="n">
        <v>0.0053</v>
      </c>
      <c r="N1833" t="n">
        <v>0.1481</v>
      </c>
      <c r="O1833" t="n">
        <v>0.1695</v>
      </c>
    </row>
    <row r="1834">
      <c r="A1834" t="inlineStr">
        <is>
          <t>sponge</t>
        </is>
      </c>
      <c r="B1834" t="inlineStr">
        <is>
          <t>src/main/java/org/spongepowered/api/command/registrar/tree/CommandTreeNodeType.java</t>
        </is>
      </c>
      <c r="C1834">
        <f>HYPERLINK("https://github.com/SpongePowered/SpongeAPI/blob/master/src/main/java/org/spongepowered/api/command/registrar/tree/CommandTreeNodeType.java")</f>
        <v/>
      </c>
      <c r="D1834" t="inlineStr">
        <is>
          <t>The code is a Java implementation of various algorithms for solving optimization problems, specifically linear programming and integer programming. It includes classes for representing mathematical expressions, variables, and constraints, as well as methods for solving these problems using different techniques such as simplex method and branch-and-bound algorithm. The code also includes unit tests and examples demonstrating how to use the library.</t>
        </is>
      </c>
      <c r="E1834" t="n">
        <v>0.003</v>
      </c>
      <c r="F1834" t="n">
        <v>0.0563</v>
      </c>
      <c r="G1834" t="n">
        <v>0.1128</v>
      </c>
      <c r="H1834" t="inlineStr">
        <is>
          <t>This code implements a set of backend software components that perform various tasks related to data processing and analysis. It uses a modular design with separate modules for different functionalities, such as data ingestion, transformation, and storage. The code is written in Java and makes use of various libraries and frameworks to facilitate its implementation. The README provides a brief overview of the project's</t>
        </is>
      </c>
      <c r="I1834" t="n">
        <v>0.004</v>
      </c>
      <c r="J1834" t="n">
        <v>0.137</v>
      </c>
      <c r="K1834" t="n">
        <v>0.2206</v>
      </c>
      <c r="L1834" t="inlineStr">
        <is>
          <t>This file implements the core algorithms for a web application using the SpongeAPI framework. It handles user input and output, and provides a RESTful API for interacting with the application's data.</t>
        </is>
      </c>
      <c r="M1834" t="n">
        <v>0.008500000000000001</v>
      </c>
      <c r="N1834" t="n">
        <v>0.2</v>
      </c>
      <c r="O1834" t="n">
        <v>0.2427</v>
      </c>
    </row>
    <row r="1835">
      <c r="A1835" t="inlineStr">
        <is>
          <t>sponge</t>
        </is>
      </c>
      <c r="B1835" t="inlineStr">
        <is>
          <t>src/main/java/org/spongepowered/api/command/registrar/tree/CommandCompletionProvider.java</t>
        </is>
      </c>
      <c r="C1835">
        <f>HYPERLINK("https://github.com/SpongePowered/SpongeAPI/blob/master/src/main/java/org/spongepowered/api/command/registrar/tree/CommandCompletionProvider.java")</f>
        <v/>
      </c>
      <c r="D1835" t="inlineStr">
        <is>
          <t>This code appears to be a Java implementation for a web application's backend. It includes various classes and methods that handle different aspects of the application's functionality, such as user authentication, data storage, and API endpoints. The code also includes comments and documentation, which suggest that it was written with maintainability and scalability in mind. Overall, the code seems well-structured</t>
        </is>
      </c>
      <c r="E1835" t="n">
        <v>0.0036</v>
      </c>
      <c r="F1835" t="n">
        <v>0.1127</v>
      </c>
      <c r="G1835" t="n">
        <v>0.1136</v>
      </c>
      <c r="H1835" t="inlineStr">
        <is>
          <t>This code implements a backend system for a web application. It consists of several modules that work together to provide various functionalities such as user authentication, data storage, and API endpoints. The code is written in Java and uses Spring Boot as its framework. It also includes comments explaining the implementation of each module and their relationships with other parts of the system. The complexity of the code is O(</t>
        </is>
      </c>
      <c r="I1835" t="n">
        <v>0.0037</v>
      </c>
      <c r="J1835" t="n">
        <v>0.1026</v>
      </c>
      <c r="K1835" t="n">
        <v>0.1761</v>
      </c>
      <c r="L1835" t="inlineStr">
        <is>
          <t>This file implements the core algorithms for a web application's backend, using the SpongeAPI framework. It handles various tasks such as user authentication, data storage, and API endpoint handling.</t>
        </is>
      </c>
      <c r="M1835" t="n">
        <v>0.0092</v>
      </c>
      <c r="N1835" t="n">
        <v>0.2105</v>
      </c>
      <c r="O1835" t="n">
        <v>0.2475</v>
      </c>
    </row>
    <row r="1836">
      <c r="A1836" t="inlineStr">
        <is>
          <t>sponge</t>
        </is>
      </c>
      <c r="B1836" t="inlineStr">
        <is>
          <t>src/main/java/org/spongepowered/api/command/registrar/tree/CommandCompletionProviders.java</t>
        </is>
      </c>
      <c r="C1836">
        <f>HYPERLINK("https://github.com/SpongePowered/SpongeAPI/blob/master/src/main/java/org/spongepowered/api/command/registrar/tree/CommandCompletionProviders.java")</f>
        <v/>
      </c>
      <c r="D1836" t="inlineStr">
        <is>
          <t>This code appears to be a Java implementation of various algorithms for processing data. It includes comments describing the purpose and complexity of each algorithm, as well as information about the commits and code size. The main functionalities of the code can be summarized as follows:
* Implements several algorithms for processing data, such as sorting, searching, and graph traversal.
* Each algorithm has</t>
        </is>
      </c>
      <c r="E1836" t="n">
        <v>0.0034</v>
      </c>
      <c r="F1836" t="n">
        <v>0.1143</v>
      </c>
      <c r="G1836" t="n">
        <v>0.1471</v>
      </c>
      <c r="H1836" t="inlineStr">
        <is>
          <t>This code appears to be a Java implementation of a server-side application that provides various features such as user authentication, data storage, and API endpoints for interacting with the system. It uses Spring Boot as its framework and has been optimized for performance using techniques like caching and lazy loading. The code also includes comments explaining the purpose and usage of each component, making it easier for developers to understand</t>
        </is>
      </c>
      <c r="I1836" t="n">
        <v>0.0031</v>
      </c>
      <c r="J1836" t="n">
        <v>0.0759</v>
      </c>
      <c r="K1836" t="n">
        <v>0.1408</v>
      </c>
      <c r="L1836" t="inlineStr">
        <is>
          <t>This file implements the core algorithms for a web application using the SpongeAPI framework. It provides a RESTful API for interacting with the application's data, allowing users to create, update, and delete records. The code is well-documented, with comments explaining the implementation details and providing insights into the design decisions made during development.</t>
        </is>
      </c>
      <c r="M1836" t="n">
        <v>0.0049</v>
      </c>
      <c r="N1836" t="n">
        <v>0.127</v>
      </c>
      <c r="O1836" t="n">
        <v>0.2</v>
      </c>
    </row>
    <row r="1837">
      <c r="A1837" t="inlineStr">
        <is>
          <t>sponge</t>
        </is>
      </c>
      <c r="B1837" t="inlineStr">
        <is>
          <t>src/main/java/org/spongepowered/api/command/registrar/tree/CommandTreeNode.java</t>
        </is>
      </c>
      <c r="C1837">
        <f>HYPERLINK("https://github.com/SpongePowered/SpongeAPI/blob/master/src/main/java/org/spongepowered/api/command/registrar/tree/CommandTreeNode.java")</f>
        <v/>
      </c>
      <c r="D1837" t="inlineStr">
        <is>
          <t>This code appears to be a Java implementation of various algorithms for solving mathematical problems. It includes functions for computing the factorial of a number, finding the greatest common divisor of two numbers, and determining whether a number is prime or composite. The code also includes comments explaining the purpose and complexity of each function.</t>
        </is>
      </c>
      <c r="E1837" t="n">
        <v>0.004</v>
      </c>
      <c r="F1837" t="n">
        <v>0.127</v>
      </c>
      <c r="G1837" t="n">
        <v>0.1575</v>
      </c>
      <c r="H1837" t="inlineStr">
        <is>
          <t>This repository contains backend software components that implement core algorithms. The complexity of the code is O(N), with comments explaining the implementation details. The code size is approximately 1000 lines.</t>
        </is>
      </c>
      <c r="I1837" t="n">
        <v>0.008200000000000001</v>
      </c>
      <c r="J1837" t="n">
        <v>0.2051</v>
      </c>
      <c r="K1837" t="n">
        <v>0.1961</v>
      </c>
      <c r="L1837" t="inlineStr">
        <is>
          <t>This file implements the core algorithms for a web application using the SpongeAPI framework. It handles user authentication, authorization, and data storage.</t>
        </is>
      </c>
      <c r="M1837" t="n">
        <v>0.0123</v>
      </c>
      <c r="N1837" t="n">
        <v>0.2667</v>
      </c>
      <c r="O1837" t="n">
        <v>0.266</v>
      </c>
    </row>
    <row r="1838">
      <c r="A1838" t="inlineStr">
        <is>
          <t>sponge</t>
        </is>
      </c>
      <c r="B1838" t="inlineStr">
        <is>
          <t>src/main/java/org/spongepowered/api/command/parameter/package-info.java</t>
        </is>
      </c>
      <c r="C1838">
        <f>HYPERLINK("https://github.com/SpongePowered/SpongeAPI/blob/master/src/main/java/org/spongepowered/api/command/parameter/package-info.java")</f>
        <v/>
      </c>
      <c r="D1838" t="inlineStr">
        <is>
          <t>This code appears to be a Java implementation of various algorithms for solving problems related to graphs and networks. It includes implementations of algorithms such as Dijkstra's algorithm, Bellman-Ford algorithm, and Floyd-Warshall algorithm. The code also includes a number of utility functions for working with graph data structures. Overall, it seems like this code could be used as</t>
        </is>
      </c>
      <c r="E1838" t="n">
        <v>0.0037</v>
      </c>
      <c r="F1838" t="n">
        <v>0.08699999999999999</v>
      </c>
      <c r="G1838" t="n">
        <v>0.1538</v>
      </c>
      <c r="H1838" t="inlineStr">
        <is>
          <t>This code implements a system for managing and processing data. It includes comments describing the purpose and functionality of each component, as well as information about the complexity and size of the code. The README file provides an overview of the project's goals and objectives, as well as instructions for building and running the code.</t>
        </is>
      </c>
      <c r="I1838" t="n">
        <v>0.0047</v>
      </c>
      <c r="J1838" t="n">
        <v>0.125</v>
      </c>
      <c r="K1838" t="n">
        <v>0.1575</v>
      </c>
      <c r="L1838" t="inlineStr">
        <is>
          <t>This file implements the core algorithms for a web application's backend using the SpongeAPI framework. It handles various tasks such as user authentication, data storage, and API endpoint routing. The code has a complexity of O(N), with existing comments providing insight into the implementation details.</t>
        </is>
      </c>
      <c r="M1838" t="n">
        <v>0.0058</v>
      </c>
      <c r="N1838" t="n">
        <v>0.1455</v>
      </c>
      <c r="O1838" t="n">
        <v>0.2137</v>
      </c>
    </row>
    <row r="1839">
      <c r="A1839" t="inlineStr">
        <is>
          <t>sponge</t>
        </is>
      </c>
      <c r="B1839" t="inlineStr">
        <is>
          <t>src/main/java/org/spongepowered/api/command/parameter/Parameter.java</t>
        </is>
      </c>
      <c r="C1839">
        <f>HYPERLINK("https://github.com/SpongePowered/SpongeAPI/blob/master/src/main/java/org/spongepowered/api/command/parameter/Parameter.java")</f>
        <v/>
      </c>
      <c r="D1839" t="inlineStr">
        <is>
          <t>This code appears to be a Java implementation of various algorithms for solving problems related to graphs. It includes implementations of graph traversal algorithms such as DFS and BFS, as well as other graph-related algorithms like finding connected components and shortest paths. The code also includes unit tests that demonstrate how to use the implemented functions. Overall, it seems to be a comprehensive set of tools</t>
        </is>
      </c>
      <c r="E1839" t="n">
        <v>0.0033</v>
      </c>
      <c r="F1839" t="n">
        <v>0.08</v>
      </c>
      <c r="G1839" t="n">
        <v>0.1449</v>
      </c>
      <c r="H1839" t="inlineStr">
        <is>
          <t>This code implements various algorithms for processing data. It includes a variety of functions that perform different tasks, such as sorting, searching, and manipulating data structures. The code is written in Java and uses the Spring Framework for dependency injection and configuration management. The README file provides information about the project's goals, architecture, and development process.</t>
        </is>
      </c>
      <c r="I1839" t="n">
        <v>0.0043</v>
      </c>
      <c r="J1839" t="n">
        <v>0.1231</v>
      </c>
      <c r="K1839" t="n">
        <v>0.1563</v>
      </c>
      <c r="L1839" t="inlineStr">
        <is>
          <t>This file implements a core algorithm for a software system. It processes input data and produces output based on that data. The code has a complexity of O(N) and includes existing comments about implementation details. The code size is approximately 1000 lines long.</t>
        </is>
      </c>
      <c r="M1839" t="n">
        <v>0.0064</v>
      </c>
      <c r="N1839" t="n">
        <v>0.1538</v>
      </c>
      <c r="O1839" t="n">
        <v>0.2174</v>
      </c>
    </row>
    <row r="1840">
      <c r="A1840" t="inlineStr">
        <is>
          <t>sponge</t>
        </is>
      </c>
      <c r="B1840" t="inlineStr">
        <is>
          <t>src/main/java/org/spongepowered/api/command/parameter/CommonParameters.java</t>
        </is>
      </c>
      <c r="C1840">
        <f>HYPERLINK("https://github.com/SpongePowered/SpongeAPI/blob/master/src/main/java/org/spongepowered/api/command/parameter/CommonParameters.java")</f>
        <v/>
      </c>
      <c r="D1840" t="inlineStr">
        <is>
          <t>This code appears to be a Java implementation of a backend system for a web application. It includes several classes and interfaces that define the structure of the system's architecture and provide implementations for various functionalities.
The `Main` class is the entry point of the program, and it sets up the necessary dependencies and starts the server. The `Server` class is responsible for handling incoming requests</t>
        </is>
      </c>
      <c r="E1840" t="n">
        <v>0.0033</v>
      </c>
      <c r="F1840" t="n">
        <v>0.1067</v>
      </c>
      <c r="G1840" t="n">
        <v>0.1087</v>
      </c>
      <c r="H1840" t="inlineStr">
        <is>
          <t>This code implements various backend software components for a web application. It includes core algorithms that perform complex tasks such as data processing and analysis. The code has been developed using the MIT license, which allows for its use, modification, and distribution by anyone. The codebase consists of over 1000 lines of code and has been committed once with no further changes made since then.</t>
        </is>
      </c>
      <c r="I1840" t="n">
        <v>0.0042</v>
      </c>
      <c r="J1840" t="n">
        <v>0.1096</v>
      </c>
      <c r="K1840" t="n">
        <v>0.219</v>
      </c>
      <c r="L1840" t="inlineStr">
        <is>
          <t>The provided code implements a system for handling user input and output in a web application. It uses the SpongeAPI library for interacting with the underlying operating system and provides a simple interface for users to interact with the application.</t>
        </is>
      </c>
      <c r="M1840" t="n">
        <v>0.0055</v>
      </c>
      <c r="N1840" t="n">
        <v>0.0833</v>
      </c>
      <c r="O1840" t="n">
        <v>0.1339</v>
      </c>
    </row>
    <row r="1841">
      <c r="A1841" t="inlineStr">
        <is>
          <t>sponge</t>
        </is>
      </c>
      <c r="B1841" t="inlineStr">
        <is>
          <t>src/main/java/org/spongepowered/api/command/parameter/ArgumentReader.java</t>
        </is>
      </c>
      <c r="C1841">
        <f>HYPERLINK("https://github.com/SpongePowered/SpongeAPI/blob/master/src/main/java/org/spongepowered/api/command/parameter/ArgumentReader.java")</f>
        <v/>
      </c>
      <c r="D1841" t="inlineStr">
        <is>
          <t>This code implements a system for processing data using a complex algorithm with a time complexity of O(N), where N is the size of the input dataset. It includes comments describing the implementation and its purpose, as well as information about commits and code size.</t>
        </is>
      </c>
      <c r="E1841" t="n">
        <v>0.0054</v>
      </c>
      <c r="F1841" t="n">
        <v>0.1111</v>
      </c>
      <c r="G1841" t="n">
        <v>0.1709</v>
      </c>
      <c r="H1841" t="inlineStr">
        <is>
          <t>Summary:
The provided code is a Java implementation of a backend system with a complexity of O(N), containing comments that explain its purpose and implementation details. It has been committed once and has a total size of approximately 1000 lines of code.</t>
        </is>
      </c>
      <c r="I1841" t="n">
        <v>0.0044</v>
      </c>
      <c r="J1841" t="n">
        <v>0.0784</v>
      </c>
      <c r="K1841" t="n">
        <v>0.0877</v>
      </c>
      <c r="L1841" t="inlineStr">
        <is>
          <t>This file implements the core algorithms for a web application using the SpongeAPI framework. It provides a RESTful API for interacting with the application's data models, allowing users to create, update, and delete entities within the system. The implementation utilizes O(N) complexity and relies on existing comments and commit messages for context.</t>
        </is>
      </c>
      <c r="M1841" t="n">
        <v>0.005</v>
      </c>
      <c r="N1841" t="n">
        <v>0.129</v>
      </c>
      <c r="O1841" t="n">
        <v>0.2016</v>
      </c>
    </row>
    <row r="1842">
      <c r="A1842" t="inlineStr">
        <is>
          <t>sponge</t>
        </is>
      </c>
      <c r="B1842" t="inlineStr">
        <is>
          <t>src/main/java/org/spongepowered/api/command/parameter/CommandContext.java</t>
        </is>
      </c>
      <c r="C1842">
        <f>HYPERLINK("https://github.com/SpongePowered/SpongeAPI/blob/master/src/main/java/org/spongepowered/api/command/parameter/CommandContext.java")</f>
        <v/>
      </c>
      <c r="D1842" t="inlineStr">
        <is>
          <t>This code appears to be a Java implementation of various algorithms for solving problems related to graphs and networks. It includes implementations of graph traversal algorithms such as DFS and BFS, as well as other algorithms like shortest path finding and minimum spanning tree construction. The code also includes unit tests for each algorithm to ensure correctness and performance. Overall, it seems like a solid foundation for</t>
        </is>
      </c>
      <c r="E1842" t="n">
        <v>0.0032</v>
      </c>
      <c r="F1842" t="n">
        <v>0.08</v>
      </c>
      <c r="G1842" t="n">
        <v>0.1079</v>
      </c>
      <c r="H1842" t="inlineStr">
        <is>
          <t>This code appears to be a Java implementation of a web application's backend. It includes comments that explain its purpose and provide information about the complexity and commits. The code size is also mentioned as being 1000 lines long.</t>
        </is>
      </c>
      <c r="I1842" t="n">
        <v>0.0056</v>
      </c>
      <c r="J1842" t="n">
        <v>0.125</v>
      </c>
      <c r="K1842" t="n">
        <v>0.1351</v>
      </c>
      <c r="L1842" t="inlineStr">
        <is>
          <t>This file implements a software system that provides a platform for developing and running plugins for Minecraft servers. It includes various features such as plugin management, command registration, event handling, and more.</t>
        </is>
      </c>
      <c r="M1842" t="n">
        <v>0.0083</v>
      </c>
      <c r="N1842" t="n">
        <v>0.15</v>
      </c>
      <c r="O1842" t="n">
        <v>0.2404</v>
      </c>
    </row>
    <row r="1843">
      <c r="A1843" t="inlineStr">
        <is>
          <t>sponge</t>
        </is>
      </c>
      <c r="B1843" t="inlineStr">
        <is>
          <t>src/main/java/org/spongepowered/api/command/parameter/managed/ValueParser.java</t>
        </is>
      </c>
      <c r="C1843">
        <f>HYPERLINK("https://github.com/SpongePowered/SpongeAPI/blob/master/src/main/java/org/spongepowered/api/command/parameter/managed/ValueParser.java")</f>
        <v/>
      </c>
      <c r="D1843" t="inlineStr">
        <is>
          <t>The provided code appears to be a Java implementation of various algorithms for solving problems related to graphs and networks. It includes implementations of graph traversal algorithms such as DFS and BFS, as well as network flow algorithms like Ford-Fulkerson and Edmonds-Karp. The code also includes a number of utility classes for managing graphs and performing common operations on them. Overall</t>
        </is>
      </c>
      <c r="E1843" t="n">
        <v>0.003</v>
      </c>
      <c r="F1843" t="n">
        <v>0.0563</v>
      </c>
      <c r="G1843" t="n">
        <v>0.0752</v>
      </c>
      <c r="H1843" t="inlineStr">
        <is>
          <t>This code implements a set of backend software components that perform various tasks related to data processing and analysis. It has been written using the Java programming language and makes use of the MIT License for open-source compatibility. The code has been committed to version control at least once and has a size of approximately 1000 lines. The complexity of the code is O(N), indicating that</t>
        </is>
      </c>
      <c r="I1843" t="n">
        <v>0.0039</v>
      </c>
      <c r="J1843" t="n">
        <v>0.0789</v>
      </c>
      <c r="K1843" t="n">
        <v>0.1812</v>
      </c>
      <c r="L1843" t="inlineStr">
        <is>
          <t>The provided code implements the core algorithms for a web application's backend. It uses the MIT license and has a complexity of O(N), with existing comments providing implementation details. The code size is approximately 1000 lines long.</t>
        </is>
      </c>
      <c r="M1843" t="n">
        <v>0.0066</v>
      </c>
      <c r="N1843" t="n">
        <v>0.1277</v>
      </c>
      <c r="O1843" t="n">
        <v>0.1835</v>
      </c>
    </row>
    <row r="1844">
      <c r="A1844" t="inlineStr">
        <is>
          <t>sponge</t>
        </is>
      </c>
      <c r="B1844" t="inlineStr">
        <is>
          <t>src/main/java/org/spongepowered/api/command/parameter/managed/Flag.java</t>
        </is>
      </c>
      <c r="C1844">
        <f>HYPERLINK("https://github.com/SpongePowered/SpongeAPI/blob/master/src/main/java/org/spongepowered/api/command/parameter/managed/Flag.java")</f>
        <v/>
      </c>
      <c r="D1844" t="inlineStr">
        <is>
          <t>This code appears to be a Java implementation of a set of algorithms for solving various problems related to graphs, such as finding connected components, shortest paths, and minimum spanning trees. It includes a number of classes that define different types of graph structures and algorithms for working with them. The code also includes some basic unit tests to ensure that the implementations are correct. Overall, it seems like</t>
        </is>
      </c>
      <c r="E1844" t="n">
        <v>0.0031</v>
      </c>
      <c r="F1844" t="n">
        <v>0.0779</v>
      </c>
      <c r="G1844" t="n">
        <v>0.1418</v>
      </c>
      <c r="H1844" t="inlineStr">
        <is>
          <t>This repository contains backend software components that implement core algorithms. The complexity of the code is O(N), with comments describing the implementation details. There have been no commits since the initial codebase was created. The total size of the codebase is approximately 1000 lines.</t>
        </is>
      </c>
      <c r="I1844" t="n">
        <v>0.0055</v>
      </c>
      <c r="J1844" t="n">
        <v>0.1509</v>
      </c>
      <c r="K1844" t="n">
        <v>0.1724</v>
      </c>
      <c r="L1844" t="inlineStr">
        <is>
          <t>This file implements the core algorithms for a web application using the SpongeAPI framework. It includes functions for handling user authentication, session management, and API requests.</t>
        </is>
      </c>
      <c r="M1844" t="n">
        <v>0.0103</v>
      </c>
      <c r="N1844" t="n">
        <v>0.2941</v>
      </c>
      <c r="O1844" t="n">
        <v>0.2551</v>
      </c>
    </row>
    <row r="1845">
      <c r="A1845" t="inlineStr">
        <is>
          <t>sponge</t>
        </is>
      </c>
      <c r="B1845" t="inlineStr">
        <is>
          <t>src/main/java/org/spongepowered/api/command/parameter/managed/package-info.java</t>
        </is>
      </c>
      <c r="C1845">
        <f>HYPERLINK("https://github.com/SpongePowered/SpongeAPI/blob/master/src/main/java/org/spongepowered/api/command/parameter/managed/package-info.java")</f>
        <v/>
      </c>
      <c r="D1845" t="inlineStr">
        <is>
          <t>The provided code appears to be a Java implementation of a sponge-based algorithm for solving certain mathematical problems. It includes comments explaining the purpose of each class and method, as well as the complexity and other relevant details. The code also includes a README file that provides more information about the project's goals and structure. Overall, it seems like this codebase is intended to</t>
        </is>
      </c>
      <c r="E1845" t="n">
        <v>0.0028</v>
      </c>
      <c r="F1845" t="n">
        <v>0.0541</v>
      </c>
      <c r="G1845" t="n">
        <v>0.1103</v>
      </c>
      <c r="H1845" t="inlineStr">
        <is>
          <t>This repository contains backend software components that implement core algorithms. The complexity of the code is O(N), with comments describing the implementation details. The code size is approximately 1000 lines.</t>
        </is>
      </c>
      <c r="I1845" t="n">
        <v>0.008200000000000001</v>
      </c>
      <c r="J1845" t="n">
        <v>0.2051</v>
      </c>
      <c r="K1845" t="n">
        <v>0.1961</v>
      </c>
      <c r="L1845" t="inlineStr">
        <is>
          <t>This file implements various functions related to the SpongeAPI, which is open-source software that enables developers to create plugins for Minecraft servers. It includes core algorithms and utilizes the MIT license, which grants users the right to use, copy, modify, merge, publish, distribute, sublicense, and/or sell copies of the software.</t>
        </is>
      </c>
      <c r="M1845" t="n">
        <v>0.0055</v>
      </c>
      <c r="N1845" t="n">
        <v>0.1333</v>
      </c>
      <c r="O1845" t="n">
        <v>0.2459</v>
      </c>
    </row>
    <row r="1846">
      <c r="A1846" t="inlineStr">
        <is>
          <t>sponge</t>
        </is>
      </c>
      <c r="B1846" t="inlineStr">
        <is>
          <t>src/main/java/org/spongepowered/api/command/parameter/managed/ValueCompleter.java</t>
        </is>
      </c>
      <c r="C1846">
        <f>HYPERLINK("https://github.com/SpongePowered/SpongeAPI/blob/master/src/main/java/org/spongepowered/api/command/parameter/managed/ValueCompleter.java")</f>
        <v/>
      </c>
      <c r="D1846" t="inlineStr">
        <is>
          <t>The provided code appears to be a Java implementation of various algorithms for solving mathematical problems. It includes classes such as `Fibonacci`, `PrimeNumber`, and `GreatestCommonDivisor` that implement specific functions related to these areas of mathematics. The code also includes a `Main` class that provides a simple example of how to use some of these functions. Overall</t>
        </is>
      </c>
      <c r="E1846" t="n">
        <v>0.0033</v>
      </c>
      <c r="F1846" t="n">
        <v>0.0625</v>
      </c>
      <c r="G1846" t="n">
        <v>0.1172</v>
      </c>
      <c r="H1846" t="inlineStr">
        <is>
          <t>This code implements a set of backend software components that perform various tasks such as data processing, analysis, and manipulation. It uses a modular design with a layered architecture, allowing for easy extension and customization. The code is well-documented, with comments explaining the purpose and implementation of each component. The complexity of the code is O(N), where N is the number of</t>
        </is>
      </c>
      <c r="I1846" t="n">
        <v>0.0042</v>
      </c>
      <c r="J1846" t="n">
        <v>0.0833</v>
      </c>
      <c r="K1846" t="n">
        <v>0.1866</v>
      </c>
      <c r="L1846" t="inlineStr">
        <is>
          <t>This file implements various algorithms for manipulating data structures such as lists, stacks, and queues. It provides functions for inserting, removing, and accessing elements in these data structures, as well as implementing basic sorting and search algorithms. The code is written in Java and uses the SpongeAPI library for interacting with Minecraft servers.</t>
        </is>
      </c>
      <c r="M1846" t="n">
        <v>0.0045</v>
      </c>
      <c r="N1846" t="n">
        <v>0.1311</v>
      </c>
      <c r="O1846" t="n">
        <v>0.16</v>
      </c>
    </row>
    <row r="1847">
      <c r="A1847" t="inlineStr">
        <is>
          <t>sponge</t>
        </is>
      </c>
      <c r="B1847" t="inlineStr">
        <is>
          <t>src/main/java/org/spongepowered/api/command/parameter/managed/ValueParameterModifier.java</t>
        </is>
      </c>
      <c r="C1847">
        <f>HYPERLINK("https://github.com/SpongePowered/SpongeAPI/blob/master/src/main/java/org/spongepowered/api/command/parameter/managed/ValueParameterModifier.java")</f>
        <v/>
      </c>
      <c r="D1847" t="inlineStr">
        <is>
          <t>This code implements various core algorithms for a backend system. It has a complexity of O(N) and includes comments describing its purpose and implementation details. The code size is approximately 1000 lines.</t>
        </is>
      </c>
      <c r="E1847" t="n">
        <v>0.0083</v>
      </c>
      <c r="F1847" t="n">
        <v>0.1951</v>
      </c>
      <c r="G1847" t="n">
        <v>0.1923</v>
      </c>
      <c r="H1847" t="inlineStr">
        <is>
          <t>This code implements a set of backend software components that perform various tasks related to data processing and analysis. It uses the MIT License for open-source distribution and includes comments explaining its implementation and usage. The complexity of the code is O(N), where N is the size of the input dataset. The code has been committed once with an initial version of the codebase. The total code size</t>
        </is>
      </c>
      <c r="I1847" t="n">
        <v>0.0038</v>
      </c>
      <c r="J1847" t="n">
        <v>0.1026</v>
      </c>
      <c r="K1847" t="n">
        <v>0.1786</v>
      </c>
      <c r="L1847" t="inlineStr">
        <is>
          <t>This file implements the core algorithms for a web application's backend using the SpongeAPI framework. It has a complexity of O(N), with existing comments providing insight into implementation details. The code size is approximately 1000 lines long.</t>
        </is>
      </c>
      <c r="M1847" t="n">
        <v>0.0066</v>
      </c>
      <c r="N1847" t="n">
        <v>0.1277</v>
      </c>
      <c r="O1847" t="n">
        <v>0.1835</v>
      </c>
    </row>
    <row r="1848">
      <c r="A1848" t="inlineStr">
        <is>
          <t>sponge</t>
        </is>
      </c>
      <c r="B1848" t="inlineStr">
        <is>
          <t>src/main/java/org/spongepowered/api/command/parameter/managed/ValueParameter.java</t>
        </is>
      </c>
      <c r="C1848">
        <f>HYPERLINK("https://github.com/SpongePowered/SpongeAPI/blob/master/src/main/java/org/spongepowered/api/command/parameter/managed/ValueParameter.java")</f>
        <v/>
      </c>
      <c r="D1848" t="inlineStr">
        <is>
          <t>This code appears to be a Java implementation of a sponge-based algorithm for computing the similarity between two strings. It uses a sliding window approach to compare substrings of different lengths and computes a score based on the number of matching characters. The code also includes some comments describing the complexity, commits, code size, and other details about the project. Overall, it seems like</t>
        </is>
      </c>
      <c r="E1848" t="n">
        <v>0.0034</v>
      </c>
      <c r="F1848" t="n">
        <v>0.0822</v>
      </c>
      <c r="G1848" t="n">
        <v>0.1471</v>
      </c>
      <c r="H1848" t="inlineStr">
        <is>
          <t>This code appears to be a Java implementation of a backend system, with a focus on implementing core algorithms. It includes comments that describe the purpose of each class and method, as well as information about the complexity of the code and the size of the project. There are also commits listed, which suggests that this code has been developed over time through a version control process. Overall, it seems like</t>
        </is>
      </c>
      <c r="I1848" t="n">
        <v>0.0034</v>
      </c>
      <c r="J1848" t="n">
        <v>0.1013</v>
      </c>
      <c r="K1848" t="n">
        <v>0.2207</v>
      </c>
      <c r="L1848" t="inlineStr">
        <is>
          <t>This file implements the core algorithms for a web application using the SpongeAPI framework. It provides a RESTful API for interacting with the application's data, allowing users to perform various actions such as creating new accounts, logging in, and retrieving account information. The code is written in Java and uses the Spring Boot framework for building the web service.</t>
        </is>
      </c>
      <c r="M1848" t="n">
        <v>0.0044</v>
      </c>
      <c r="N1848" t="n">
        <v>0.1176</v>
      </c>
      <c r="O1848" t="n">
        <v>0.1908</v>
      </c>
    </row>
    <row r="1849">
      <c r="A1849" t="inlineStr">
        <is>
          <t>sponge</t>
        </is>
      </c>
      <c r="B1849" t="inlineStr">
        <is>
          <t>src/main/java/org/spongepowered/api/command/parameter/managed/ValueUsage.java</t>
        </is>
      </c>
      <c r="C1849">
        <f>HYPERLINK("https://github.com/SpongePowered/SpongeAPI/blob/master/src/main/java/org/spongepowered/api/command/parameter/managed/ValueUsage.java")</f>
        <v/>
      </c>
      <c r="D1849" t="inlineStr">
        <is>
          <t>This code appears to be a Java implementation of some sort of algorithm, possibly related to computer science or data structures. It includes comments that describe the purpose of the code and its complexity, as well as information about commits and code size. However, it does not provide a clear summary of the functionality of the code itself.</t>
        </is>
      </c>
      <c r="E1849" t="n">
        <v>0.0041</v>
      </c>
      <c r="F1849" t="n">
        <v>0.09089999999999999</v>
      </c>
      <c r="G1849" t="n">
        <v>0.1538</v>
      </c>
      <c r="H1849" t="inlineStr">
        <is>
          <t>This code implements a system for processing data using a set of algorithms. It includes comments that provide information about the purpose and implementation of each algorithm. The complexity of the code is O(N), where N is the size of the input dataset. The code has been committed once with a total of 1000 lines.</t>
        </is>
      </c>
      <c r="I1849" t="n">
        <v>0.0044</v>
      </c>
      <c r="J1849" t="n">
        <v>0.09379999999999999</v>
      </c>
      <c r="K1849" t="n">
        <v>0.1575</v>
      </c>
      <c r="L1849" t="inlineStr">
        <is>
          <t>The provided code implements a system for managing and processing data in a large-scale application. It appears to be written in Java and utilizes various libraries and frameworks such as Spring Boot and Hibernate. The code's primary purpose is to provide a robust and efficient framework for handling complex data processing tasks, with a focus on scalability and performance.</t>
        </is>
      </c>
      <c r="M1849" t="n">
        <v>0.0037</v>
      </c>
      <c r="N1849" t="n">
        <v>0.058</v>
      </c>
      <c r="O1849" t="n">
        <v>0.07630000000000001</v>
      </c>
    </row>
    <row r="1850">
      <c r="A1850" t="inlineStr">
        <is>
          <t>sponge</t>
        </is>
      </c>
      <c r="B1850" t="inlineStr">
        <is>
          <t>src/main/java/org/spongepowered/api/command/parameter/managed/operator/package-info.java</t>
        </is>
      </c>
      <c r="C1850">
        <f>HYPERLINK("https://github.com/SpongePowered/SpongeAPI/blob/master/src/main/java/org/spongepowered/api/command/parameter/managed/operator/package-info.java")</f>
        <v/>
      </c>
      <c r="D1850" t="inlineStr">
        <is>
          <t>This code appears to be a Java implementation of various algorithms for solving mathematical problems. It includes classes for implementing basic arithmetic operations such as addition, subtraction, multiplication, and division, as well as more complex algorithms like exponentiation and modular arithmetic. The code also includes comments explaining the purpose and usage of each class, as well as a README file that provides information about the overall</t>
        </is>
      </c>
      <c r="E1850" t="n">
        <v>0.0033</v>
      </c>
      <c r="F1850" t="n">
        <v>0.08110000000000001</v>
      </c>
      <c r="G1850" t="n">
        <v>0.1087</v>
      </c>
      <c r="H1850" t="inlineStr">
        <is>
          <t>This code implements various core algorithms for a backend system. It has been written using Java and follows the MIT license. The code has been committed once with a total size of 1000 lines. The complexity of the code is O(N), indicating that its performance increases linearly with the input size. The comments provide information about the purpose of each function, as well as the</t>
        </is>
      </c>
      <c r="I1850" t="n">
        <v>0.004</v>
      </c>
      <c r="J1850" t="n">
        <v>0.1081</v>
      </c>
      <c r="K1850" t="n">
        <v>0.1825</v>
      </c>
      <c r="L1850" t="inlineStr">
        <is>
          <t>This file implements various functions related to data processing and analysis for a web application using Node.js and Express. It includes modules for handling HTTP requests and responses, routing, and database interactions. The code also defines several custom middleware functions that perform specific tasks such as authentication and error handling. Overall, the code appears to be well-structured and easy to understand, with clear comments and</t>
        </is>
      </c>
      <c r="M1850" t="n">
        <v>0.0037</v>
      </c>
      <c r="N1850" t="n">
        <v>0.1067</v>
      </c>
      <c r="O1850" t="n">
        <v>0.1825</v>
      </c>
    </row>
    <row r="1851">
      <c r="A1851" t="inlineStr">
        <is>
          <t>sponge</t>
        </is>
      </c>
      <c r="B1851" t="inlineStr">
        <is>
          <t>src/main/java/org/spongepowered/api/command/parameter/managed/operator/Operator.java</t>
        </is>
      </c>
      <c r="C1851">
        <f>HYPERLINK("https://github.com/SpongePowered/SpongeAPI/blob/master/src/main/java/org/spongepowered/api/command/parameter/managed/operator/Operator.java")</f>
        <v/>
      </c>
      <c r="D1851" t="inlineStr">
        <is>
          <t>This code appears to be a Java implementation of various algorithms for solving problems related to graphs and networks. It includes functions for computing shortest paths, minimum spanning trees, and other graph-related tasks. The code also includes comments explaining the purpose and complexity of each function, as well as information about the commits and code size.</t>
        </is>
      </c>
      <c r="E1851" t="n">
        <v>0.0039</v>
      </c>
      <c r="F1851" t="n">
        <v>0.1231</v>
      </c>
      <c r="G1851" t="n">
        <v>0.1563</v>
      </c>
      <c r="H1851" t="inlineStr">
        <is>
          <t>This code implements various backend software components using Java. It has a complexity of O(N), with comments describing the implementation of core algorithms. The code was initially committed, and its size is approximately 1000 lines.</t>
        </is>
      </c>
      <c r="I1851" t="n">
        <v>0.007900000000000001</v>
      </c>
      <c r="J1851" t="n">
        <v>0.2273</v>
      </c>
      <c r="K1851" t="n">
        <v>0.2804</v>
      </c>
      <c r="L1851" t="inlineStr">
        <is>
          <t>This file is part of SpongeAPI, a framework for building Minecraft plugins. It appears to implement various features related to plugin management, such as loading and unloading plugins, managing dependencies, and providing access to plugin data. The code also includes comments and documentation that provide additional context and explain the purpose of different sections of the code.</t>
        </is>
      </c>
      <c r="M1851" t="n">
        <v>0.0038</v>
      </c>
      <c r="N1851" t="n">
        <v>0.09229999999999999</v>
      </c>
      <c r="O1851" t="n">
        <v>0.155</v>
      </c>
    </row>
    <row r="1852">
      <c r="A1852" t="inlineStr">
        <is>
          <t>sponge</t>
        </is>
      </c>
      <c r="B1852" t="inlineStr">
        <is>
          <t>src/main/java/org/spongepowered/api/command/parameter/managed/operator/Operators.java</t>
        </is>
      </c>
      <c r="C1852">
        <f>HYPERLINK("https://github.com/SpongePowered/SpongeAPI/blob/master/src/main/java/org/spongepowered/api/command/parameter/managed/operator/Operators.java")</f>
        <v/>
      </c>
      <c r="D1852" t="inlineStr">
        <is>
          <t>This code appears to be a Java implementation of various algorithms for solving problems related to graphs and networks. It includes functions for computing shortest paths, finding connected components, and performing other graph-related operations. The code also includes comments explaining the purpose and complexity of each function. Overall, it seems like this code could be useful for implementing graph-based applications in Java.</t>
        </is>
      </c>
      <c r="E1852" t="n">
        <v>0.0035</v>
      </c>
      <c r="F1852" t="n">
        <v>0.1111</v>
      </c>
      <c r="G1852" t="n">
        <v>0.1493</v>
      </c>
      <c r="H1852" t="inlineStr">
        <is>
          <t>Summary: This code implements a set of backend software components that perform various tasks related to data processing and analysis. It includes a range of features such as data storage, retrieval, manipulation, and visualization. The code is written in Java and uses a variety of libraries and frameworks for its implementation.</t>
        </is>
      </c>
      <c r="I1852" t="n">
        <v>0.0051</v>
      </c>
      <c r="J1852" t="n">
        <v>0.1017</v>
      </c>
      <c r="K1852" t="n">
        <v>0.2033</v>
      </c>
      <c r="L1852" t="inlineStr">
        <is>
          <t>This file implements the core algorithms for a web application using SpongeAPI, a popular open-source framework for building modular and scalable applications. It performs various tasks such as data processing, validation, and authentication, and provides a RESTful API for interacting with the application's features.</t>
        </is>
      </c>
      <c r="M1852" t="n">
        <v>0.0059</v>
      </c>
      <c r="N1852" t="n">
        <v>0.1481</v>
      </c>
      <c r="O1852" t="n">
        <v>0.2155</v>
      </c>
    </row>
    <row r="1853">
      <c r="A1853" t="inlineStr">
        <is>
          <t>sponge</t>
        </is>
      </c>
      <c r="B1853" t="inlineStr">
        <is>
          <t>src/main/java/org/spongepowered/api/command/parameter/managed/standard/ResourceKeyedValueParameters.java</t>
        </is>
      </c>
      <c r="C1853">
        <f>HYPERLINK("https://github.com/SpongePowered/SpongeAPI/blob/master/src/main/java/org/spongepowered/api/command/parameter/managed/standard/ResourceKeyedValueParameters.java")</f>
        <v/>
      </c>
      <c r="D1853" t="inlineStr">
        <is>
          <t>This code implements various algorithms for solving problems related to graphs and networks. It includes functions for finding shortest paths, minimum spanning trees, and other graph-related tasks. The code is written in Java and uses the SpongeAPI library for some of its functionality.</t>
        </is>
      </c>
      <c r="E1853" t="n">
        <v>0.0056</v>
      </c>
      <c r="F1853" t="n">
        <v>0.1538</v>
      </c>
      <c r="G1853" t="n">
        <v>0.1739</v>
      </c>
      <c r="H1853" t="inlineStr">
        <is>
          <t>This code implements various algorithms for a backend system. It includes a number of classes that represent different types of data structures, such as lists and maps, and provides methods for manipulating these data structures. The code also includes comments explaining the purpose and implementation of each class and method. Overall, it appears to be a well-structured and modular piece of code with good separation of concerns</t>
        </is>
      </c>
      <c r="I1853" t="n">
        <v>0.0036</v>
      </c>
      <c r="J1853" t="n">
        <v>0.0789</v>
      </c>
      <c r="K1853" t="n">
        <v>0.1079</v>
      </c>
      <c r="L1853" t="inlineStr">
        <is>
          <t>This file implements the core algorithms for a web application using the SpongeAPI framework. It handles various tasks such as user authentication, data storage, and API endpoints. The code has a complexity of O(N) and includes existing comments that provide implementation details. The repository contains backend software components, and the code size is approximately 1000 lines long.</t>
        </is>
      </c>
      <c r="M1853" t="n">
        <v>0.0048</v>
      </c>
      <c r="N1853" t="n">
        <v>0.1212</v>
      </c>
      <c r="O1853" t="n">
        <v>0.2326</v>
      </c>
    </row>
    <row r="1854">
      <c r="A1854" t="inlineStr">
        <is>
          <t>sponge</t>
        </is>
      </c>
      <c r="B1854" t="inlineStr">
        <is>
          <t>src/main/java/org/spongepowered/api/command/parameter/managed/standard/package-info.java</t>
        </is>
      </c>
      <c r="C1854">
        <f>HYPERLINK("https://github.com/SpongePowered/SpongeAPI/blob/master/src/main/java/org/spongepowered/api/command/parameter/managed/standard/package-info.java")</f>
        <v/>
      </c>
      <c r="D1854" t="inlineStr">
        <is>
          <t>The code is a Java implementation of a backend system for a web application. It includes several modules, each with its own set of classes and methods that work together to provide various functionalities. Some of these modules include user authentication, data storage, and API endpoints. The code uses OOP principles and follows a modular design pattern, making it easy to understand and maintain. The comments throughout</t>
        </is>
      </c>
      <c r="E1854" t="n">
        <v>0.0027</v>
      </c>
      <c r="F1854" t="n">
        <v>0.08</v>
      </c>
      <c r="G1854" t="n">
        <v>0.1439</v>
      </c>
      <c r="H1854" t="inlineStr">
        <is>
          <t>Summary: This code implements a set of backend software components that perform various tasks related to data processing and analysis. It uses a variety of algorithms for efficient computation, including sorting, searching, and graph traversal. The code is well-documented with comments explaining the purpose and implementation of each algorithm. The complexity of the code is O(N), where N is the size of the input</t>
        </is>
      </c>
      <c r="I1854" t="n">
        <v>0.004</v>
      </c>
      <c r="J1854" t="n">
        <v>0.08110000000000001</v>
      </c>
      <c r="K1854" t="n">
        <v>0.1838</v>
      </c>
      <c r="L1854" t="inlineStr">
        <is>
          <t>This file implements the core algorithms for a web application using the SpongeAPI framework. It provides a RESTful API that allows users to interact with the system and retrieve data. The code includes comments explaining the implementation details and the license terms.</t>
        </is>
      </c>
      <c r="M1854" t="n">
        <v>0.0062</v>
      </c>
      <c r="N1854" t="n">
        <v>0.16</v>
      </c>
      <c r="O1854" t="n">
        <v>0.2193</v>
      </c>
    </row>
    <row r="1855">
      <c r="A1855" t="inlineStr">
        <is>
          <t>sponge</t>
        </is>
      </c>
      <c r="B1855" t="inlineStr">
        <is>
          <t>src/main/java/org/spongepowered/api/command/parameter/managed/standard/VariableValueParameters.java</t>
        </is>
      </c>
      <c r="C1855">
        <f>HYPERLINK("https://github.com/SpongePowered/SpongeAPI/blob/master/src/main/java/org/spongepowered/api/command/parameter/managed/standard/VariableValueParameters.java")</f>
        <v/>
      </c>
      <c r="D1855" t="inlineStr">
        <is>
          <t>The code implements various core algorithms for a backend system, with a time complexity of O(N), where N is the number of elements being processed. It includes comments describing the purpose and implementation of the code, as well as information about commits and code size.</t>
        </is>
      </c>
      <c r="E1855" t="n">
        <v>0.0054</v>
      </c>
      <c r="F1855" t="n">
        <v>0.1111</v>
      </c>
      <c r="G1855" t="n">
        <v>0.1282</v>
      </c>
      <c r="H1855" t="inlineStr">
        <is>
          <t>This code appears to be a Java implementation of a web application's backend, with a focus on implementing core algorithms. It uses the Spring framework for dependency injection and provides a RESTful API for interacting with the application. The code has been committed once and has a complexity of O(N), where N represents the size of the input data. There are no comments within the code itself,</t>
        </is>
      </c>
      <c r="I1855" t="n">
        <v>0.0036</v>
      </c>
      <c r="J1855" t="n">
        <v>0.1039</v>
      </c>
      <c r="K1855" t="n">
        <v>0.2676</v>
      </c>
      <c r="L1855" t="inlineStr">
        <is>
          <t>This file implements the core algorithms for a web application using Node.js and Express. It provides a RESTful API that allows users to interact with the application's data through HTTP requests. The code has been optimized for performance and scalability, with a focus on simplicity and readability.</t>
        </is>
      </c>
      <c r="M1855" t="n">
        <v>0.0055</v>
      </c>
      <c r="N1855" t="n">
        <v>0.1404</v>
      </c>
      <c r="O1855" t="n">
        <v>0.2101</v>
      </c>
    </row>
    <row r="1856">
      <c r="A1856" t="inlineStr">
        <is>
          <t>sponge</t>
        </is>
      </c>
      <c r="B1856" t="inlineStr">
        <is>
          <t>src/main/java/org/spongepowered/api/command/parameter/managed/standard/ResourceKeyedValueParameter.java</t>
        </is>
      </c>
      <c r="C1856">
        <f>HYPERLINK("https://github.com/SpongePowered/SpongeAPI/blob/master/src/main/java/org/spongepowered/api/command/parameter/managed/standard/ResourceKeyedValueParameter.java")</f>
        <v/>
      </c>
      <c r="D1856" t="inlineStr">
        <is>
          <t>This code appears to be a Java implementation of a back-end system for a web application. It includes comments that describe its purpose, complexity, and other relevant information. The code also includes a license header and a README file that provide additional context and background information about the project. Overall, it seems like this code is intended to serve as a foundation for building a robust and scal</t>
        </is>
      </c>
      <c r="E1856" t="n">
        <v>0.0032</v>
      </c>
      <c r="F1856" t="n">
        <v>0.0779</v>
      </c>
      <c r="G1856" t="n">
        <v>0.1071</v>
      </c>
      <c r="H1856" t="inlineStr">
        <is>
          <t>This code implements various backend software components for a web application. It includes a number of different functionalities, such as implementing core algorithms and handling user authentication. The code is written in Java and uses Spring Boot as its framework. The README provides a brief overview of the project's purpose and goals, while the comments within the code provide more detailed descriptions of each component's</t>
        </is>
      </c>
      <c r="I1856" t="n">
        <v>0.0042</v>
      </c>
      <c r="J1856" t="n">
        <v>0.1333</v>
      </c>
      <c r="K1856" t="n">
        <v>0.219</v>
      </c>
      <c r="L1856" t="inlineStr">
        <is>
          <t>This file implements the core algorithms for a web application's backend using Java. It has a complexity of O(N) and existing comments provide insight into the implementation. The code size is approximately 1000 lines long.</t>
        </is>
      </c>
      <c r="M1856" t="n">
        <v>0.0075</v>
      </c>
      <c r="N1856" t="n">
        <v>0.1778</v>
      </c>
      <c r="O1856" t="n">
        <v>0.2336</v>
      </c>
    </row>
    <row r="1857">
      <c r="A1857" t="inlineStr">
        <is>
          <t>sponge</t>
        </is>
      </c>
      <c r="B1857" t="inlineStr">
        <is>
          <t>src/main/java/org/spongepowered/api/command/parameter/managed/clientcompletion/package-info.java</t>
        </is>
      </c>
      <c r="C1857">
        <f>HYPERLINK("https://github.com/SpongePowered/SpongeAPI/blob/master/src/main/java/org/spongepowered/api/command/parameter/managed/clientcompletion/package-info.java")</f>
        <v/>
      </c>
      <c r="D1857" t="inlineStr">
        <is>
          <t>This code appears to be a Java implementation of various algorithms for solving certain problems. It includes comments describing the purpose of each algorithm and the complexity of their running time. There are also some commits listed, but no information about the size of the code. Overall, it seems like this code could be used as a starting point for implementing specific algorithms in a Java environment.</t>
        </is>
      </c>
      <c r="E1857" t="n">
        <v>0.0032</v>
      </c>
      <c r="F1857" t="n">
        <v>0.08</v>
      </c>
      <c r="G1857" t="n">
        <v>0.1439</v>
      </c>
      <c r="H1857" t="inlineStr">
        <is>
          <t>This code implements various backend software components for a web application. It includes the implementation of core algorithms, which has a time complexity of O(N), as well as comments describing the purpose of each component. The code was initially committed with no prior history.</t>
        </is>
      </c>
      <c r="I1857" t="n">
        <v>0.0059</v>
      </c>
      <c r="J1857" t="n">
        <v>0.1509</v>
      </c>
      <c r="K1857" t="n">
        <v>0.1724</v>
      </c>
      <c r="L1857" t="inlineStr">
        <is>
          <t>This file implements the core algorithms for a web application using the SpongeAPI framework. It provides a RESTful API for interacting with the application's data models and services. The code is written in Java and uses the Spring Boot framework for building the application.</t>
        </is>
      </c>
      <c r="M1857" t="n">
        <v>0.0059</v>
      </c>
      <c r="N1857" t="n">
        <v>0.1509</v>
      </c>
      <c r="O1857" t="n">
        <v>0.2155</v>
      </c>
    </row>
    <row r="1858">
      <c r="A1858" t="inlineStr">
        <is>
          <t>sponge</t>
        </is>
      </c>
      <c r="B1858" t="inlineStr">
        <is>
          <t>src/main/java/org/spongepowered/api/command/parameter/managed/clientcompletion/ClientCompletionTypes.java</t>
        </is>
      </c>
      <c r="C1858">
        <f>HYPERLINK("https://github.com/SpongePowered/SpongeAPI/blob/master/src/main/java/org/spongepowered/api/command/parameter/managed/clientcompletion/ClientCompletionTypes.java")</f>
        <v/>
      </c>
      <c r="D1858" t="inlineStr">
        <is>
          <t>The provided code appears to be a Java implementation of a data structure called a trie, which is commonly used for efficient string matching and auto-completion. The code defines a class named `Trie` that has methods for inserting strings into the trie, searching for specific substrings within the trie, and retrieving all substrings that start with a given prefix. The trie</t>
        </is>
      </c>
      <c r="E1858" t="n">
        <v>0.003</v>
      </c>
      <c r="F1858" t="n">
        <v>0.0571</v>
      </c>
      <c r="G1858" t="n">
        <v>0.1128</v>
      </c>
      <c r="H1858" t="inlineStr">
        <is>
          <t>This code implements various backend software components, specifically implementing core algorithms. It has a complexity of O(N), with comments describing the implementation details. The code size is approximately 1000 lines long.</t>
        </is>
      </c>
      <c r="I1858" t="n">
        <v>0.008500000000000001</v>
      </c>
      <c r="J1858" t="n">
        <v>0.2</v>
      </c>
      <c r="K1858" t="n">
        <v>0.1942</v>
      </c>
      <c r="L1858" t="inlineStr">
        <is>
          <t>This file implements the core algorithms for a backend software component using the SpongeAPI framework. It has a complexity of O(N) and includes existing comments that provide implementation details. The code was initially committed as part of a larger project, and the README file describes the repository's contents.</t>
        </is>
      </c>
      <c r="M1858" t="n">
        <v>0.0057</v>
      </c>
      <c r="N1858" t="n">
        <v>0.1379</v>
      </c>
      <c r="O1858" t="n">
        <v>0.25</v>
      </c>
    </row>
    <row r="1859">
      <c r="A1859" t="inlineStr">
        <is>
          <t>sponge</t>
        </is>
      </c>
      <c r="B1859" t="inlineStr">
        <is>
          <t>src/main/java/org/spongepowered/api/command/parameter/managed/clientcompletion/ClientCompletionType.java</t>
        </is>
      </c>
      <c r="C1859">
        <f>HYPERLINK("https://github.com/SpongePowered/SpongeAPI/blob/master/src/main/java/org/spongepowered/api/command/parameter/managed/clientcompletion/ClientCompletionType.java")</f>
        <v/>
      </c>
      <c r="D1859" t="inlineStr">
        <is>
          <t>This code appears to be a Java implementation of a backend system for a web application. It includes several classes that define different types of data structures and algorithms used by the system. The code also includes comments describing the purpose and complexity of each class, as well as information about commits and code size. Overall, it seems like this codebase is intended to provide the foundation for a robust and scal</t>
        </is>
      </c>
      <c r="E1859" t="n">
        <v>0.003</v>
      </c>
      <c r="F1859" t="n">
        <v>0.075</v>
      </c>
      <c r="G1859" t="n">
        <v>0.1389</v>
      </c>
      <c r="H1859" t="inlineStr">
        <is>
          <t>Summary:
The provided code is a collection of backend software components that implement core algorithms. It has a complexity of O(N) and uses comments to explain its functionality. The code size is approximately 1000 lines.</t>
        </is>
      </c>
      <c r="I1859" t="n">
        <v>0.007</v>
      </c>
      <c r="J1859" t="n">
        <v>0.1818</v>
      </c>
      <c r="K1859" t="n">
        <v>0.3477</v>
      </c>
      <c r="L1859" t="inlineStr">
        <is>
          <t>This file implements the core algorithms for a web application using the SpongeAPI framework. It includes functions for handling requests and responses, as well as other utility methods for working with data.</t>
        </is>
      </c>
      <c r="M1859" t="n">
        <v>0.0083</v>
      </c>
      <c r="N1859" t="n">
        <v>0.25</v>
      </c>
      <c r="O1859" t="n">
        <v>0.2404</v>
      </c>
    </row>
    <row r="1860">
      <c r="A1860" t="inlineStr">
        <is>
          <t>sponge</t>
        </is>
      </c>
      <c r="B1860" t="inlineStr">
        <is>
          <t>src/main/java/org/spongepowered/api/command/exception/package-info.java</t>
        </is>
      </c>
      <c r="C1860">
        <f>HYPERLINK("https://github.com/SpongePowered/SpongeAPI/blob/master/src/main/java/org/spongepowered/api/command/exception/package-info.java")</f>
        <v/>
      </c>
      <c r="D1860" t="inlineStr">
        <is>
          <t>The provided code appears to be a Java implementation of a web application's backend logic. It includes several classes that define different types of data models, such as `User`, `Post`, and `Comment`. There are also various methods for manipulating these objects, such as creating new instances, updating existing ones, and deleting them. Additionally, there are some utility functions for working with strings and</t>
        </is>
      </c>
      <c r="E1860" t="n">
        <v>0.0034</v>
      </c>
      <c r="F1860" t="n">
        <v>0.0833</v>
      </c>
      <c r="G1860" t="n">
        <v>0.1481</v>
      </c>
      <c r="H1860" t="inlineStr">
        <is>
          <t>This code is a backend system that implements various algorithms for a web application. It has been written using Java and uses the Spring framework for dependency injection and configuration management. The code is well-documented with comments explaining the purpose of each class and method. The complexity of the code is O(N), where N represents the number of elements being processed by the algorithm. The code has been committed</t>
        </is>
      </c>
      <c r="I1860" t="n">
        <v>0.0035</v>
      </c>
      <c r="J1860" t="n">
        <v>0.0759</v>
      </c>
      <c r="K1860" t="n">
        <v>0.1418</v>
      </c>
      <c r="L1860" t="inlineStr">
        <is>
          <t>This file implements the core algorithms for a web application using the SpongeAPI framework. It provides a RESTful API that allows users to interact with the application's data.</t>
        </is>
      </c>
      <c r="M1860" t="n">
        <v>0.008800000000000001</v>
      </c>
      <c r="N1860" t="n">
        <v>0.1622</v>
      </c>
      <c r="O1860" t="n">
        <v>0.2</v>
      </c>
    </row>
    <row r="1861">
      <c r="A1861" t="inlineStr">
        <is>
          <t>sponge</t>
        </is>
      </c>
      <c r="B1861" t="inlineStr">
        <is>
          <t>src/main/java/org/spongepowered/api/command/exception/CommandException.java</t>
        </is>
      </c>
      <c r="C1861">
        <f>HYPERLINK("https://github.com/SpongePowered/SpongeAPI/blob/master/src/main/java/org/spongepowered/api/command/exception/CommandException.java")</f>
        <v/>
      </c>
      <c r="D1861" t="inlineStr">
        <is>
          <t>The code appears to be a Java implementation of various algorithms for solving problems related to graphs and networks. It includes functions for computing shortest paths, minimum spanning trees, maximum flow, and other graph-related tasks. The code also includes comments explaining the purpose and complexity of each function. Overall, it seems like a well-structured and efficient piece of code that could be useful for</t>
        </is>
      </c>
      <c r="E1861" t="n">
        <v>0.0028</v>
      </c>
      <c r="F1861" t="n">
        <v>0.08110000000000001</v>
      </c>
      <c r="G1861" t="n">
        <v>0.1103</v>
      </c>
      <c r="H1861" t="inlineStr">
        <is>
          <t>This repository contains backend software components that implement core algorithms. The complexity of the code is O(N), with comments describing the implementation details. The code size is approximately 1000 lines.</t>
        </is>
      </c>
      <c r="I1861" t="n">
        <v>0.008200000000000001</v>
      </c>
      <c r="J1861" t="n">
        <v>0.2051</v>
      </c>
      <c r="K1861" t="n">
        <v>0.1961</v>
      </c>
      <c r="L1861" t="inlineStr">
        <is>
          <t>This file implements the core algorithms for a web application using the SpongeAPI framework. It provides a RESTful API for interacting with the application's data models and services. The code is written in Java and uses the Spring Boot framework for building the web service.</t>
        </is>
      </c>
      <c r="M1861" t="n">
        <v>0.0058</v>
      </c>
      <c r="N1861" t="n">
        <v>0.1481</v>
      </c>
      <c r="O1861" t="n">
        <v>0.2137</v>
      </c>
    </row>
    <row r="1862">
      <c r="A1862" t="inlineStr">
        <is>
          <t>sponge</t>
        </is>
      </c>
      <c r="B1862" t="inlineStr">
        <is>
          <t>src/main/java/org/spongepowered/api/command/exception/InvocationCommandException.java</t>
        </is>
      </c>
      <c r="C1862">
        <f>HYPERLINK("https://github.com/SpongePowered/SpongeAPI/blob/master/src/main/java/org/spongepowered/api/command/exception/InvocationCommandException.java")</f>
        <v/>
      </c>
      <c r="D1862" t="inlineStr">
        <is>
          <t>This code appears to be a Java implementation of various algorithms for solving problems related to graphs and networks. It includes functions for computing shortest paths, minimum spanning trees, and other graph-related operations. The code is well-documented with comments explaining the purpose and complexity of each function. The overall structure of the code follows the standard conventions for Java programming, making it easy to read</t>
        </is>
      </c>
      <c r="E1862" t="n">
        <v>0.0033</v>
      </c>
      <c r="F1862" t="n">
        <v>0.1067</v>
      </c>
      <c r="G1862" t="n">
        <v>0.146</v>
      </c>
      <c r="H1862" t="inlineStr">
        <is>
          <t>This code appears to be a Java implementation of a backend system for a web application. It includes comments describing the purpose of each class and method, as well as some basic information about the project's license and authors. The code itself appears to implement various algorithms related to data processing and manipulation, with a complexity rating of O(N), where N is the size of the input dataset.</t>
        </is>
      </c>
      <c r="I1862" t="n">
        <v>0.0032</v>
      </c>
      <c r="J1862" t="n">
        <v>0.0769</v>
      </c>
      <c r="K1862" t="n">
        <v>0.1071</v>
      </c>
      <c r="L1862" t="inlineStr">
        <is>
          <t>This file is part of SpongeAPI, a framework for building Minecraft plugins. It implements core algorithms for various features such as command parsing and event handling.</t>
        </is>
      </c>
      <c r="M1862" t="n">
        <v>0.0183</v>
      </c>
      <c r="N1862" t="n">
        <v>0.2353</v>
      </c>
      <c r="O1862" t="n">
        <v>0.3796</v>
      </c>
    </row>
    <row r="1863">
      <c r="A1863" t="inlineStr">
        <is>
          <t>sponge</t>
        </is>
      </c>
      <c r="B1863" t="inlineStr">
        <is>
          <t>src/main/java/org/spongepowered/api/command/exception/CommandPermissionException.java</t>
        </is>
      </c>
      <c r="C1863">
        <f>HYPERLINK("https://github.com/SpongePowered/SpongeAPI/blob/master/src/main/java/org/spongepowered/api/command/exception/CommandPermissionException.java")</f>
        <v/>
      </c>
      <c r="D1863" t="inlineStr">
        <is>
          <t>The code implements various algorithms for solving complex problems. It has a complexity of O(N), where N is the size of the input data. The code includes comments that explain the implementation of each algorithm. There have been two commits to the codebase since its initial creation. The total size of the code is approximately 1000 lines.</t>
        </is>
      </c>
      <c r="E1863" t="n">
        <v>0.0032</v>
      </c>
      <c r="F1863" t="n">
        <v>0.0303</v>
      </c>
      <c r="G1863" t="n">
        <v>0.0388</v>
      </c>
      <c r="H1863" t="inlineStr">
        <is>
          <t>This code implements a set of backend software components, specifically the implementation of core algorithms. It has a complexity of O(N), with comments describing the purpose and functionality of each component. The code was initially committed, and its size is approximately 1000 lines.</t>
        </is>
      </c>
      <c r="I1863" t="n">
        <v>0.0067</v>
      </c>
      <c r="J1863" t="n">
        <v>0.2308</v>
      </c>
      <c r="K1863" t="n">
        <v>0.2609</v>
      </c>
      <c r="L1863" t="inlineStr">
        <is>
          <t>This file implements the core algorithms for a web application using the SpongeAPI framework. It handles user authentication and authorization, provides RESTful APIs for interacting with the application's data, and includes various utility functions for working with JSON data.</t>
        </is>
      </c>
      <c r="M1863" t="n">
        <v>0.0067</v>
      </c>
      <c r="N1863" t="n">
        <v>0.1667</v>
      </c>
      <c r="O1863" t="n">
        <v>0.2252</v>
      </c>
    </row>
    <row r="1864">
      <c r="A1864" t="inlineStr">
        <is>
          <t>sponge</t>
        </is>
      </c>
      <c r="B1864" t="inlineStr">
        <is>
          <t>src/main/java/org/spongepowered/api/command/exception/CommandNotFoundException.java</t>
        </is>
      </c>
      <c r="C1864">
        <f>HYPERLINK("https://github.com/SpongePowered/SpongeAPI/blob/master/src/main/java/org/spongepowered/api/command/exception/CommandNotFoundException.java")</f>
        <v/>
      </c>
      <c r="D1864" t="inlineStr">
        <is>
          <t>This code appears to be a Java implementation of various data structures and algorithms. It includes classes for implementing stacks, queues, linked lists, trees, and graphs, as well as functions for searching and sorting. The code also includes comments explaining the purpose and complexity of each class and function. Additionally, there is a README file that describes the overall project and its goals.</t>
        </is>
      </c>
      <c r="E1864" t="n">
        <v>0.0034</v>
      </c>
      <c r="F1864" t="n">
        <v>0.1127</v>
      </c>
      <c r="G1864" t="n">
        <v>0.1481</v>
      </c>
      <c r="H1864" t="inlineStr">
        <is>
          <t>This code implements various backend software components, with a focus on implementing core algorithms. It has been written using the MIT License, which allows for redistribution and modification as long as the original copyright notice and license terms are preserved. The code has been committed once, resulting in a total of 1000 lines of code.</t>
        </is>
      </c>
      <c r="I1864" t="n">
        <v>0.005</v>
      </c>
      <c r="J1864" t="n">
        <v>0.1587</v>
      </c>
      <c r="K1864" t="n">
        <v>0.2362</v>
      </c>
      <c r="L1864" t="inlineStr">
        <is>
          <t>This file implements the core algorithms for a web application using the SpongeAPI framework. It handles user authentication and authorization, as well as provides RESTful APIs for accessing data and performing actions.</t>
        </is>
      </c>
      <c r="M1864" t="n">
        <v>0.0083</v>
      </c>
      <c r="N1864" t="n">
        <v>0.2</v>
      </c>
      <c r="O1864" t="n">
        <v>0.2404</v>
      </c>
    </row>
    <row r="1865">
      <c r="A1865" t="inlineStr">
        <is>
          <t>sponge</t>
        </is>
      </c>
      <c r="B1865" t="inlineStr">
        <is>
          <t>src/main/java/org/spongepowered/api/command/exception/ArgumentParseException.java</t>
        </is>
      </c>
      <c r="C1865">
        <f>HYPERLINK("https://github.com/SpongePowered/SpongeAPI/blob/master/src/main/java/org/spongepowered/api/command/exception/ArgumentParseException.java")</f>
        <v/>
      </c>
      <c r="D1865" t="inlineStr">
        <is>
          <t>The provided code appears to be a Java implementation of a simple algorithm for solving a problem. It defines a class called `Solver` with a single method called `solve`, which takes an integer array as input and returns an integer array containing the solution to the problem.
The `solve` method first sorts the input array using the built-in `Arrays.sort()`</t>
        </is>
      </c>
      <c r="E1865" t="n">
        <v>0.0031</v>
      </c>
      <c r="F1865" t="n">
        <v>0.058</v>
      </c>
      <c r="G1865" t="n">
        <v>0.1145</v>
      </c>
      <c r="H1865" t="inlineStr">
        <is>
          <t>This code implements a set of backend software components that perform various tasks such as data processing, analysis, and manipulation. It uses the MIT License for open-source distribution and has been written by a team of developers at SpongePowered. The code is well-documented with comments explaining the purpose and implementation of each component, making it easy to understand and maintain. The complexity</t>
        </is>
      </c>
      <c r="I1865" t="n">
        <v>0.0042</v>
      </c>
      <c r="J1865" t="n">
        <v>0.1111</v>
      </c>
      <c r="K1865" t="n">
        <v>0.1866</v>
      </c>
      <c r="L1865" t="inlineStr">
        <is>
          <t>This file implements the core algorithms for a web application using SpongeAPI. It provides a RESTful API for interacting with the application's data models and services.</t>
        </is>
      </c>
      <c r="M1865" t="n">
        <v>0.0103</v>
      </c>
      <c r="N1865" t="n">
        <v>0.2286</v>
      </c>
      <c r="O1865" t="n">
        <v>0.2551</v>
      </c>
    </row>
    <row r="1866">
      <c r="A1866" t="inlineStr">
        <is>
          <t>sponge</t>
        </is>
      </c>
      <c r="B1866" t="inlineStr">
        <is>
          <t>src/main/java/org/spongepowered/api/client/LocalServer.java</t>
        </is>
      </c>
      <c r="C1866">
        <f>HYPERLINK("https://github.com/SpongePowered/SpongeAPI/blob/master/src/main/java/org/spongepowered/api/client/LocalServer.java")</f>
        <v/>
      </c>
      <c r="D1866" t="inlineStr">
        <is>
          <t>The provided code appears to be a Java implementation of various algorithms for solving mathematical problems. It includes functions for computing the factorial of a number, finding the greatest common divisor of two numbers, and performing other operations on integers. The code also includes comments explaining the purpose and complexity of each function.</t>
        </is>
      </c>
      <c r="E1866" t="n">
        <v>0.0035</v>
      </c>
      <c r="F1866" t="n">
        <v>0.0984</v>
      </c>
      <c r="G1866" t="n">
        <v>0.12</v>
      </c>
      <c r="H1866" t="inlineStr">
        <is>
          <t>This code is a Java implementation of a web application's backend, which includes several modules for handling user authentication, data storage, and API endpoints. It uses Spring Boot as its framework and is designed to run on a cloud-based infrastructure. The code has been written with security in mind, using techniques such as input validation and secure password hashing. The project also includes unit tests</t>
        </is>
      </c>
      <c r="I1866" t="n">
        <v>0.0033</v>
      </c>
      <c r="J1866" t="n">
        <v>0.08</v>
      </c>
      <c r="K1866" t="n">
        <v>0.1825</v>
      </c>
      <c r="L1866" t="inlineStr">
        <is>
          <t>This file implements the core algorithms for a web application using the SpongeAPI framework. It handles requests and responses, managing user sessions, and providing data to the frontend.</t>
        </is>
      </c>
      <c r="M1866" t="n">
        <v>0.0095</v>
      </c>
      <c r="N1866" t="n">
        <v>0.2222</v>
      </c>
      <c r="O1866" t="n">
        <v>0.25</v>
      </c>
    </row>
    <row r="1867">
      <c r="A1867" t="inlineStr">
        <is>
          <t>sponge</t>
        </is>
      </c>
      <c r="B1867" t="inlineStr">
        <is>
          <t>src/main/java/org/spongepowered/api/client/package-info.java</t>
        </is>
      </c>
      <c r="C1867">
        <f>HYPERLINK("https://github.com/SpongePowered/SpongeAPI/blob/master/src/main/java/org/spongepowered/api/client/package-info.java")</f>
        <v/>
      </c>
      <c r="D1867" t="inlineStr">
        <is>
          <t>This code implements various algorithms for processing data. It appears to be written in Java and uses the SpongeAPI library. The code has been commented extensively, with descriptions of what each class does and how it works. There have been several commits made to the codebase, but only one initial commit has been mentioned in the README. The overall complexity of the code is O</t>
        </is>
      </c>
      <c r="E1867" t="n">
        <v>0.0037</v>
      </c>
      <c r="F1867" t="n">
        <v>0.0822</v>
      </c>
      <c r="G1867" t="n">
        <v>0.146</v>
      </c>
      <c r="H1867" t="inlineStr">
        <is>
          <t>This code implements a backend system for a web application. It includes comments that explain the purpose of each section of the code and provide information about the complexity and size of the code. The README file provides additional context about the project, including its license and the fact that it is open source.</t>
        </is>
      </c>
      <c r="I1867" t="n">
        <v>0.0045</v>
      </c>
      <c r="J1867" t="n">
        <v>0.0968</v>
      </c>
      <c r="K1867" t="n">
        <v>0.119</v>
      </c>
      <c r="L1867" t="inlineStr">
        <is>
          <t>This file is part of SpongeAPI, a framework for building Minecraft plugins. It appears to implement core algorithms for handling plugin events and commands.</t>
        </is>
      </c>
      <c r="M1867" t="n">
        <v>0.0104</v>
      </c>
      <c r="N1867" t="n">
        <v>0.25</v>
      </c>
      <c r="O1867" t="n">
        <v>0.3875</v>
      </c>
    </row>
    <row r="1868">
      <c r="A1868" t="inlineStr">
        <is>
          <t>sponge</t>
        </is>
      </c>
      <c r="B1868" t="inlineStr">
        <is>
          <t>src/main/java/org/spongepowered/api/tag/Tag.java</t>
        </is>
      </c>
      <c r="C1868">
        <f>HYPERLINK("https://github.com/SpongePowered/SpongeAPI/blob/master/src/main/java/org/spongepowered/api/tag/Tag.java")</f>
        <v/>
      </c>
      <c r="D1868" t="inlineStr">
        <is>
          <t>This code appears to be a Java implementation of various algorithms for solving problems related to graphs and networks. It includes implementations of graph traversal algorithms such as DFS and BFS, as well as network flow algorithms like Ford-Fulkerson and Edmonds-Karp. The code also includes some utility functions for working with graphs and networks, such as generating random graphs and computing graph metrics</t>
        </is>
      </c>
      <c r="E1868" t="n">
        <v>0.0034</v>
      </c>
      <c r="F1868" t="n">
        <v>0.1096</v>
      </c>
      <c r="G1868" t="n">
        <v>0.1481</v>
      </c>
      <c r="H1868" t="inlineStr">
        <is>
          <t>Summary: This repository contains backend software components that implement core algorithms with a complexity of O(N). The code is written in Java and includes comments explaining the purpose and implementation of each component. The README file provides information about the project's goals and scope, as well as instructions for building and running the code.</t>
        </is>
      </c>
      <c r="I1868" t="n">
        <v>0.0048</v>
      </c>
      <c r="J1868" t="n">
        <v>0.1562</v>
      </c>
      <c r="K1868" t="n">
        <v>0.2381</v>
      </c>
      <c r="L1868" t="inlineStr">
        <is>
          <t>This file implements the core algorithms for a web application using the SpongeAPI framework. It provides a RESTful API for interacting with the application's data models and services. The code has a complexity of O(N), with existing comments providing implementation details. The code size is approximately 1000 lines long.</t>
        </is>
      </c>
      <c r="M1868" t="n">
        <v>0.0053</v>
      </c>
      <c r="N1868" t="n">
        <v>0.1356</v>
      </c>
      <c r="O1868" t="n">
        <v>0.2066</v>
      </c>
    </row>
    <row r="1869">
      <c r="A1869" t="inlineStr">
        <is>
          <t>sponge</t>
        </is>
      </c>
      <c r="B1869" t="inlineStr">
        <is>
          <t>src/main/java/org/spongepowered/api/tag/ItemTypeTags.java</t>
        </is>
      </c>
      <c r="C1869">
        <f>HYPERLINK("https://github.com/SpongePowered/SpongeAPI/blob/master/src/main/java/org/spongepowered/api/tag/ItemTypeTags.java")</f>
        <v/>
      </c>
      <c r="D1869" t="inlineStr">
        <is>
          <t>This code appears to be a Java implementation of various algorithms for manipulating data structures such as lists and sets. It includes methods for adding, removing, and searching elements within these data structures, as well as methods for checking if two sets are equal or if one set is a subset of another. The code also includes comments explaining the purpose and complexity of each method.</t>
        </is>
      </c>
      <c r="E1869" t="n">
        <v>0.0033</v>
      </c>
      <c r="F1869" t="n">
        <v>0.08110000000000001</v>
      </c>
      <c r="G1869" t="n">
        <v>0.1087</v>
      </c>
      <c r="H1869" t="inlineStr">
        <is>
          <t>This code implements various backend software components, specifically those related to implementing core algorithms. It is written in Java and uses the MIT License for open-source distribution. The code has been committed once with no further changes made since its initial release. Its complexity is O(N), where N represents the number of elements being processed by the algorithm.</t>
        </is>
      </c>
      <c r="I1869" t="n">
        <v>0.0047</v>
      </c>
      <c r="J1869" t="n">
        <v>0.1471</v>
      </c>
      <c r="K1869" t="n">
        <v>0.2308</v>
      </c>
      <c r="L1869" t="inlineStr">
        <is>
          <t>This file implements the core algorithms for a web application using the SpongeAPI framework. It provides a RESTful API that allows users to interact with the application's data models. The code is written in Java and uses the Spring Boot framework for building the web service.</t>
        </is>
      </c>
      <c r="M1869" t="n">
        <v>0.0057</v>
      </c>
      <c r="N1869" t="n">
        <v>0.1455</v>
      </c>
      <c r="O1869" t="n">
        <v>0.2119</v>
      </c>
    </row>
    <row r="1870">
      <c r="A1870" t="inlineStr">
        <is>
          <t>sponge</t>
        </is>
      </c>
      <c r="B1870" t="inlineStr">
        <is>
          <t>src/main/java/org/spongepowered/api/tag/EnchantmenTypeTags.java</t>
        </is>
      </c>
      <c r="C1870">
        <f>HYPERLINK("https://github.com/SpongePowered/SpongeAPI/blob/master/src/main/java/org/spongepowered/api/tag/EnchantmenTypeTags.java")</f>
        <v/>
      </c>
      <c r="D1870" t="inlineStr">
        <is>
          <t>This code appears to be a Java implementation of a simple algorithm for solving a problem. It defines a class called `Solver` with a single method `solve`, which takes two parameters, `input` and `output`. The `solve` method performs some computation on the input data and writes the result to the output stream.
The algorithm itself seems to be quite straightforward and</t>
        </is>
      </c>
      <c r="E1870" t="n">
        <v>0.0036</v>
      </c>
      <c r="F1870" t="n">
        <v>0.08699999999999999</v>
      </c>
      <c r="G1870" t="n">
        <v>0.1128</v>
      </c>
      <c r="H1870" t="inlineStr">
        <is>
          <t>This code implements the backend for a web application. It consists of several modules that work together to provide the necessary functionality for the application's core algorithms. The code is written in Java and uses various libraries and frameworks such as Spring Boot and Hibernate to handle database interactions and other tasks. The project also includes unit tests and integration tests to ensure the quality of the code. Overall, the code</t>
        </is>
      </c>
      <c r="I1870" t="n">
        <v>0.0038</v>
      </c>
      <c r="J1870" t="n">
        <v>0.1</v>
      </c>
      <c r="K1870" t="n">
        <v>0.2098</v>
      </c>
      <c r="L1870" t="inlineStr">
        <is>
          <t>The provided code implements a server for a web application using the SpongeAPI framework. It handles requests from clients and provides responses based on the requested resources. The code has a complexity of O(N), with existing comments providing implementation details and commit messages indicating the initial commit. The code size is approximately 1000 lines.</t>
        </is>
      </c>
      <c r="M1870" t="n">
        <v>0.004</v>
      </c>
      <c r="N1870" t="n">
        <v>0.0635</v>
      </c>
      <c r="O1870" t="n">
        <v>0.119</v>
      </c>
    </row>
    <row r="1871">
      <c r="A1871" t="inlineStr">
        <is>
          <t>sponge</t>
        </is>
      </c>
      <c r="B1871" t="inlineStr">
        <is>
          <t>src/main/java/org/spongepowered/api/tag/package-info.java</t>
        </is>
      </c>
      <c r="C1871">
        <f>HYPERLINK("https://github.com/SpongePowered/SpongeAPI/blob/master/src/main/java/org/spongepowered/api/tag/package-info.java")</f>
        <v/>
      </c>
      <c r="D1871" t="inlineStr">
        <is>
          <t>The code provides a basic implementation of a web server using Java's built-in HTTP server API. It listens on port 8080 for incoming requests and responds with a simple HTML page containing the text "Hello, World!" when a GET request is made to the root URL "/".</t>
        </is>
      </c>
      <c r="E1871" t="n">
        <v>0.0039</v>
      </c>
      <c r="F1871" t="n">
        <v>0.07140000000000001</v>
      </c>
      <c r="G1871" t="n">
        <v>0.1261</v>
      </c>
      <c r="H1871" t="inlineStr">
        <is>
          <t>This code appears to be a Java implementation of a web service that provides access to various features related to managing and processing data. It includes a number of classes and methods for handling HTTP requests and responses, as well as for interacting with databases and other external systems. The code also includes comments and documentation describing the purpose and usage of each class and method. Overall, it seems like this</t>
        </is>
      </c>
      <c r="I1871" t="n">
        <v>0.003</v>
      </c>
      <c r="J1871" t="n">
        <v>0.0759</v>
      </c>
      <c r="K1871" t="n">
        <v>0.1049</v>
      </c>
      <c r="L1871" t="inlineStr">
        <is>
          <t>This file implements the core algorithms for a web application using the SpongeAPI framework. It processes user input and generates responses based on the current state of the system. The code has a complexity of O(N) and uses existing comments to explain its implementation.</t>
        </is>
      </c>
      <c r="M1871" t="n">
        <v>0.0059</v>
      </c>
      <c r="N1871" t="n">
        <v>0.1509</v>
      </c>
      <c r="O1871" t="n">
        <v>0.2155</v>
      </c>
    </row>
    <row r="1872">
      <c r="A1872" t="inlineStr">
        <is>
          <t>sponge</t>
        </is>
      </c>
      <c r="B1872" t="inlineStr">
        <is>
          <t>src/main/java/org/spongepowered/api/tag/FluidTypeTags.java</t>
        </is>
      </c>
      <c r="C1872">
        <f>HYPERLINK("https://github.com/SpongePowered/SpongeAPI/blob/master/src/main/java/org/spongepowered/api/tag/FluidTypeTags.java")</f>
        <v/>
      </c>
      <c r="D1872" t="inlineStr">
        <is>
          <t>This code appears to be a Java implementation of a set of algorithms for performing various tasks related to data processing and analysis. The code includes comments that describe the purpose and functionality of each algorithm, as well as the complexity and other relevant details. The code also includes a README file that provides information about the project's goals and objectives, as well as instructions for building and running the</t>
        </is>
      </c>
      <c r="E1872" t="n">
        <v>0.0034</v>
      </c>
      <c r="F1872" t="n">
        <v>0.1013</v>
      </c>
      <c r="G1872" t="n">
        <v>0.1408</v>
      </c>
      <c r="H1872" t="inlineStr">
        <is>
          <t>This code implements various backend software components for a web application. It includes a number of functions that perform different tasks, such as data manipulation, data retrieval, and algorithm implementation. The complexity of the code is O(N), indicating that it has a linear time complexity with respect to the size of the input. The comments provide a brief description of each function's purpose and how they</t>
        </is>
      </c>
      <c r="I1872" t="n">
        <v>0.0039</v>
      </c>
      <c r="J1872" t="n">
        <v>0.1316</v>
      </c>
      <c r="K1872" t="n">
        <v>0.1812</v>
      </c>
      <c r="L1872" t="inlineStr">
        <is>
          <t>This file implements the core algorithms for a web application using the SpongeAPI framework. It provides a RESTful API for interacting with the application's data and features.</t>
        </is>
      </c>
      <c r="M1872" t="n">
        <v>0.009900000000000001</v>
      </c>
      <c r="N1872" t="n">
        <v>0.2222</v>
      </c>
      <c r="O1872" t="n">
        <v>0.2525</v>
      </c>
    </row>
    <row r="1873">
      <c r="A1873" t="inlineStr">
        <is>
          <t>sponge</t>
        </is>
      </c>
      <c r="B1873" t="inlineStr">
        <is>
          <t>src/main/java/org/spongepowered/api/tag/DamageTypeTags.java</t>
        </is>
      </c>
      <c r="C1873">
        <f>HYPERLINK("https://github.com/SpongePowered/SpongeAPI/blob/master/src/main/java/org/spongepowered/api/tag/DamageTypeTags.java")</f>
        <v/>
      </c>
      <c r="D1873" t="inlineStr">
        <is>
          <t>The code implements various algorithms for solving problems related to graph theory, such as finding the shortest path between two nodes in a weighted graph. It also includes functions for generating random graphs and checking if a given graph is connected. The code is written in Java and uses the Apache Commons Math library for mathematical operations.</t>
        </is>
      </c>
      <c r="E1873" t="n">
        <v>0.0038</v>
      </c>
      <c r="F1873" t="n">
        <v>0.09229999999999999</v>
      </c>
      <c r="G1873" t="n">
        <v>0.1163</v>
      </c>
      <c r="H1873" t="inlineStr">
        <is>
          <t>This code implements a set of backend software components that perform various tasks related to implementing core algorithms. The complexity of the code is O(N), where N is the number of input data points. The code has been committed for the first time, with a total size of approximately 1000 lines of code.</t>
        </is>
      </c>
      <c r="I1873" t="n">
        <v>0.0049</v>
      </c>
      <c r="J1873" t="n">
        <v>0.129</v>
      </c>
      <c r="K1873" t="n">
        <v>0.16</v>
      </c>
      <c r="L1873" t="inlineStr">
        <is>
          <t>This file implements the core algorithms for a web application using SpongeAPI, a library for building modular, scalable applications. It provides a high-level overview of the code's functionality and purpose, highlighting its main features and contributions.</t>
        </is>
      </c>
      <c r="M1873" t="n">
        <v>0.0137</v>
      </c>
      <c r="N1873" t="n">
        <v>0.2174</v>
      </c>
      <c r="O1873" t="n">
        <v>0.2315</v>
      </c>
    </row>
    <row r="1874">
      <c r="A1874" t="inlineStr">
        <is>
          <t>sponge</t>
        </is>
      </c>
      <c r="B1874" t="inlineStr">
        <is>
          <t>src/main/java/org/spongepowered/api/tag/EntityTypeTags.java</t>
        </is>
      </c>
      <c r="C1874">
        <f>HYPERLINK("https://github.com/SpongePowered/SpongeAPI/blob/master/src/main/java/org/spongepowered/api/tag/EntityTypeTags.java")</f>
        <v/>
      </c>
      <c r="D1874" t="inlineStr">
        <is>
          <t>This code appears to be a Java implementation of various algorithms for solving mathematical problems. It includes methods for computing the greatest common divisor (GCD), least common multiple (LCM), and prime factorization. The code also includes unit tests for each algorithm.</t>
        </is>
      </c>
      <c r="E1874" t="n">
        <v>0.0054</v>
      </c>
      <c r="F1874" t="n">
        <v>0.1224</v>
      </c>
      <c r="G1874" t="n">
        <v>0.1327</v>
      </c>
      <c r="H1874" t="inlineStr">
        <is>
          <t>Summary: This repository contains backend software components that implement core algorithms. It has a complexity of O(N) and uses comments to explain its implementation. The code size is approximately 1000 lines.</t>
        </is>
      </c>
      <c r="I1874" t="n">
        <v>0.008500000000000001</v>
      </c>
      <c r="J1874" t="n">
        <v>0.25</v>
      </c>
      <c r="K1874" t="n">
        <v>0.414</v>
      </c>
      <c r="L1874" t="inlineStr">
        <is>
          <t>This code implements a system for generating random numbers based on a seed value. It uses the Mersenne Twister algorithm to generate pseudorandom numbers that can be used as seeds for other processes. The code has been optimized for performance using techniques such as caching and parallelization.</t>
        </is>
      </c>
      <c r="M1874" t="n">
        <v>0.0051</v>
      </c>
      <c r="N1874" t="n">
        <v>0.1091</v>
      </c>
      <c r="O1874" t="n">
        <v>0.1681</v>
      </c>
    </row>
    <row r="1875">
      <c r="A1875" t="inlineStr">
        <is>
          <t>sponge</t>
        </is>
      </c>
      <c r="B1875" t="inlineStr">
        <is>
          <t>src/main/java/org/spongepowered/api/tag/BiomeTags.java</t>
        </is>
      </c>
      <c r="C1875">
        <f>HYPERLINK("https://github.com/SpongePowered/SpongeAPI/blob/master/src/main/java/org/spongepowered/api/tag/BiomeTags.java")</f>
        <v/>
      </c>
      <c r="D1875" t="inlineStr">
        <is>
          <t>This code appears to be a Java implementation of a data structure called a "queue". It provides methods for adding elements to the queue, removing elements from the front of the queue, and checking the size of the queue. The complexity of the operations performed by the code is O(N), which means that the time it takes to perform each operation grows linearly with the number of elements in the</t>
        </is>
      </c>
      <c r="E1875" t="n">
        <v>0.0031</v>
      </c>
      <c r="F1875" t="n">
        <v>0.0759</v>
      </c>
      <c r="G1875" t="n">
        <v>0.1056</v>
      </c>
      <c r="H1875" t="inlineStr">
        <is>
          <t>This code implements various backend software components, with a focus on implementing core algorithms. It has been written using the MIT License, which allows for free use and modification by anyone. The complexity of the code is O(N), indicating that it scales linearly with the size of the input data set. There have been no commits to the code since its initial creation, but there are comments throughout</t>
        </is>
      </c>
      <c r="I1875" t="n">
        <v>0.004</v>
      </c>
      <c r="J1875" t="n">
        <v>0.1299</v>
      </c>
      <c r="K1875" t="n">
        <v>0.3046</v>
      </c>
      <c r="L1875" t="inlineStr">
        <is>
          <t>This file implements the core algorithms for a web application's backend software components. It uses the MIT license and has a complexity of O(N), with existing comments providing implementation details and commit messages indicating initial codebase commits. The code size is approximately 1000 lines long. Its primary function is to perform various operations and control the flow of data, with the main purpose being</t>
        </is>
      </c>
      <c r="M1875" t="n">
        <v>0.0043</v>
      </c>
      <c r="N1875" t="n">
        <v>0.1351</v>
      </c>
      <c r="O1875" t="n">
        <v>0.2206</v>
      </c>
    </row>
    <row r="1876">
      <c r="A1876" t="inlineStr">
        <is>
          <t>sponge</t>
        </is>
      </c>
      <c r="B1876" t="inlineStr">
        <is>
          <t>src/main/java/org/spongepowered/api/tag/TagTemplate.java</t>
        </is>
      </c>
      <c r="C1876">
        <f>HYPERLINK("https://github.com/SpongePowered/SpongeAPI/blob/master/src/main/java/org/spongepowered/api/tag/TagTemplate.java")</f>
        <v/>
      </c>
      <c r="D1876" t="inlineStr">
        <is>
          <t>This code appears to be a Java implementation of a simple algorithm for solving a problem. It defines a class called `Solver` that has a method called `solve()` which takes an integer array as input and returns the solution to the problem. The algorithm seems to be based on some kind of sorting algorithm, but it's not immediately clear what specific algorithm is being used. The code</t>
        </is>
      </c>
      <c r="E1876" t="n">
        <v>0.0032</v>
      </c>
      <c r="F1876" t="n">
        <v>0.0789</v>
      </c>
      <c r="G1876" t="n">
        <v>0.1079</v>
      </c>
      <c r="H1876" t="inlineStr">
        <is>
          <t>This code implements a set of backend software components that perform various tasks related to data processing and analysis. It uses a variety of programming languages such as Java, Python, and C++. The code has been optimized for performance using techniques such as caching and parallelization. The project also includes unit tests and integration tests to ensure the correctness of the code. Overall, it appears to be a</t>
        </is>
      </c>
      <c r="I1876" t="n">
        <v>0.0038</v>
      </c>
      <c r="J1876" t="n">
        <v>0.0789</v>
      </c>
      <c r="K1876" t="n">
        <v>0.1786</v>
      </c>
      <c r="L1876" t="inlineStr">
        <is>
          <t>This file implements the core algorithms for a web application using the SpongeAPI framework, which allows developers to create powerful plugins that can interact with the game's server and provide additional features. It includes code for handling user input, managing plugin instances, and implementing various utility functions.</t>
        </is>
      </c>
      <c r="M1876" t="n">
        <v>0.0055</v>
      </c>
      <c r="N1876" t="n">
        <v>0.1429</v>
      </c>
      <c r="O1876" t="n">
        <v>0.2101</v>
      </c>
    </row>
    <row r="1877">
      <c r="A1877" t="inlineStr">
        <is>
          <t>sponge</t>
        </is>
      </c>
      <c r="B1877" t="inlineStr">
        <is>
          <t>src/main/java/org/spongepowered/api/tag/Taggable.java</t>
        </is>
      </c>
      <c r="C1877">
        <f>HYPERLINK("https://github.com/SpongePowered/SpongeAPI/blob/master/src/main/java/org/spongepowered/api/tag/Taggable.java")</f>
        <v/>
      </c>
      <c r="D1877" t="inlineStr">
        <is>
          <t>This code appears to be a Java implementation of various algorithms for solving problems related to graphs and networks. It includes functions for computing shortest paths, minimum spanning trees, and other graph-related tasks. The code also includes comments explaining the purpose and complexity of each function. Overall, it seems like this code could be useful for implementing graph-based applications such as social network analysis or recommendation</t>
        </is>
      </c>
      <c r="E1877" t="n">
        <v>0.0033</v>
      </c>
      <c r="F1877" t="n">
        <v>0.1053</v>
      </c>
      <c r="G1877" t="n">
        <v>0.1449</v>
      </c>
      <c r="H1877" t="inlineStr">
        <is>
          <t>Summary: This repository contains backend software components that implement core algorithms with a complexity of O(N). It has been committed once and has a total size of 1000 lines of code.</t>
        </is>
      </c>
      <c r="I1877" t="n">
        <v>0.008500000000000001</v>
      </c>
      <c r="J1877" t="n">
        <v>0.25</v>
      </c>
      <c r="K1877" t="n">
        <v>0.3612</v>
      </c>
      <c r="L1877" t="inlineStr">
        <is>
          <t>This file implements a set of algorithms for processing data in a web application. It includes functions for handling HTTP requests and responses, as well as methods for manipulating data structures such as arrays and objects. The code also includes comments that provide additional context and explain the rationale behind certain design choices. Overall, the code appears to be well-structured and easy to understand, making it suitable</t>
        </is>
      </c>
      <c r="M1877" t="n">
        <v>0.0036</v>
      </c>
      <c r="N1877" t="n">
        <v>0.1053</v>
      </c>
      <c r="O1877" t="n">
        <v>0.1439</v>
      </c>
    </row>
    <row r="1878">
      <c r="A1878" t="inlineStr">
        <is>
          <t>sponge</t>
        </is>
      </c>
      <c r="B1878" t="inlineStr">
        <is>
          <t>src/main/java/org/spongepowered/api/tag/BlockTypeTags.java</t>
        </is>
      </c>
      <c r="C1878">
        <f>HYPERLINK("https://github.com/SpongePowered/SpongeAPI/blob/master/src/main/java/org/spongepowered/api/tag/BlockTypeTags.java")</f>
        <v/>
      </c>
      <c r="D1878" t="inlineStr">
        <is>
          <t>This code appears to be a Java implementation of various algorithms for solving complex problems. It includes classes and methods for implementing different data structures such as linked lists, stacks, queues, trees, and graphs. Additionally, it also includes implementations for sorting algorithms like bubble sort, insertion sort, selection sort, and quicksort, as well as search algorithms like linear search and binary search.</t>
        </is>
      </c>
      <c r="E1878" t="n">
        <v>0.0035</v>
      </c>
      <c r="F1878" t="n">
        <v>0.0857</v>
      </c>
      <c r="G1878" t="n">
        <v>0.1119</v>
      </c>
      <c r="H1878" t="inlineStr">
        <is>
          <t>This code implements a backend system that uses various algorithms for processing data. It has a complexity of O(N), with comments describing the implementation details. The code was initially committed and has since been updated with new features and improvements. The total size of the code is approximately 1000 lines.</t>
        </is>
      </c>
      <c r="I1878" t="n">
        <v>0.0048</v>
      </c>
      <c r="J1878" t="n">
        <v>0.1017</v>
      </c>
      <c r="K1878" t="n">
        <v>0.1639</v>
      </c>
      <c r="L1878" t="inlineStr">
        <is>
          <t>This file implements the core algorithms for a web application using the SpongeAPI framework. It provides a RESTful API for interacting with the application's data models and services. The code is written in Java and uses the Spring Boot framework for building the web application.</t>
        </is>
      </c>
      <c r="M1878" t="n">
        <v>0.0058</v>
      </c>
      <c r="N1878" t="n">
        <v>0.1481</v>
      </c>
      <c r="O1878" t="n">
        <v>0.2137</v>
      </c>
    </row>
    <row r="1879">
      <c r="A1879" t="inlineStr">
        <is>
          <t>sponge</t>
        </is>
      </c>
      <c r="B1879" t="inlineStr">
        <is>
          <t>src/main/java/org/spongepowered/api/network/EngineConnectionSide.java</t>
        </is>
      </c>
      <c r="C1879">
        <f>HYPERLINK("https://github.com/SpongePowered/SpongeAPI/blob/master/src/main/java/org/spongepowered/api/network/EngineConnectionSide.java")</f>
        <v/>
      </c>
      <c r="D1879" t="inlineStr">
        <is>
          <t>This code appears to be a Java implementation of various algorithms for solving mathematical problems. It includes functions for computing the greatest common divisor (GCD), least common multiple (LCM), and prime factorization. The code also includes unit tests for verifying the correctness of these functions. Overall, it seems like this code could be useful as a starting point for implementing more complex algorithms in</t>
        </is>
      </c>
      <c r="E1879" t="n">
        <v>0.0034</v>
      </c>
      <c r="F1879" t="n">
        <v>0.1111</v>
      </c>
      <c r="G1879" t="n">
        <v>0.1471</v>
      </c>
      <c r="H1879" t="inlineStr">
        <is>
          <t>This code implements a backend system for a web application. It consists of several modules that work together to provide a robust and scalable infrastructure for the application's core functionalities. The code is written in Python and uses various libraries and frameworks such as Flask and SQLAlchemy to interact with databases and perform complex computations. The project has been well-documented with detailed comments</t>
        </is>
      </c>
      <c r="I1879" t="n">
        <v>0.0041</v>
      </c>
      <c r="J1879" t="n">
        <v>0.137</v>
      </c>
      <c r="K1879" t="n">
        <v>0.2222</v>
      </c>
      <c r="L1879" t="inlineStr">
        <is>
          <t>This file implements the core algorithms for a web application's backend using Java. It provides a RESTful API for interacting with the server, handling requests from clients, and performing various tasks such as data retrieval and manipulation. The code has been optimized for performance using techniques like caching and lazy loading, and includes comments and documentation to help developers understand the implementation.</t>
        </is>
      </c>
      <c r="M1879" t="n">
        <v>0.0042</v>
      </c>
      <c r="N1879" t="n">
        <v>0.1127</v>
      </c>
      <c r="O1879" t="n">
        <v>0.1866</v>
      </c>
    </row>
    <row r="1880">
      <c r="A1880" t="inlineStr">
        <is>
          <t>sponge</t>
        </is>
      </c>
      <c r="B1880" t="inlineStr">
        <is>
          <t>src/main/java/org/spongepowered/api/network/ServerConnectionState.java</t>
        </is>
      </c>
      <c r="C1880">
        <f>HYPERLINK("https://github.com/SpongePowered/SpongeAPI/blob/master/src/main/java/org/spongepowered/api/network/ServerConnectionState.java")</f>
        <v/>
      </c>
      <c r="D1880" t="inlineStr">
        <is>
          <t>This code appears to be a Java implementation of a backend system for a web application. It includes several classes that define different types of data structures and algorithms used by the system. The code also includes comments explaining the purpose and complexity of each class, as well as information about commits, code size, and other relevant details. Overall, it seems like this codebase is intended to provide the foundation</t>
        </is>
      </c>
      <c r="E1880" t="n">
        <v>0.0031</v>
      </c>
      <c r="F1880" t="n">
        <v>0.0769</v>
      </c>
      <c r="G1880" t="n">
        <v>0.1408</v>
      </c>
      <c r="H1880" t="inlineStr">
        <is>
          <t>This code implements a backend system for a web application. It consists of several files that make up the overall architecture of the system. These files include:
* `main.py`: This file sets up the Flask server and defines the routes for the API endpoints.
* `models.py`: This file defines the data models used by the application, such as the User model</t>
        </is>
      </c>
      <c r="I1880" t="n">
        <v>0.0039</v>
      </c>
      <c r="J1880" t="n">
        <v>0.08699999999999999</v>
      </c>
      <c r="K1880" t="n">
        <v>0.1504</v>
      </c>
      <c r="L1880" t="inlineStr">
        <is>
          <t>This file implements a set of core algorithms for a web application using the SpongeAPI framework. It is written in Java and uses the MIT license. The code has been optimized for performance and is well-documented with comments and commit messages. The file size is approximately 1000 lines long.</t>
        </is>
      </c>
      <c r="M1880" t="n">
        <v>0.0053</v>
      </c>
      <c r="N1880" t="n">
        <v>0.1379</v>
      </c>
      <c r="O1880" t="n">
        <v>0.2066</v>
      </c>
    </row>
    <row r="1881">
      <c r="A1881" t="inlineStr">
        <is>
          <t>sponge</t>
        </is>
      </c>
      <c r="B1881" t="inlineStr">
        <is>
          <t>src/main/java/org/spongepowered/api/network/EngineConnection.java</t>
        </is>
      </c>
      <c r="C1881">
        <f>HYPERLINK("https://github.com/SpongePowered/SpongeAPI/blob/master/src/main/java/org/spongepowered/api/network/EngineConnection.java")</f>
        <v/>
      </c>
      <c r="D1881" t="inlineStr">
        <is>
          <t>This code appears to be a Java implementation of various algorithms for solving problems related to graphs and networks. It includes methods for computing shortest paths, finding connected components, and performing other graph-related operations. The code also includes comments explaining the purpose and complexity of each method, as well as information about commits and code size.</t>
        </is>
      </c>
      <c r="E1881" t="n">
        <v>0.0039</v>
      </c>
      <c r="F1881" t="n">
        <v>0.09229999999999999</v>
      </c>
      <c r="G1881" t="n">
        <v>0.1172</v>
      </c>
      <c r="H1881" t="inlineStr">
        <is>
          <t>This code implements a set of backend software components that perform various tasks related to data processing and analysis. It uses a modular architecture with separate modules for different functionalities, such as user authentication, data storage, and analytics. The code is written in Java and makes use of several libraries and frameworks, including Spring Boot and Hibernate. It also includes a comprehensive README file that provides</t>
        </is>
      </c>
      <c r="I1881" t="n">
        <v>0.0039</v>
      </c>
      <c r="J1881" t="n">
        <v>0.1351</v>
      </c>
      <c r="K1881" t="n">
        <v>0.2174</v>
      </c>
      <c r="L1881" t="inlineStr">
        <is>
          <t>This file implements the core algorithms for a web application's backend. It uses the SpongeAPI library and follows the MIT license. The code has a complexity of O(N) and existing comments provide insight into the implementation. The purpose of the code is to perform various tasks related to the application's functionality.</t>
        </is>
      </c>
      <c r="M1881" t="n">
        <v>0.0051</v>
      </c>
      <c r="N1881" t="n">
        <v>0.129</v>
      </c>
      <c r="O1881" t="n">
        <v>0.2033</v>
      </c>
    </row>
    <row r="1882">
      <c r="A1882" t="inlineStr">
        <is>
          <t>sponge</t>
        </is>
      </c>
      <c r="B1882" t="inlineStr">
        <is>
          <t>src/main/java/org/spongepowered/api/network/ClientConnectionState.java</t>
        </is>
      </c>
      <c r="C1882">
        <f>HYPERLINK("https://github.com/SpongePowered/SpongeAPI/blob/master/src/main/java/org/spongepowered/api/network/ClientConnectionState.java")</f>
        <v/>
      </c>
      <c r="D1882" t="inlineStr">
        <is>
          <t>This code appears to be a Java implementation of a backend system that uses O(N) complexity for its core algorithms. It also includes comments describing the purpose of the code and the initial commit history. Additionally, it has a code size of approximately 1000 lines.</t>
        </is>
      </c>
      <c r="E1882" t="n">
        <v>0.0054</v>
      </c>
      <c r="F1882" t="n">
        <v>0.1481</v>
      </c>
      <c r="G1882" t="n">
        <v>0.2137</v>
      </c>
      <c r="H1882" t="inlineStr">
        <is>
          <t>Summary: This repository contains backend software components that implement core algorithms. The complexity of the code is O(N), with comments describing the implementation details. The code size is approximately 1000 lines.</t>
        </is>
      </c>
      <c r="I1882" t="n">
        <v>0.007900000000000001</v>
      </c>
      <c r="J1882" t="n">
        <v>0.2</v>
      </c>
      <c r="K1882" t="n">
        <v>0.1942</v>
      </c>
      <c r="L1882" t="inlineStr">
        <is>
          <t>This file implements the core algorithms for a web application using the SpongeAPI framework. It provides a RESTful API for interacting with the application's data models and services. The code is written in Java and uses the Spring Boot framework for building the RESTful API.</t>
        </is>
      </c>
      <c r="M1882" t="n">
        <v>0.0058</v>
      </c>
      <c r="N1882" t="n">
        <v>0.1481</v>
      </c>
      <c r="O1882" t="n">
        <v>0.2137</v>
      </c>
    </row>
    <row r="1883">
      <c r="A1883" t="inlineStr">
        <is>
          <t>sponge</t>
        </is>
      </c>
      <c r="B1883" t="inlineStr">
        <is>
          <t>src/main/java/org/spongepowered/api/network/package-info.java</t>
        </is>
      </c>
      <c r="C1883">
        <f>HYPERLINK("https://github.com/SpongePowered/SpongeAPI/blob/master/src/main/java/org/spongepowered/api/network/package-info.java")</f>
        <v/>
      </c>
      <c r="D1883" t="inlineStr">
        <is>
          <t>This code appears to be a Java implementation of various algorithms for solving problems related to graphs and networks. It includes implementations of graph traversal algorithms such as DFS and BFS, as well as network flow algorithms like Ford-Fulkerson. The code also includes some utility functions for working with graphs and networks. Overall, it seems like this code could be used as a starting point for</t>
        </is>
      </c>
      <c r="E1883" t="n">
        <v>0.0033</v>
      </c>
      <c r="F1883" t="n">
        <v>0.1067</v>
      </c>
      <c r="G1883" t="n">
        <v>0.1449</v>
      </c>
      <c r="H1883" t="inlineStr">
        <is>
          <t>This code appears to be a Java implementation of a web application's backend. It includes various classes and methods that perform different functions related to the application's operation. Some of these include:
* `UserController`: Handles user authentication and registration.
* `ProductController`: Manages product data and operations.
* `OrderController`: Processes orders and manages order</t>
        </is>
      </c>
      <c r="I1883" t="n">
        <v>0.0041</v>
      </c>
      <c r="J1883" t="n">
        <v>0.1333</v>
      </c>
      <c r="K1883" t="n">
        <v>0.16</v>
      </c>
      <c r="L1883" t="inlineStr">
        <is>
          <t>This file implements the core algorithms for a software application using the SpongeAPI library. It provides functions for various tasks such as data processing, analysis, and visualization. The code has been optimized for performance and is well-documented with comments describing the implementation details.</t>
        </is>
      </c>
      <c r="M1883" t="n">
        <v>0.0064</v>
      </c>
      <c r="N1883" t="n">
        <v>0.1923</v>
      </c>
      <c r="O1883" t="n">
        <v>0.2609</v>
      </c>
    </row>
    <row r="1884">
      <c r="A1884" t="inlineStr">
        <is>
          <t>sponge</t>
        </is>
      </c>
      <c r="B1884" t="inlineStr">
        <is>
          <t>src/main/java/org/spongepowered/api/network/RemoteConnection.java</t>
        </is>
      </c>
      <c r="C1884">
        <f>HYPERLINK("https://github.com/SpongePowered/SpongeAPI/blob/master/src/main/java/org/spongepowered/api/network/RemoteConnection.java")</f>
        <v/>
      </c>
      <c r="D1884" t="inlineStr">
        <is>
          <t>The provided code appears to be a Java implementation of a backend system for a web application. It includes various classes and interfaces that define the structure of the system's architecture, as well as methods for implementing specific features such as user authentication and data retrieval. The code also includes comments explaining the purpose and design of each class and method. Overall, it seems like the code is well-</t>
        </is>
      </c>
      <c r="E1884" t="n">
        <v>0.0026</v>
      </c>
      <c r="F1884" t="n">
        <v>0.0513</v>
      </c>
      <c r="G1884" t="n">
        <v>0.0709</v>
      </c>
      <c r="H1884" t="inlineStr">
        <is>
          <t>This code implements a backend system for a web application. It consists of several modules that work together to provide core functionalities such as user authentication, data storage, and API endpoints. The code is written in Python and uses various libraries and frameworks such as Flask and SQLAlchemy to handle HTTP requests and database interactions. The complexity of the code is O(N), indicating that it</t>
        </is>
      </c>
      <c r="I1884" t="n">
        <v>0.004</v>
      </c>
      <c r="J1884" t="n">
        <v>0.1351</v>
      </c>
      <c r="K1884" t="n">
        <v>0.3112</v>
      </c>
      <c r="L1884" t="inlineStr">
        <is>
          <t>This file implements the core algorithms for the SpongeAPI, a modular framework for Minecraft plugins. It includes various functions related to data manipulation, computation, and communication between different parts of the system. The code has a complexity of O(N), with existing comments providing insight into the implementation details.</t>
        </is>
      </c>
      <c r="M1884" t="n">
        <v>0.0054</v>
      </c>
      <c r="N1884" t="n">
        <v>0.1754</v>
      </c>
      <c r="O1884" t="n">
        <v>0.2083</v>
      </c>
    </row>
    <row r="1885">
      <c r="A1885" t="inlineStr">
        <is>
          <t>sponge</t>
        </is>
      </c>
      <c r="B1885" t="inlineStr">
        <is>
          <t>src/main/java/org/spongepowered/api/network/EngineConnectionStates.java</t>
        </is>
      </c>
      <c r="C1885">
        <f>HYPERLINK("https://github.com/SpongePowered/SpongeAPI/blob/master/src/main/java/org/spongepowered/api/network/EngineConnectionStates.java")</f>
        <v/>
      </c>
      <c r="D1885" t="inlineStr">
        <is>
          <t>This code appears to be a Java implementation of a sponge-based algorithm for solving certain types of optimization problems. It includes several classes that define different components of the algorithm, such as the sponge function and the gradient descent optimizer. The main class, `SpongeOptimizer`, implements the actual optimization process by iteratively applying the sponge function and the optim</t>
        </is>
      </c>
      <c r="E1885" t="n">
        <v>0.0041</v>
      </c>
      <c r="F1885" t="n">
        <v>0.1194</v>
      </c>
      <c r="G1885" t="n">
        <v>0.2428</v>
      </c>
      <c r="H1885" t="inlineStr">
        <is>
          <t>This code appears to be a Java implementation of a web server using the Spring framework. It includes several classes that define REST endpoints for handling HTTP requests and responses, as well as other supporting classes for managing the application's configuration and dependencies. The code also includes comments describing the purpose and usage of each class and method, as well as a README file with information about the project</t>
        </is>
      </c>
      <c r="I1885" t="n">
        <v>0.0031</v>
      </c>
      <c r="J1885" t="n">
        <v>0.0769</v>
      </c>
      <c r="K1885" t="n">
        <v>0.1418</v>
      </c>
      <c r="L1885" t="inlineStr">
        <is>
          <t>This file implements the core algorithms for the SpongeAPI project, which is licensed under the MIT License. It provides a way to interact with the SpongeAPI's features and functions.</t>
        </is>
      </c>
      <c r="M1885" t="n">
        <v>0.0092</v>
      </c>
      <c r="N1885" t="n">
        <v>0.2105</v>
      </c>
      <c r="O1885" t="n">
        <v>0.198</v>
      </c>
    </row>
    <row r="1886">
      <c r="A1886" t="inlineStr">
        <is>
          <t>sponge</t>
        </is>
      </c>
      <c r="B1886" t="inlineStr">
        <is>
          <t>src/main/java/org/spongepowered/api/network/ClientSideConnection.java</t>
        </is>
      </c>
      <c r="C1886">
        <f>HYPERLINK("https://github.com/SpongePowered/SpongeAPI/blob/master/src/main/java/org/spongepowered/api/network/ClientSideConnection.java")</f>
        <v/>
      </c>
      <c r="D1886" t="inlineStr">
        <is>
          <t>This code appears to be a Java implementation of a backend system for a web application. It includes several classes that define different types of data structures and algorithms used by the system. The code also includes comments describing the purpose of each class and method, as well as some basic information about the project's complexity and size. Overall, it seems like this codebase could be used to build a</t>
        </is>
      </c>
      <c r="E1886" t="n">
        <v>0.0031</v>
      </c>
      <c r="F1886" t="n">
        <v>0.0759</v>
      </c>
      <c r="G1886" t="n">
        <v>0.1408</v>
      </c>
      <c r="H1886" t="inlineStr">
        <is>
          <t>This is a Java project that implements various algorithms for processing data. The code is well-documented with comments explaining the purpose and implementation of each algorithm. There are several commits, indicating ongoing development. The complexity of the code is O(N), where N represents the size of the input dataset. Overall, the project appears to be a foundation for building more complex applications using algorithms.</t>
        </is>
      </c>
      <c r="I1886" t="n">
        <v>0.0037</v>
      </c>
      <c r="J1886" t="n">
        <v>0.08110000000000001</v>
      </c>
      <c r="K1886" t="n">
        <v>0.1471</v>
      </c>
      <c r="L1886" t="inlineStr">
        <is>
          <t>This file implements the core algorithms for a web service written in Java using the SpongeAPI framework. It includes functions for handling HTTP requests and responses, as well as implementing business logic for various endpoints.</t>
        </is>
      </c>
      <c r="M1886" t="n">
        <v>0.0075</v>
      </c>
      <c r="N1886" t="n">
        <v>0.2791</v>
      </c>
      <c r="O1886" t="n">
        <v>0.2336</v>
      </c>
    </row>
    <row r="1887">
      <c r="A1887" t="inlineStr">
        <is>
          <t>sponge</t>
        </is>
      </c>
      <c r="B1887" t="inlineStr">
        <is>
          <t>src/main/java/org/spongepowered/api/network/ServerSideConnection.java</t>
        </is>
      </c>
      <c r="C1887">
        <f>HYPERLINK("https://github.com/SpongePowered/SpongeAPI/blob/master/src/main/java/org/spongepowered/api/network/ServerSideConnection.java")</f>
        <v/>
      </c>
      <c r="D1887" t="inlineStr">
        <is>
          <t>This code appears to be a Java implementation of various data structures and algorithms, such as linked lists, stacks, queues, trees, and graphs. It also includes some utility functions for working with strings and collections. The code has been documented using Javadoc-style comments, which provide information about each class, method, and variable. The code is well-organized and easy</t>
        </is>
      </c>
      <c r="E1887" t="n">
        <v>0.0037</v>
      </c>
      <c r="F1887" t="n">
        <v>0.1176</v>
      </c>
      <c r="G1887" t="n">
        <v>0.1538</v>
      </c>
      <c r="H1887" t="inlineStr">
        <is>
          <t>This code implements a set of backend software components that perform various tasks related to data processing and analysis. It uses a modular design with multiple modules that work together to achieve its goals. The code has been written using modern programming principles and follows best practices for maintainability and scalability. The README file provides a brief overview of the project's purpose and scope, as well as</t>
        </is>
      </c>
      <c r="I1887" t="n">
        <v>0.0038</v>
      </c>
      <c r="J1887" t="n">
        <v>0.1053</v>
      </c>
      <c r="K1887" t="n">
        <v>0.2158</v>
      </c>
      <c r="L1887" t="inlineStr">
        <is>
          <t>This file implements the core algorithms for a web application using SpongeAPI, a framework for building web applications. It is written in Java and follows the MIT license. The code has been committed multiple times with detailed commit messages that describe the changes made. The code size is approximately 1000 lines.</t>
        </is>
      </c>
      <c r="M1887" t="n">
        <v>0.0051</v>
      </c>
      <c r="N1887" t="n">
        <v>0.1356</v>
      </c>
      <c r="O1887" t="n">
        <v>0.2033</v>
      </c>
    </row>
    <row r="1888">
      <c r="A1888" t="inlineStr">
        <is>
          <t>sponge</t>
        </is>
      </c>
      <c r="B1888" t="inlineStr">
        <is>
          <t>src/main/java/org/spongepowered/api/network/RconConnection.java</t>
        </is>
      </c>
      <c r="C1888">
        <f>HYPERLINK("https://github.com/SpongePowered/SpongeAPI/blob/master/src/main/java/org/spongepowered/api/network/RconConnection.java")</f>
        <v/>
      </c>
      <c r="D1888" t="inlineStr">
        <is>
          <t>This code appears to be a Java implementation of a backend system for a web application. It includes a number of classes that define different types of data structures and algorithms used by the system, as well as some utility methods for working with strings and other data types. The code also includes comments explaining the purpose and usage of each class and method. Overall, it seems like this codebase could be</t>
        </is>
      </c>
      <c r="E1888" t="n">
        <v>0.003</v>
      </c>
      <c r="F1888" t="n">
        <v>0.075</v>
      </c>
      <c r="G1888" t="n">
        <v>0.1389</v>
      </c>
      <c r="H1888" t="inlineStr">
        <is>
          <t>This code implements various backend software components for a web application. It includes a number of different functionalities, such as user authentication, data storage, and API endpoints. The code is written in Java and uses Spring Boot as its framework. The README provides information about the project's purpose, complexity, comments, commits, and code size.</t>
        </is>
      </c>
      <c r="I1888" t="n">
        <v>0.0048</v>
      </c>
      <c r="J1888" t="n">
        <v>0.127</v>
      </c>
      <c r="K1888" t="n">
        <v>0.1984</v>
      </c>
      <c r="L1888" t="inlineStr">
        <is>
          <t>This file implements the core algorithms for a web application's backend using Java. It has a complexity of O(N) and uses existing comments to explain its implementation. The code was initially committed as part of a larger project, and its purpose is to provide backend software components for the application.</t>
        </is>
      </c>
      <c r="M1888" t="n">
        <v>0.0055</v>
      </c>
      <c r="N1888" t="n">
        <v>0.1333</v>
      </c>
      <c r="O1888" t="n">
        <v>0.2459</v>
      </c>
    </row>
    <row r="1889">
      <c r="A1889" t="inlineStr">
        <is>
          <t>sponge</t>
        </is>
      </c>
      <c r="B1889" t="inlineStr">
        <is>
          <t>src/main/java/org/spongepowered/api/network/EngineConnectionState.java</t>
        </is>
      </c>
      <c r="C1889">
        <f>HYPERLINK("https://github.com/SpongePowered/SpongeAPI/blob/master/src/main/java/org/spongepowered/api/network/EngineConnectionState.java")</f>
        <v/>
      </c>
      <c r="D1889" t="inlineStr">
        <is>
          <t>The provided code appears to be a Java implementation of various algorithms for solving mathematical problems. It includes classes for implementing different types of equations, such as linear and quadratic equations, as well as algorithms for finding roots and solutions to systems of equations. The code also includes comments explaining the purpose and usage of each class and method. Overall, it seems like a comprehensive library for performing mathematical calculations.</t>
        </is>
      </c>
      <c r="E1889" t="n">
        <v>0.0026</v>
      </c>
      <c r="F1889" t="n">
        <v>0.0513</v>
      </c>
      <c r="G1889" t="n">
        <v>0.0704</v>
      </c>
      <c r="H1889" t="inlineStr">
        <is>
          <t>This code implements the backend for a web application. It consists of a set of functions that perform various tasks related to the application's functionality. The code is written in Python and uses the Flask framework for building the web server. The README file provides information about the project, its license, and the purpose of the code. The complexity of the code is O(N), where</t>
        </is>
      </c>
      <c r="I1889" t="n">
        <v>0.0037</v>
      </c>
      <c r="J1889" t="n">
        <v>0.1067</v>
      </c>
      <c r="K1889" t="n">
        <v>0.146</v>
      </c>
      <c r="L1889" t="inlineStr">
        <is>
          <t>This file implements the core algorithms for a web application using the SpongeAPI framework. It handles various tasks such as user authentication, data retrieval, and API endpoint implementation. The code has a complexity of O(N), with existing comments providing insight into the implementation details.</t>
        </is>
      </c>
      <c r="M1889" t="n">
        <v>0.0059</v>
      </c>
      <c r="N1889" t="n">
        <v>0.1509</v>
      </c>
      <c r="O1889" t="n">
        <v>0.2155</v>
      </c>
    </row>
    <row r="1890">
      <c r="A1890" t="inlineStr">
        <is>
          <t>sponge</t>
        </is>
      </c>
      <c r="B1890" t="inlineStr">
        <is>
          <t>src/main/java/org/spongepowered/api/network/channel/ChannelBuf.java</t>
        </is>
      </c>
      <c r="C1890">
        <f>HYPERLINK("https://github.com/SpongePowered/SpongeAPI/blob/master/src/main/java/org/spongepowered/api/network/channel/ChannelBuf.java")</f>
        <v/>
      </c>
      <c r="D1890" t="inlineStr">
        <is>
          <t>This code appears to be a Java implementation of some sort of algorithm or data structure. It includes comments that describe the purpose of the code and its complexity, but it does not provide much detail about what the code actually does. The code seems to be related to the development of a web application, as it includes references to HTML and CSS.</t>
        </is>
      </c>
      <c r="E1890" t="n">
        <v>0.0034</v>
      </c>
      <c r="F1890" t="n">
        <v>0.08450000000000001</v>
      </c>
      <c r="G1890" t="n">
        <v>0.1111</v>
      </c>
      <c r="H1890" t="inlineStr">
        <is>
          <t>This code implements various backend software components for a web application. It includes comments that explain the purpose and implementation of each component. The complexity of the code is O(N), where N is the number of components. The code size is approximately 1000 lines. The main function of the code is to provide a framework for implementing the core algorithms required by the web application.</t>
        </is>
      </c>
      <c r="I1890" t="n">
        <v>0.0042</v>
      </c>
      <c r="J1890" t="n">
        <v>0.1081</v>
      </c>
      <c r="K1890" t="n">
        <v>0.219</v>
      </c>
      <c r="L1890" t="inlineStr">
        <is>
          <t>This file implements the core algorithms for a web application using the SpongeAPI framework. It provides a RESTful API for interacting with the application's data, allowing users to create, update, and delete entities within the system. The code is well-documented and follows best practices for code organization and structure, making it easy to understand and maintain.</t>
        </is>
      </c>
      <c r="M1890" t="n">
        <v>0.0046</v>
      </c>
      <c r="N1890" t="n">
        <v>0.1212</v>
      </c>
      <c r="O1890" t="n">
        <v>0.1953</v>
      </c>
    </row>
    <row r="1891">
      <c r="A1891" t="inlineStr">
        <is>
          <t>sponge</t>
        </is>
      </c>
      <c r="B1891" t="inlineStr">
        <is>
          <t>src/main/java/org/spongepowered/api/network/channel/ChannelNotSupportedException.java</t>
        </is>
      </c>
      <c r="C1891">
        <f>HYPERLINK("https://github.com/SpongePowered/SpongeAPI/blob/master/src/main/java/org/spongepowered/api/network/channel/ChannelNotSupportedException.java")</f>
        <v/>
      </c>
      <c r="D1891" t="inlineStr">
        <is>
          <t>The provided code appears to be a Java implementation of a simple algorithm for solving a problem. It defines a class called `Solver` with a single method named `solve`, which takes a list of integers as input and returns a list of integers representing the solution to the problem.
The `Solver` class uses a loop to iterate over the elements of the input list and performs</t>
        </is>
      </c>
      <c r="E1891" t="n">
        <v>0.0028</v>
      </c>
      <c r="F1891" t="n">
        <v>0.0541</v>
      </c>
      <c r="G1891" t="n">
        <v>0.1087</v>
      </c>
      <c r="H1891" t="inlineStr">
        <is>
          <t>This code implements a backend system for a web application. It consists of several modules that work together to provide various functionalities such as user authentication, data storage, and API endpoints. The code is written in Java and uses Spring Boot as its framework. The README provides information about the project's purpose, complexity, comments, commits, and code size. Overall, it appears</t>
        </is>
      </c>
      <c r="I1891" t="n">
        <v>0.0039</v>
      </c>
      <c r="J1891" t="n">
        <v>0.1143</v>
      </c>
      <c r="K1891" t="n">
        <v>0.188</v>
      </c>
      <c r="L1891" t="inlineStr">
        <is>
          <t>This file implements the core algorithms for a web application's backend. It uses the MIT license and has a complexity of O(N). The code size is approximately 1000 lines long.</t>
        </is>
      </c>
      <c r="M1891" t="n">
        <v>0.008800000000000001</v>
      </c>
      <c r="N1891" t="n">
        <v>0.2</v>
      </c>
      <c r="O1891" t="n">
        <v>0.2451</v>
      </c>
    </row>
    <row r="1892">
      <c r="A1892" t="inlineStr">
        <is>
          <t>sponge</t>
        </is>
      </c>
      <c r="B1892" t="inlineStr">
        <is>
          <t>src/main/java/org/spongepowered/api/network/channel/package-info.java</t>
        </is>
      </c>
      <c r="C1892">
        <f>HYPERLINK("https://github.com/SpongePowered/SpongeAPI/blob/master/src/main/java/org/spongepowered/api/network/channel/package-info.java")</f>
        <v/>
      </c>
      <c r="D1892" t="inlineStr">
        <is>
          <t>This code appears to be a Java implementation of a system for processing data. It includes comments that describe its purpose, complexity, and other relevant details. The code size is relatively small at around 1000 lines.</t>
        </is>
      </c>
      <c r="E1892" t="n">
        <v>0.0061</v>
      </c>
      <c r="F1892" t="n">
        <v>0.1364</v>
      </c>
      <c r="G1892" t="n">
        <v>0.1389</v>
      </c>
      <c r="H1892" t="inlineStr">
        <is>
          <t>This repository contains backend software components that implement core algorithms. The complexity of the code is O(N), with comments describing the implementation of the algorithms. There have been no commits since the initial commit, and the code size is approximately 1000 lines.</t>
        </is>
      </c>
      <c r="I1892" t="n">
        <v>0.0062</v>
      </c>
      <c r="J1892" t="n">
        <v>0.1961</v>
      </c>
      <c r="K1892" t="n">
        <v>0.2193</v>
      </c>
      <c r="L1892" t="inlineStr">
        <is>
          <t>This file implements various functions related to the management of data structures used by the SpongeAPI framework. It includes methods for creating, modifying, and deleting objects within these data structures, as well as methods for retrieving specific objects based on certain criteria. The code also includes comments that provide additional context and explain the reasoning behind certain design decisions.</t>
        </is>
      </c>
      <c r="M1892" t="n">
        <v>0.0041</v>
      </c>
      <c r="N1892" t="n">
        <v>0.1194</v>
      </c>
      <c r="O1892" t="n">
        <v>0.1527</v>
      </c>
    </row>
    <row r="1893">
      <c r="A1893" t="inlineStr">
        <is>
          <t>sponge</t>
        </is>
      </c>
      <c r="B1893" t="inlineStr">
        <is>
          <t>src/main/java/org/spongepowered/api/network/channel/ChannelIOException.java</t>
        </is>
      </c>
      <c r="C1893">
        <f>HYPERLINK("https://github.com/SpongePowered/SpongeAPI/blob/master/src/main/java/org/spongepowered/api/network/channel/ChannelIOException.java")</f>
        <v/>
      </c>
      <c r="D1893" t="inlineStr">
        <is>
          <t>This code appears to be a Java implementation of some kind of algorithm for processing data. It includes comments that describe the purpose of the code and its complexity, as well as information about commits and code size. However, it does not provide a clear or concise summary of the functionality of the code itself.</t>
        </is>
      </c>
      <c r="E1893" t="n">
        <v>0.0044</v>
      </c>
      <c r="F1893" t="n">
        <v>0.09520000000000001</v>
      </c>
      <c r="G1893" t="n">
        <v>0.1575</v>
      </c>
      <c r="H1893" t="inlineStr">
        <is>
          <t>This code implements a system for managing backend software components. It includes comments describing the implementation of core algorithms, as well as a license header indicating that it is released under the MIT License. The complexity of the code is O(N), where N is the number of components being managed.</t>
        </is>
      </c>
      <c r="I1893" t="n">
        <v>0.0052</v>
      </c>
      <c r="J1893" t="n">
        <v>0.1356</v>
      </c>
      <c r="K1893" t="n">
        <v>0.1639</v>
      </c>
      <c r="L1893" t="inlineStr">
        <is>
          <t>This file implements core algorithms for a web application's backend using the SpongeAPI framework. It has a complexity of O(N) and includes existing comments that explain implementation details. The code size is approximately 1000 lines long.</t>
        </is>
      </c>
      <c r="M1893" t="n">
        <v>0.013</v>
      </c>
      <c r="N1893" t="n">
        <v>0.1739</v>
      </c>
      <c r="O1893" t="n">
        <v>0.3444</v>
      </c>
    </row>
    <row r="1894">
      <c r="A1894" t="inlineStr">
        <is>
          <t>sponge</t>
        </is>
      </c>
      <c r="B1894" t="inlineStr">
        <is>
          <t>src/main/java/org/spongepowered/api/network/channel/ChannelManager.java</t>
        </is>
      </c>
      <c r="C1894">
        <f>HYPERLINK("https://github.com/SpongePowered/SpongeAPI/blob/master/src/main/java/org/spongepowered/api/network/channel/ChannelManager.java")</f>
        <v/>
      </c>
      <c r="D1894" t="inlineStr">
        <is>
          <t>This code appears to be a Java implementation of a backend system for a web application. It includes a number of classes that define different types of objects, such as `User`, `Post`, and `Comment`. There are also several methods defined within these classes that perform various operations on instances of these objects, such as creating new posts, updating existing ones, and deleting them. Additionally, there are</t>
        </is>
      </c>
      <c r="E1894" t="n">
        <v>0.0033</v>
      </c>
      <c r="F1894" t="n">
        <v>0.08110000000000001</v>
      </c>
      <c r="G1894" t="n">
        <v>0.1087</v>
      </c>
      <c r="H1894" t="inlineStr">
        <is>
          <t>Summary: This code implements the backend for a web application, with a focus on implementing core algorithms. It uses the MIT license and has been contributed by SpongePowered and its contributors. The code size is approximately 1000 lines long and the complexity is O(N), indicating that it has a linear time complexity.</t>
        </is>
      </c>
      <c r="I1894" t="n">
        <v>0.005</v>
      </c>
      <c r="J1894" t="n">
        <v>0.1311</v>
      </c>
      <c r="K1894" t="n">
        <v>0.2016</v>
      </c>
      <c r="L1894" t="inlineStr">
        <is>
          <t>The provided code implements various algorithms for processing data in memory. It provides functions for sorting, searching, and manipulating arrays, as well as other utility methods for working with strings and numbers. The code is written in Java and uses the SpongeAPI library for some of its functionality.</t>
        </is>
      </c>
      <c r="M1894" t="n">
        <v>0.0045</v>
      </c>
      <c r="N1894" t="n">
        <v>0.1071</v>
      </c>
      <c r="O1894" t="n">
        <v>0.125</v>
      </c>
    </row>
    <row r="1895">
      <c r="A1895" t="inlineStr">
        <is>
          <t>sponge</t>
        </is>
      </c>
      <c r="B1895" t="inlineStr">
        <is>
          <t>src/main/java/org/spongepowered/api/network/channel/TimeoutException.java</t>
        </is>
      </c>
      <c r="C1895">
        <f>HYPERLINK("https://github.com/SpongePowered/SpongeAPI/blob/master/src/main/java/org/spongepowered/api/network/channel/TimeoutException.java")</f>
        <v/>
      </c>
      <c r="D1895" t="inlineStr">
        <is>
          <t>The provided code appears to be a Java implementation of a backend system for a web application. It includes comments that describe the purpose of each class and method, as well as some basic information about the project's complexity and size.
The code defines several classes, including `Main`, `AppConfig`, `Database`, `User`, and `Post`. These classes seem to represent different parts</t>
        </is>
      </c>
      <c r="E1895" t="n">
        <v>0.003</v>
      </c>
      <c r="F1895" t="n">
        <v>0.058</v>
      </c>
      <c r="G1895" t="n">
        <v>0.1136</v>
      </c>
      <c r="H1895" t="inlineStr">
        <is>
          <t>This code implements a backend system for a web application. It consists of several modules that work together to provide various functionalities such as user authentication, data storage, and API endpoints. The code is written in Java and uses Spring Boot as a framework. The README file provides information about the project's purpose, complexity, comments, commits, and code size.</t>
        </is>
      </c>
      <c r="I1895" t="n">
        <v>0.0041</v>
      </c>
      <c r="J1895" t="n">
        <v>0.1176</v>
      </c>
      <c r="K1895" t="n">
        <v>0.1908</v>
      </c>
      <c r="L1895" t="inlineStr">
        <is>
          <t>This file implements the core algorithms for a web application using the SpongeAPI framework. It handles user authentication and provides RESTful APIs for accessing data.</t>
        </is>
      </c>
      <c r="M1895" t="n">
        <v>0.0107</v>
      </c>
      <c r="N1895" t="n">
        <v>0.2424</v>
      </c>
      <c r="O1895" t="n">
        <v>0.2577</v>
      </c>
    </row>
    <row r="1896">
      <c r="A1896" t="inlineStr">
        <is>
          <t>sponge</t>
        </is>
      </c>
      <c r="B1896" t="inlineStr">
        <is>
          <t>src/main/java/org/spongepowered/api/network/channel/ChannelExceptionHandler.java</t>
        </is>
      </c>
      <c r="C1896">
        <f>HYPERLINK("https://github.com/SpongePowered/SpongeAPI/blob/master/src/main/java/org/spongepowered/api/network/channel/ChannelExceptionHandler.java")</f>
        <v/>
      </c>
      <c r="D1896" t="inlineStr">
        <is>
          <t>The provided code is a Java implementation of various algorithms for solving mathematical problems. It includes functions such as factorial calculation, prime number detection, and matrix multiplication. The code also includes comments explaining the purpose and complexity of each function. The overall complexity of the code is O(N), where N is the size of the input data.</t>
        </is>
      </c>
      <c r="E1896" t="n">
        <v>0.0032</v>
      </c>
      <c r="F1896" t="n">
        <v>0.09089999999999999</v>
      </c>
      <c r="G1896" t="n">
        <v>0.1163</v>
      </c>
      <c r="H1896" t="inlineStr">
        <is>
          <t>This code appears to be a Python module that implements various algorithms for a backend system. It includes comments explaining the purpose and implementation of each algorithm, as well as information about the complexity and size of the code. The README file provides additional context and background information on the project.</t>
        </is>
      </c>
      <c r="I1896" t="n">
        <v>0.0051</v>
      </c>
      <c r="J1896" t="n">
        <v>0.1356</v>
      </c>
      <c r="K1896" t="n">
        <v>0.1626</v>
      </c>
      <c r="L1896" t="inlineStr">
        <is>
          <t>The provided code implements the core algorithms for a web application's backend. It handles requests and responses, managing data storage, and providing user authentication.</t>
        </is>
      </c>
      <c r="M1896" t="n">
        <v>0.0104</v>
      </c>
      <c r="N1896" t="n">
        <v>0.1818</v>
      </c>
      <c r="O1896" t="n">
        <v>0.1562</v>
      </c>
    </row>
    <row r="1897">
      <c r="A1897" t="inlineStr">
        <is>
          <t>sponge</t>
        </is>
      </c>
      <c r="B1897" t="inlineStr">
        <is>
          <t>src/main/java/org/spongepowered/api/network/channel/Channel.java</t>
        </is>
      </c>
      <c r="C1897">
        <f>HYPERLINK("https://github.com/SpongePowered/SpongeAPI/blob/master/src/main/java/org/spongepowered/api/network/channel/Channel.java")</f>
        <v/>
      </c>
      <c r="D1897" t="inlineStr">
        <is>
          <t>The provided code appears to be a Java implementation of a backend system for a web application. It includes comments describing the purpose of each class and method, as well as a license header indicating that it is released under the MIT License. The code also includes a README file with information about the project's goals and complexity.
The code defines several classes and interfaces related to the</t>
        </is>
      </c>
      <c r="E1897" t="n">
        <v>0.0027</v>
      </c>
      <c r="F1897" t="n">
        <v>0.0519</v>
      </c>
      <c r="G1897" t="n">
        <v>0.07140000000000001</v>
      </c>
      <c r="H1897" t="inlineStr">
        <is>
          <t>This code implements various backend software components for a web application. It includes comments that explain the purpose of each component and how it contributes to the overall system. The complexity of the code is O(N), where N is the number of elements being processed. The code size is approximately 1000 lines long.</t>
        </is>
      </c>
      <c r="I1897" t="n">
        <v>0.0049</v>
      </c>
      <c r="J1897" t="n">
        <v>0.0968</v>
      </c>
      <c r="K1897" t="n">
        <v>0.16</v>
      </c>
      <c r="L1897" t="inlineStr">
        <is>
          <t>This file implements the core algorithms for a web application's backend software components. It uses the MIT License and has a complexity of O(N), based on existing comments and commit messages. The code size is approximately 1000 lines long. Its primary function appears to be handling requests and responses between the frontend and database layers.</t>
        </is>
      </c>
      <c r="M1897" t="n">
        <v>0.005</v>
      </c>
      <c r="N1897" t="n">
        <v>0.1538</v>
      </c>
      <c r="O1897" t="n">
        <v>0.2362</v>
      </c>
    </row>
    <row r="1898">
      <c r="A1898" t="inlineStr">
        <is>
          <t>sponge</t>
        </is>
      </c>
      <c r="B1898" t="inlineStr">
        <is>
          <t>src/main/java/org/spongepowered/api/network/channel/ChannelException.java</t>
        </is>
      </c>
      <c r="C1898">
        <f>HYPERLINK("https://github.com/SpongePowered/SpongeAPI/blob/master/src/main/java/org/spongepowered/api/network/channel/ChannelException.java")</f>
        <v/>
      </c>
      <c r="D1898" t="inlineStr">
        <is>
          <t>The code implements various algorithms for manipulating data structures such as sorting, searching, and graph traversal. It also includes implementations of more complex algorithms like union-find and topological sort. The code is written in Java and uses the SpongeAPI library for interacting with the game engine.</t>
        </is>
      </c>
      <c r="E1898" t="n">
        <v>0.0048</v>
      </c>
      <c r="F1898" t="n">
        <v>0.0727</v>
      </c>
      <c r="G1898" t="n">
        <v>0.1271</v>
      </c>
      <c r="H1898" t="inlineStr">
        <is>
          <t>This code implements a system for processing data using a set of algorithms. It includes comments describing the implementation details and complexity analysis, as well as a README that provides information about the project's purpose and scope.</t>
        </is>
      </c>
      <c r="I1898" t="n">
        <v>0.0066</v>
      </c>
      <c r="J1898" t="n">
        <v>0.1304</v>
      </c>
      <c r="K1898" t="n">
        <v>0.1835</v>
      </c>
      <c r="L1898" t="inlineStr">
        <is>
          <t>This file is part of SpongeAPI, a MIT-licensed open-source project for building modular Minecraft plugins. It implements various algorithms for managing game state and processing user input.</t>
        </is>
      </c>
      <c r="M1898" t="n">
        <v>0.0092</v>
      </c>
      <c r="N1898" t="n">
        <v>0.1622</v>
      </c>
      <c r="O1898" t="n">
        <v>0.202</v>
      </c>
    </row>
    <row r="1899">
      <c r="A1899" t="inlineStr">
        <is>
          <t>sponge</t>
        </is>
      </c>
      <c r="B1899" t="inlineStr">
        <is>
          <t>src/main/java/org/spongepowered/api/network/channel/NoResponseException.java</t>
        </is>
      </c>
      <c r="C1899">
        <f>HYPERLINK("https://github.com/SpongePowered/SpongeAPI/blob/master/src/main/java/org/spongepowered/api/network/channel/NoResponseException.java")</f>
        <v/>
      </c>
      <c r="D1899" t="inlineStr">
        <is>
          <t>This code appears to be a Java implementation of a backend system for a web application. It includes various classes and methods that perform different functions related to the operation of the system. Some of these include:
* `Main`: The main class that sets up the server and starts it running.
* `Server`: The class responsible for managing the server's resources and handling incoming requests</t>
        </is>
      </c>
      <c r="E1899" t="n">
        <v>0.0033</v>
      </c>
      <c r="F1899" t="n">
        <v>0.1111</v>
      </c>
      <c r="G1899" t="n">
        <v>0.146</v>
      </c>
      <c r="H1899" t="inlineStr">
        <is>
          <t>This code implements a system for managing and processing data. It includes comments that explain how it works and what it does.</t>
        </is>
      </c>
      <c r="I1899" t="n">
        <v>0.0114</v>
      </c>
      <c r="J1899" t="n">
        <v>0.2</v>
      </c>
      <c r="K1899" t="n">
        <v>0.3358</v>
      </c>
      <c r="L1899" t="inlineStr">
        <is>
          <t>This file implements the core algorithms for a web application using the SpongeAPI framework. It is written in Java and uses the MIT license. The code has been committed multiple times, each with a brief description of changes made. The overall complexity of the code is O(n), and there are existing comments that provide insight into the implementation. The code size is approximately 100</t>
        </is>
      </c>
      <c r="M1899" t="n">
        <v>0.004</v>
      </c>
      <c r="N1899" t="n">
        <v>0.1096</v>
      </c>
      <c r="O1899" t="n">
        <v>0.1838</v>
      </c>
    </row>
    <row r="1900">
      <c r="A1900" t="inlineStr">
        <is>
          <t>sponge</t>
        </is>
      </c>
      <c r="B1900" t="inlineStr">
        <is>
          <t>src/main/java/org/spongepowered/api/network/channel/packet/PacketRegistry.java</t>
        </is>
      </c>
      <c r="C1900">
        <f>HYPERLINK("https://github.com/SpongePowered/SpongeAPI/blob/master/src/main/java/org/spongepowered/api/network/channel/packet/PacketRegistry.java")</f>
        <v/>
      </c>
      <c r="D1900" t="inlineStr">
        <is>
          <t>The code implements a set of functions that perform various operations on a list of integers. It appears to be a simple implementation of a sorting algorithm, with each function performing a specific operation on the input list. The functions include `insertionSort`, which performs insertion sort on the list, `mergeSort`, which performs merge sort on the list, and `quickSort`, which performs quicksort</t>
        </is>
      </c>
      <c r="E1900" t="n">
        <v>0.0035</v>
      </c>
      <c r="F1900" t="n">
        <v>0.0857</v>
      </c>
      <c r="G1900" t="n">
        <v>0.1119</v>
      </c>
      <c r="H1900" t="inlineStr">
        <is>
          <t>This code implements a server-side application that provides backend services for a web application. It appears to be written in Java and uses the Spring Framework. The code has been commented extensively, with sections labeled as "Implementation of core algorithms" and "Core logic". The complexity of the code is O(N), where N is the number of requests received by the server. The code</t>
        </is>
      </c>
      <c r="I1900" t="n">
        <v>0.0041</v>
      </c>
      <c r="J1900" t="n">
        <v>0.137</v>
      </c>
      <c r="K1900" t="n">
        <v>0.1852</v>
      </c>
      <c r="L1900" t="inlineStr">
        <is>
          <t>This file is part of SpongeAPI, a framework for building Minecraft plugins. It implements various algorithms related to game mechanics and physics, such as collision detection and movement calculations. The code has been optimized for performance using techniques like memoization and caching.</t>
        </is>
      </c>
      <c r="M1900" t="n">
        <v>0.0058</v>
      </c>
      <c r="N1900" t="n">
        <v>0.12</v>
      </c>
      <c r="O1900" t="n">
        <v>0.1754</v>
      </c>
    </row>
    <row r="1901">
      <c r="A1901" t="inlineStr">
        <is>
          <t>sponge</t>
        </is>
      </c>
      <c r="B1901" t="inlineStr">
        <is>
          <t>src/main/java/org/spongepowered/api/network/channel/packet/PacketChannel.java</t>
        </is>
      </c>
      <c r="C1901">
        <f>HYPERLINK("https://github.com/SpongePowered/SpongeAPI/blob/master/src/main/java/org/spongepowered/api/network/channel/packet/PacketChannel.java")</f>
        <v/>
      </c>
      <c r="D1901" t="inlineStr">
        <is>
          <t>This code appears to be a Java implementation of a simple algorithm for solving a problem. It defines a class called `Solver` with a single method called `solve`, which takes an integer array as input and returns an integer representing the solution to the problem.
The `Solver` class has two private fields: `arr` and `size`. `arr` is initialized with</t>
        </is>
      </c>
      <c r="E1901" t="n">
        <v>0.0037</v>
      </c>
      <c r="F1901" t="n">
        <v>0.0896</v>
      </c>
      <c r="G1901" t="n">
        <v>0.1145</v>
      </c>
      <c r="H1901" t="inlineStr">
        <is>
          <t>This repository contains backend software components that implement core algorithms. The complexity of the code is O(N), with comments describing the implementation details. There have been 5 commits to the project, and the total size of the codebase is approximately 1000 lines.</t>
        </is>
      </c>
      <c r="I1901" t="n">
        <v>0.0062</v>
      </c>
      <c r="J1901" t="n">
        <v>0.1961</v>
      </c>
      <c r="K1901" t="n">
        <v>0.2193</v>
      </c>
      <c r="L1901" t="inlineStr">
        <is>
          <t>This file implements the core algorithms for a web application using the SpongeAPI framework. It handles user authentication and authorization, provides RESTful APIs for interacting with the application's data, and includes various utility functions for manipulating data structures.</t>
        </is>
      </c>
      <c r="M1901" t="n">
        <v>0.0069</v>
      </c>
      <c r="N1901" t="n">
        <v>0.1702</v>
      </c>
      <c r="O1901" t="n">
        <v>0.2273</v>
      </c>
    </row>
    <row r="1902">
      <c r="A1902" t="inlineStr">
        <is>
          <t>sponge</t>
        </is>
      </c>
      <c r="B1902" t="inlineStr">
        <is>
          <t>src/main/java/org/spongepowered/api/network/channel/packet/RequestPacketHandler.java</t>
        </is>
      </c>
      <c r="C1902">
        <f>HYPERLINK("https://github.com/SpongePowered/SpongeAPI/blob/master/src/main/java/org/spongepowered/api/network/channel/packet/RequestPacketHandler.java")</f>
        <v/>
      </c>
      <c r="D1902" t="inlineStr">
        <is>
          <t>This code appears to be a Java implementation of a backend system for a web application. It includes comments describing the purpose of each class and method, as well as some general information about the project. The code also includes a license header indicating that it is released under the MIT License.
The main class of the program appears to be `App`, which has a single method called `main</t>
        </is>
      </c>
      <c r="E1902" t="n">
        <v>0.0031</v>
      </c>
      <c r="F1902" t="n">
        <v>0.0779</v>
      </c>
      <c r="G1902" t="n">
        <v>0.1064</v>
      </c>
      <c r="H1902" t="inlineStr">
        <is>
          <t>This code implements various backend software components for a web application. It includes a number of different modules and classes that work together to provide the necessary functionality for the app's core algorithms. The code is written in Java and uses the Spring framework for dependency injection and configuration management. The README file provides some basic information about the project, including its purpose and the complexity of the code.</t>
        </is>
      </c>
      <c r="I1902" t="n">
        <v>0.0041</v>
      </c>
      <c r="J1902" t="n">
        <v>0.1282</v>
      </c>
      <c r="K1902" t="n">
        <v>0.2482</v>
      </c>
      <c r="L1902" t="inlineStr">
        <is>
          <t>This file implements the core algorithms for a web application using SpongeAPI, which is licensed under the MIT License. It includes comments that explain the purpose and usage of the code, as well as commit messages and README content that provide additional context. The code has a complexity of O(N) and a size of approximately 1000 lines. Its primary function</t>
        </is>
      </c>
      <c r="M1902" t="n">
        <v>0.0043</v>
      </c>
      <c r="N1902" t="n">
        <v>0.1159</v>
      </c>
      <c r="O1902" t="n">
        <v>0.1894</v>
      </c>
    </row>
    <row r="1903">
      <c r="A1903" t="inlineStr">
        <is>
          <t>sponge</t>
        </is>
      </c>
      <c r="B1903" t="inlineStr">
        <is>
          <t>src/main/java/org/spongepowered/api/network/channel/packet/TransactionalPacketBinding.java</t>
        </is>
      </c>
      <c r="C1903">
        <f>HYPERLINK("https://github.com/SpongePowered/SpongeAPI/blob/master/src/main/java/org/spongepowered/api/network/channel/packet/TransactionalPacketBinding.java")</f>
        <v/>
      </c>
      <c r="D1903" t="inlineStr">
        <is>
          <t>This code appears to be a Java implementation of a simple algorithm for solving a problem. It includes comments explaining the purpose of each method and class, as well as some basic information about the project and its complexity. The code itself consists of a single file containing several classes and methods that appear to implement various algorithms and data structures. Overall, it seems like this code could be used as a starting</t>
        </is>
      </c>
      <c r="E1903" t="n">
        <v>0.003</v>
      </c>
      <c r="F1903" t="n">
        <v>0.0741</v>
      </c>
      <c r="G1903" t="n">
        <v>0.1379</v>
      </c>
      <c r="H1903" t="inlineStr">
        <is>
          <t>This code implements a set of backend software components that perform various tasks related to data processing and analysis. It uses a modular design with separate modules for different functionalities, such as data storage, retrieval, manipulation, and visualization. The code is written in Java and makes use of several external libraries, including Apache Spark and Hadoop. The project's README provides a</t>
        </is>
      </c>
      <c r="I1903" t="n">
        <v>0.0042</v>
      </c>
      <c r="J1903" t="n">
        <v>0.1429</v>
      </c>
      <c r="K1903" t="n">
        <v>0.2256</v>
      </c>
      <c r="L1903" t="inlineStr">
        <is>
          <t>This file implements the core algorithms for a web application's backend, using the SpongeAPI framework. It handles various tasks such as data processing, user authentication, and communication with external services.</t>
        </is>
      </c>
      <c r="M1903" t="n">
        <v>0.008800000000000001</v>
      </c>
      <c r="N1903" t="n">
        <v>0.2051</v>
      </c>
      <c r="O1903" t="n">
        <v>0.2451</v>
      </c>
    </row>
    <row r="1904">
      <c r="A1904" t="inlineStr">
        <is>
          <t>sponge</t>
        </is>
      </c>
      <c r="B1904" t="inlineStr">
        <is>
          <t>src/main/java/org/spongepowered/api/network/channel/packet/PacketBinding.java</t>
        </is>
      </c>
      <c r="C1904">
        <f>HYPERLINK("https://github.com/SpongePowered/SpongeAPI/blob/master/src/main/java/org/spongepowered/api/network/channel/packet/PacketBinding.java")</f>
        <v/>
      </c>
      <c r="D1904" t="inlineStr">
        <is>
          <t>This code appears to be a Java implementation of various data structures and algorithms, such as linked lists, stacks, queues, trees, and graphs. It includes classes for each of these data structures and provides methods for inserting, removing, searching, and traversing them. Additionally, it includes some utility functions for working with strings and arrays. The code also includes comments explaining the purpose and usage</t>
        </is>
      </c>
      <c r="E1904" t="n">
        <v>0.0034</v>
      </c>
      <c r="F1904" t="n">
        <v>0.1111</v>
      </c>
      <c r="G1904" t="n">
        <v>0.1471</v>
      </c>
      <c r="H1904" t="inlineStr">
        <is>
          <t>This repository contains backend software components that implement core algorithms. The complexity of the code is O(N), where N represents the number of elements being processed. The code has been committed for the first time with a brief description of its purpose. The size of the code is approximately 1000 lines.</t>
        </is>
      </c>
      <c r="I1904" t="n">
        <v>0.0047</v>
      </c>
      <c r="J1904" t="n">
        <v>0.1333</v>
      </c>
      <c r="K1904" t="n">
        <v>0.2566</v>
      </c>
      <c r="L1904" t="inlineStr">
        <is>
          <t>This file implements the core algorithms for a web application using the SpongeAPI framework. It handles various tasks such as user authentication, data storage, and API endpoint handling. The code has a complexity of O(N), with existing comments providing insight into the implementation details.</t>
        </is>
      </c>
      <c r="M1904" t="n">
        <v>0.0059</v>
      </c>
      <c r="N1904" t="n">
        <v>0.1509</v>
      </c>
      <c r="O1904" t="n">
        <v>0.2155</v>
      </c>
    </row>
    <row r="1905">
      <c r="A1905" t="inlineStr">
        <is>
          <t>sponge</t>
        </is>
      </c>
      <c r="B1905" t="inlineStr">
        <is>
          <t>src/main/java/org/spongepowered/api/network/channel/packet/RequestPacket.java</t>
        </is>
      </c>
      <c r="C1905">
        <f>HYPERLINK("https://github.com/SpongePowered/SpongeAPI/blob/master/src/main/java/org/spongepowered/api/network/channel/packet/RequestPacket.java")</f>
        <v/>
      </c>
      <c r="D1905" t="inlineStr">
        <is>
          <t>This code appears to be a Java implementation of a sponge-based algorithm for solving certain optimization problems. It includes several classes that define different types of sponges and their behavior, as well as a main class that demonstrates how to use these sponges to solve a specific optimization problem. The code also includes comments explaining the purpose and usage of each class and method. Overall</t>
        </is>
      </c>
      <c r="E1905" t="n">
        <v>0.0033</v>
      </c>
      <c r="F1905" t="n">
        <v>0.08110000000000001</v>
      </c>
      <c r="G1905" t="n">
        <v>0.146</v>
      </c>
      <c r="H1905" t="inlineStr">
        <is>
          <t>This code implements a system for managing backend software components. It includes a number of features such as support for multiple programming languages, version control systems, and deployment tools. The code also includes comments that provide information about the purpose and usage of each component. Overall, it appears to be a complex piece of software with a large code base and many features.</t>
        </is>
      </c>
      <c r="I1905" t="n">
        <v>0.0041</v>
      </c>
      <c r="J1905" t="n">
        <v>0.08450000000000001</v>
      </c>
      <c r="K1905" t="n">
        <v>0.1481</v>
      </c>
      <c r="L1905" t="inlineStr">
        <is>
          <t>This file implements the core algorithms for a web application's backend using the SpongeAPI framework. It handles various tasks such as user authentication, data processing, and API endpoint handling. The code has a complexity of O(N) and uses existing comments to explain implementation details.</t>
        </is>
      </c>
      <c r="M1905" t="n">
        <v>0.0059</v>
      </c>
      <c r="N1905" t="n">
        <v>0.1481</v>
      </c>
      <c r="O1905" t="n">
        <v>0.2155</v>
      </c>
    </row>
    <row r="1906">
      <c r="A1906" t="inlineStr">
        <is>
          <t>sponge</t>
        </is>
      </c>
      <c r="B1906" t="inlineStr">
        <is>
          <t>src/main/java/org/spongepowered/api/network/channel/packet/package-info.java</t>
        </is>
      </c>
      <c r="C1906">
        <f>HYPERLINK("https://github.com/SpongePowered/SpongeAPI/blob/master/src/main/java/org/spongepowered/api/network/channel/packet/package-info.java")</f>
        <v/>
      </c>
      <c r="D1906" t="inlineStr">
        <is>
          <t>The provided code appears to be a Java implementation of various algorithms for solving mathematical problems. It includes functions for computing the determinant of a matrix, finding the inverse of a matrix, and solving systems of linear equations using Gaussian elimination. The code also includes comments explaining the purpose and complexity of each function. Additionally, it mentions that the code was initially committed as a starting point and has since been</t>
        </is>
      </c>
      <c r="E1906" t="n">
        <v>0.0026</v>
      </c>
      <c r="F1906" t="n">
        <v>0.0759</v>
      </c>
      <c r="G1906" t="n">
        <v>0.1049</v>
      </c>
      <c r="H1906" t="inlineStr">
        <is>
          <t>This code implements a backend system for a web application. It includes a README file that describes the project's purpose and provides information about the complexity of the code, as well as comments that explain the implementation details. The code itself consists of several functions, each with its own specific purpose. Overall, the code appears to be well-structured and organized, with clear variable names</t>
        </is>
      </c>
      <c r="I1906" t="n">
        <v>0.0037</v>
      </c>
      <c r="J1906" t="n">
        <v>0.1081</v>
      </c>
      <c r="K1906" t="n">
        <v>0.1103</v>
      </c>
      <c r="L1906" t="inlineStr">
        <is>
          <t>This file implements the core algorithms for a web application using SpongeAPI, a framework for building web applications. It includes functions for handling HTTP requests and responses, as well as other utility methods for working with data structures.</t>
        </is>
      </c>
      <c r="M1906" t="n">
        <v>0.0069</v>
      </c>
      <c r="N1906" t="n">
        <v>0.2174</v>
      </c>
      <c r="O1906" t="n">
        <v>0.2273</v>
      </c>
    </row>
    <row r="1907">
      <c r="A1907" t="inlineStr">
        <is>
          <t>sponge</t>
        </is>
      </c>
      <c r="B1907" t="inlineStr">
        <is>
          <t>src/main/java/org/spongepowered/api/network/channel/packet/TransactionalPacketDispatcher.java</t>
        </is>
      </c>
      <c r="C1907">
        <f>HYPERLINK("https://github.com/SpongePowered/SpongeAPI/blob/master/src/main/java/org/spongepowered/api/network/channel/packet/TransactionalPacketDispatcher.java")</f>
        <v/>
      </c>
      <c r="D1907" t="inlineStr">
        <is>
          <t>This code appears to be a Java implementation of various algorithms for solving certain problems. It includes comments that explain the purpose and complexity of each algorithm. The code also includes a README file with information about the project's goals and the structure of the repository. Overall, it seems like this codebase is intended to serve as a starting point for implementing more complex algorithms in Java.</t>
        </is>
      </c>
      <c r="E1907" t="n">
        <v>0.0032</v>
      </c>
      <c r="F1907" t="n">
        <v>0.0789</v>
      </c>
      <c r="G1907" t="n">
        <v>0.1079</v>
      </c>
      <c r="H1907" t="inlineStr">
        <is>
          <t>This code implements a system for handling user authentication and authorization. It includes functions for validating credentials, creating and managing sessions, and checking permissions. The complexity of the code is O(N), with comments explaining the implementation of core algorithms. There have been no commits since the initial codebase was created. The total size of the code is approximately 1000 lines.</t>
        </is>
      </c>
      <c r="I1907" t="n">
        <v>0.0043</v>
      </c>
      <c r="J1907" t="n">
        <v>0.1159</v>
      </c>
      <c r="K1907" t="n">
        <v>0.1894</v>
      </c>
      <c r="L1907" t="inlineStr">
        <is>
          <t>This file is part of SpongeAPI, a modular platform for Minecraft servers. It appears to implement core algorithms for the server's operation. The code has a complexity of O(N), with existing comments providing some insight into the implementation details. The purpose of the code is to provide a robust foundation for building custom plugins and integrating third-party modules.</t>
        </is>
      </c>
      <c r="M1907" t="n">
        <v>0.0041</v>
      </c>
      <c r="N1907" t="n">
        <v>0.1159</v>
      </c>
      <c r="O1907" t="n">
        <v>0.1923</v>
      </c>
    </row>
    <row r="1908">
      <c r="A1908" t="inlineStr">
        <is>
          <t>sponge</t>
        </is>
      </c>
      <c r="B1908" t="inlineStr">
        <is>
          <t>src/main/java/org/spongepowered/api/network/channel/packet/PacketDispatcher.java</t>
        </is>
      </c>
      <c r="C1908">
        <f>HYPERLINK("https://github.com/SpongePowered/SpongeAPI/blob/master/src/main/java/org/spongepowered/api/network/channel/packet/PacketDispatcher.java")</f>
        <v/>
      </c>
      <c r="D1908" t="inlineStr">
        <is>
          <t>The provided code appears to be a Java implementation of a backend system for a web application. It includes comments explaining its purpose and complexity, as well as information about commits and code size. The code itself does not appear to contain much content beyond basic syntax and structure, but it may include various methods and classes that implement specific functionalities.</t>
        </is>
      </c>
      <c r="E1908" t="n">
        <v>0.003</v>
      </c>
      <c r="F1908" t="n">
        <v>0.058</v>
      </c>
      <c r="G1908" t="n">
        <v>0.0752</v>
      </c>
      <c r="H1908" t="inlineStr">
        <is>
          <t>This repository contains backend software components that implement core algorithms. The complexity of the code is O(N), with comments describing the implementation details. The code size is approximately 1000 lines.</t>
        </is>
      </c>
      <c r="I1908" t="n">
        <v>0.008200000000000001</v>
      </c>
      <c r="J1908" t="n">
        <v>0.2051</v>
      </c>
      <c r="K1908" t="n">
        <v>0.1961</v>
      </c>
      <c r="L1908" t="inlineStr">
        <is>
          <t>This file implements the core algorithms for a web application using the SpongeAPI framework. It handles various tasks such as user authentication, data storage, and API endpoint implementation. The code is written in Java and follows the MIT license guidelines.</t>
        </is>
      </c>
      <c r="M1908" t="n">
        <v>0.0065</v>
      </c>
      <c r="N1908" t="n">
        <v>0.1667</v>
      </c>
      <c r="O1908" t="n">
        <v>0.2232</v>
      </c>
    </row>
    <row r="1909">
      <c r="A1909" t="inlineStr">
        <is>
          <t>sponge</t>
        </is>
      </c>
      <c r="B1909" t="inlineStr">
        <is>
          <t>src/main/java/org/spongepowered/api/network/channel/packet/ResponsePacketHandler.java</t>
        </is>
      </c>
      <c r="C1909">
        <f>HYPERLINK("https://github.com/SpongePowered/SpongeAPI/blob/master/src/main/java/org/spongepowered/api/network/channel/packet/ResponsePacketHandler.java")</f>
        <v/>
      </c>
      <c r="D1909" t="inlineStr">
        <is>
          <t>This code appears to be a Java implementation of various algorithms for solving problems related to graphs and networks. It includes implementations of graph traversal algorithms such as DFS and BFS, shortest path algorithms such as Dijkstra's algorithm, and network flow algorithms such as Ford-Fulkerson. The code also includes unit tests for each algorithm to ensure correctness. Overall, it</t>
        </is>
      </c>
      <c r="E1909" t="n">
        <v>0.0037</v>
      </c>
      <c r="F1909" t="n">
        <v>0.08699999999999999</v>
      </c>
      <c r="G1909" t="n">
        <v>0.1145</v>
      </c>
      <c r="H1909" t="inlineStr">
        <is>
          <t>This repository contains backend software components that implement core algorithms. The complexity of the code is O(N), with comments describing the implementation details. There have been one initial commit to the repository, and the total size of the code is approximately 1000 lines.</t>
        </is>
      </c>
      <c r="I1909" t="n">
        <v>0.0061</v>
      </c>
      <c r="J1909" t="n">
        <v>0.1923</v>
      </c>
      <c r="K1909" t="n">
        <v>0.2174</v>
      </c>
      <c r="L1909" t="inlineStr">
        <is>
          <t>This file implements the core algorithms for a web application using the SpongeAPI framework. It provides functionality for user authentication, authorization, and data management.</t>
        </is>
      </c>
      <c r="M1909" t="n">
        <v>0.0118</v>
      </c>
      <c r="N1909" t="n">
        <v>0.3125</v>
      </c>
      <c r="O1909" t="n">
        <v>0.2604</v>
      </c>
    </row>
    <row r="1910">
      <c r="A1910" t="inlineStr">
        <is>
          <t>sponge</t>
        </is>
      </c>
      <c r="B1910" t="inlineStr">
        <is>
          <t>src/main/java/org/spongepowered/api/network/channel/packet/FixedTransactionalPacketBinding.java</t>
        </is>
      </c>
      <c r="C1910">
        <f>HYPERLINK("https://github.com/SpongePowered/SpongeAPI/blob/master/src/main/java/org/spongepowered/api/network/channel/packet/FixedTransactionalPacketBinding.java")</f>
        <v/>
      </c>
      <c r="D1910" t="inlineStr">
        <is>
          <t>The provided code appears to be a Java implementation of a backend system for a web application. It includes several classes that define the structure and behavior of different types of data models, as well as methods for performing various operations on those models. The code also includes comments and documentation explaining the purpose and usage of each class and method. Overall, it seems like this codebase is intended to provide a</t>
        </is>
      </c>
      <c r="E1910" t="n">
        <v>0.0025</v>
      </c>
      <c r="F1910" t="n">
        <v>0.05</v>
      </c>
      <c r="G1910" t="n">
        <v>0.1042</v>
      </c>
      <c r="H1910" t="inlineStr">
        <is>
          <t>This code implements a backend system for handling various tasks such as data processing, analysis, and management. It uses a modular architecture with separate components for different functionalities, allowing for easy maintenance and scalability. The code is well-documented with comments explaining each component's purpose and how it fits into the overall system. The complexity of the code is O(N), which means that</t>
        </is>
      </c>
      <c r="I1910" t="n">
        <v>0.0039</v>
      </c>
      <c r="J1910" t="n">
        <v>0.1096</v>
      </c>
      <c r="K1910" t="n">
        <v>0.1493</v>
      </c>
      <c r="L1910" t="inlineStr">
        <is>
          <t>This file implements the core algorithms for a web application using the SpongeAPI framework. It has a complexity of O(N) and existing comments provide insight into implementation details. The code size is approximately 1000 lines long.</t>
        </is>
      </c>
      <c r="M1910" t="n">
        <v>0.0073</v>
      </c>
      <c r="N1910" t="n">
        <v>0.1778</v>
      </c>
      <c r="O1910" t="n">
        <v>0.2315</v>
      </c>
    </row>
    <row r="1911">
      <c r="A1911" t="inlineStr">
        <is>
          <t>sponge</t>
        </is>
      </c>
      <c r="B1911" t="inlineStr">
        <is>
          <t>src/main/java/org/spongepowered/api/network/channel/packet/Packet.java</t>
        </is>
      </c>
      <c r="C1911">
        <f>HYPERLINK("https://github.com/SpongePowered/SpongeAPI/blob/master/src/main/java/org/spongepowered/api/network/channel/packet/Packet.java")</f>
        <v/>
      </c>
      <c r="D1911" t="inlineStr">
        <is>
          <t>The provided code appears to be a Java implementation of a backend system for a web application. It includes comments and a README file that describe its purpose and complexity. The code size is approximately 1000 lines long.
The main functionalities of the code seem to be related to implementing core algorithms for the backend system. The code also includes a license header with information about</t>
        </is>
      </c>
      <c r="E1911" t="n">
        <v>0.0033</v>
      </c>
      <c r="F1911" t="n">
        <v>0.0541</v>
      </c>
      <c r="G1911" t="n">
        <v>0.2287</v>
      </c>
      <c r="H1911" t="inlineStr">
        <is>
          <t>This code appears to be a collection of backend software components that implement various algorithms. It includes comments explaining the purpose of each component and its complexity. The code size is approximately 1000 lines long.</t>
        </is>
      </c>
      <c r="I1911" t="n">
        <v>0.007</v>
      </c>
      <c r="J1911" t="n">
        <v>0.186</v>
      </c>
      <c r="K1911" t="n">
        <v>0.1869</v>
      </c>
      <c r="L1911" t="inlineStr">
        <is>
          <t>This file implements the core algorithms for a web application using the SpongeAPI framework. It provides a RESTful API that allows users to interact with the application's data models. The code is well-documented and includes comments explaining the implementation details.</t>
        </is>
      </c>
      <c r="M1911" t="n">
        <v>0.0065</v>
      </c>
      <c r="N1911" t="n">
        <v>0.16</v>
      </c>
      <c r="O1911" t="n">
        <v>0.2232</v>
      </c>
    </row>
    <row r="1912">
      <c r="A1912" t="inlineStr">
        <is>
          <t>sponge</t>
        </is>
      </c>
      <c r="B1912" t="inlineStr">
        <is>
          <t>src/main/java/org/spongepowered/api/network/channel/packet/PacketHandler.java</t>
        </is>
      </c>
      <c r="C1912">
        <f>HYPERLINK("https://github.com/SpongePowered/SpongeAPI/blob/master/src/main/java/org/spongepowered/api/network/channel/packet/PacketHandler.java")</f>
        <v/>
      </c>
      <c r="D1912" t="inlineStr">
        <is>
          <t>The code implements various algorithms for solving mathematical problems, such as finding the maximum value in an array, sorting an array, and searching for a specific element in an array. It also includes comments explaining the purpose and complexity of each algorithm.</t>
        </is>
      </c>
      <c r="E1912" t="n">
        <v>0.0052</v>
      </c>
      <c r="F1912" t="n">
        <v>0.08</v>
      </c>
      <c r="G1912" t="n">
        <v>0.0877</v>
      </c>
      <c r="H1912" t="inlineStr">
        <is>
          <t>This repository contains backend software components that implement core algorithms with a time complexity of O(N). The code was initially committed and has since been developed over time.</t>
        </is>
      </c>
      <c r="I1912" t="n">
        <v>0.0095</v>
      </c>
      <c r="J1912" t="n">
        <v>0.2703</v>
      </c>
      <c r="K1912" t="n">
        <v>0.372</v>
      </c>
      <c r="L1912" t="inlineStr">
        <is>
          <t>This file implements the core algorithms for a web application's backend. It uses the SpongeAPI framework, which is licensed under the MIT license. The code has been optimized for performance using techniques such as memoization and caching. The file also includes comments that explain the implementation of the core algorithms and provide context for other developers who may need to understand the code.</t>
        </is>
      </c>
      <c r="M1912" t="n">
        <v>0.0041</v>
      </c>
      <c r="N1912" t="n">
        <v>0.1111</v>
      </c>
      <c r="O1912" t="n">
        <v>0.1852</v>
      </c>
    </row>
    <row r="1913">
      <c r="A1913" t="inlineStr">
        <is>
          <t>sponge</t>
        </is>
      </c>
      <c r="B1913" t="inlineStr">
        <is>
          <t>src/main/java/org/spongepowered/api/network/channel/packet/TransactionalPacketRegistry.java</t>
        </is>
      </c>
      <c r="C1913">
        <f>HYPERLINK("https://github.com/SpongePowered/SpongeAPI/blob/master/src/main/java/org/spongepowered/api/network/channel/packet/TransactionalPacketRegistry.java")</f>
        <v/>
      </c>
      <c r="D1913" t="inlineStr">
        <is>
          <t>The provided code appears to be a Java implementation of a backend system for a web application. It includes a number of classes and interfaces that define the structure and behavior of the system's components. The code also includes comments explaining the purpose and usage of each class and interface.
The main entry point into the system appears to be the `Main` class, which sets up the necessary dependencies</t>
        </is>
      </c>
      <c r="E1913" t="n">
        <v>0.0026</v>
      </c>
      <c r="F1913" t="n">
        <v>0.0513</v>
      </c>
      <c r="G1913" t="n">
        <v>0.0709</v>
      </c>
      <c r="H1913" t="inlineStr">
        <is>
          <t>This code implements a software system that provides backend services for a web application. It includes several modules, each with its own set of functionalities, which work together to provide a comprehensive solution. The system uses a modular architecture, allowing developers to easily extend or replace individual components as needed. The complexity of the system is O(N), where N represents the number of users accessing the system</t>
        </is>
      </c>
      <c r="I1913" t="n">
        <v>0.0036</v>
      </c>
      <c r="J1913" t="n">
        <v>0.1053</v>
      </c>
      <c r="K1913" t="n">
        <v>0.1439</v>
      </c>
      <c r="L1913" t="inlineStr">
        <is>
          <t>This file implements the core algorithms for a web application using SpongeAPI. It provides the necessary functionality for users to interact with the system and perform various tasks.</t>
        </is>
      </c>
      <c r="M1913" t="n">
        <v>0.01</v>
      </c>
      <c r="N1913" t="n">
        <v>0.2778</v>
      </c>
      <c r="O1913" t="n">
        <v>0.25</v>
      </c>
    </row>
    <row r="1914">
      <c r="A1914" t="inlineStr">
        <is>
          <t>sponge</t>
        </is>
      </c>
      <c r="B1914" t="inlineStr">
        <is>
          <t>src/main/java/org/spongepowered/api/network/channel/packet/HandlerPacketBinding.java</t>
        </is>
      </c>
      <c r="C1914">
        <f>HYPERLINK("https://github.com/SpongePowered/SpongeAPI/blob/master/src/main/java/org/spongepowered/api/network/channel/packet/HandlerPacketBinding.java")</f>
        <v/>
      </c>
      <c r="D1914" t="inlineStr">
        <is>
          <t>This code appears to be a Java implementation of various algorithms for solving problems related to graphs, such as finding shortest paths between nodes, detecting cycles, and checking whether a graph is connected. The code includes several classes that implement these algorithms, each with its own set of methods for performing specific tasks. Some of the key features of the code include:
* Use of data structures such</t>
        </is>
      </c>
      <c r="E1914" t="n">
        <v>0.0032</v>
      </c>
      <c r="F1914" t="n">
        <v>0.08</v>
      </c>
      <c r="G1914" t="n">
        <v>0.1429</v>
      </c>
      <c r="H1914" t="inlineStr">
        <is>
          <t>This code implements a system for handling user authentication and authorization. It includes functions for generating hashes, comparing passwords, and checking if users have access to certain resources. The code also includes comments that explain the purpose and usage of each function. The complexity of the code is O(N), where N is the number of users being authenticated.</t>
        </is>
      </c>
      <c r="I1914" t="n">
        <v>0.0041</v>
      </c>
      <c r="J1914" t="n">
        <v>0.1194</v>
      </c>
      <c r="K1914" t="n">
        <v>0.1538</v>
      </c>
      <c r="L1914" t="inlineStr">
        <is>
          <t>This file implements the core algorithms for a web application using the SpongeAPI framework. It handles user authentication, authorization, and data management.</t>
        </is>
      </c>
      <c r="M1914" t="n">
        <v>0.0123</v>
      </c>
      <c r="N1914" t="n">
        <v>0.2667</v>
      </c>
      <c r="O1914" t="n">
        <v>0.266</v>
      </c>
    </row>
    <row r="1915">
      <c r="A1915" t="inlineStr">
        <is>
          <t>sponge</t>
        </is>
      </c>
      <c r="B1915" t="inlineStr">
        <is>
          <t>src/main/java/org/spongepowered/api/network/channel/packet/RequestPacketResponse.java</t>
        </is>
      </c>
      <c r="C1915">
        <f>HYPERLINK("https://github.com/SpongePowered/SpongeAPI/blob/master/src/main/java/org/spongepowered/api/network/channel/packet/RequestPacketResponse.java")</f>
        <v/>
      </c>
      <c r="D1915" t="inlineStr">
        <is>
          <t>This code appears to be a Java implementation of various algorithms for solving problems related to graphs, such as finding shortest paths, minimum spanning trees, and other graph-related tasks. The code includes comments that describe the purpose of each algorithm and provide some context on how they work. The code also includes a README file that provides information about the project's goals and the complexity of</t>
        </is>
      </c>
      <c r="E1915" t="n">
        <v>0.0033</v>
      </c>
      <c r="F1915" t="n">
        <v>0.0789</v>
      </c>
      <c r="G1915" t="n">
        <v>0.1087</v>
      </c>
      <c r="H1915" t="inlineStr">
        <is>
          <t>This code implements a backend system that uses various algorithms for processing data. It has a complexity of O(N), with comments describing the implementation of core algorithms. There have been no commits since the initial codebase was created. The total size of the code is approximately 1000 lines.</t>
        </is>
      </c>
      <c r="I1915" t="n">
        <v>0.005</v>
      </c>
      <c r="J1915" t="n">
        <v>0.1053</v>
      </c>
      <c r="K1915" t="n">
        <v>0.1667</v>
      </c>
      <c r="L1915" t="inlineStr">
        <is>
          <t>This file implements the core algorithms for a web application using the SpongeAPI framework. It handles various tasks such as user authentication, data storage, and API endpoint handling. The code has a complexity of O(N), with existing comments providing insight into the implementation details.</t>
        </is>
      </c>
      <c r="M1915" t="n">
        <v>0.0059</v>
      </c>
      <c r="N1915" t="n">
        <v>0.1509</v>
      </c>
      <c r="O1915" t="n">
        <v>0.2155</v>
      </c>
    </row>
    <row r="1916">
      <c r="A1916" t="inlineStr">
        <is>
          <t>sponge</t>
        </is>
      </c>
      <c r="B1916" t="inlineStr">
        <is>
          <t>src/main/java/org/spongepowered/api/network/channel/packet/basic/package-info.java</t>
        </is>
      </c>
      <c r="C1916">
        <f>HYPERLINK("https://github.com/SpongePowered/SpongeAPI/blob/master/src/main/java/org/spongepowered/api/network/channel/packet/basic/package-info.java")</f>
        <v/>
      </c>
      <c r="D1916" t="inlineStr">
        <is>
          <t>This code appears to be a Java implementation of various algorithms for solving graph problems. It includes methods for finding shortest paths, minimum spanning trees, and other common graph operations. The code is well-documented with comments that explain the purpose and complexity of each method. The overall structure of the code follows the standard convention for Java classes, with separate files for different algorithm implementations and a main</t>
        </is>
      </c>
      <c r="E1916" t="n">
        <v>0.0032</v>
      </c>
      <c r="F1916" t="n">
        <v>0.0779</v>
      </c>
      <c r="G1916" t="n">
        <v>0.1071</v>
      </c>
      <c r="H1916" t="inlineStr">
        <is>
          <t>Summary: This is a Java project that implements various algorithms for a web application's backend. It includes a README file with information about the project, its complexity, comments, commits, and code size. The code itself is not provided, but it appears to be related to implementing core algorithms for a web application's backend.</t>
        </is>
      </c>
      <c r="I1916" t="n">
        <v>0.0049</v>
      </c>
      <c r="J1916" t="n">
        <v>0.09520000000000001</v>
      </c>
      <c r="K1916" t="n">
        <v>0.16</v>
      </c>
      <c r="L1916" t="inlineStr">
        <is>
          <t>This file implements the core algorithms for a web application using the SpongeAPI framework. It handles user authentication, authorization, and access management, as well as provides APIs for interacting with the application's data storage layer.</t>
        </is>
      </c>
      <c r="M1916" t="n">
        <v>0.0075</v>
      </c>
      <c r="N1916" t="n">
        <v>0.1818</v>
      </c>
      <c r="O1916" t="n">
        <v>0.2336</v>
      </c>
    </row>
    <row r="1917">
      <c r="A1917" t="inlineStr">
        <is>
          <t>sponge</t>
        </is>
      </c>
      <c r="B1917" t="inlineStr">
        <is>
          <t>src/main/java/org/spongepowered/api/network/channel/packet/basic/BasicPacketChannel.java</t>
        </is>
      </c>
      <c r="C1917">
        <f>HYPERLINK("https://github.com/SpongePowered/SpongeAPI/blob/master/src/main/java/org/spongepowered/api/network/channel/packet/basic/BasicPacketChannel.java")</f>
        <v/>
      </c>
      <c r="D1917" t="inlineStr">
        <is>
          <t>This code appears to be a Java implementation of a web service that provides some basic functionality for managing data. It includes several classes that define different types of data structures, such as `User` and `Item`, which can be used to store information about users and items. There are also methods defined within these classes to perform various operations on the data, such as creating new instances, updating existing</t>
        </is>
      </c>
      <c r="E1917" t="n">
        <v>0.0035</v>
      </c>
      <c r="F1917" t="n">
        <v>0.1039</v>
      </c>
      <c r="G1917" t="n">
        <v>0.1418</v>
      </c>
      <c r="H1917" t="inlineStr">
        <is>
          <t>This code implements a set of backend software components that perform various tasks such as data processing, analysis, and management. It uses the MIT License for open-source collaboration and distribution. The code has been optimized for performance using O(N) complexity and includes comments describing the implementation of core algorithms.</t>
        </is>
      </c>
      <c r="I1917" t="n">
        <v>0.0056</v>
      </c>
      <c r="J1917" t="n">
        <v>0.1356</v>
      </c>
      <c r="K1917" t="n">
        <v>0.2479</v>
      </c>
      <c r="L1917" t="inlineStr">
        <is>
          <t>This file implements the core algorithms for a web application using the SpongeAPI framework. It takes in user input and processes it through various stages before returning a response. The code has been optimized for performance and is well-documented with comments and commit messages that provide insight into the development process.</t>
        </is>
      </c>
      <c r="M1917" t="n">
        <v>0.0051</v>
      </c>
      <c r="N1917" t="n">
        <v>0.1333</v>
      </c>
      <c r="O1917" t="n">
        <v>0.2033</v>
      </c>
    </row>
    <row r="1918">
      <c r="A1918" t="inlineStr">
        <is>
          <t>sponge</t>
        </is>
      </c>
      <c r="B1918" t="inlineStr">
        <is>
          <t>src/main/java/org/spongepowered/api/network/channel/packet/basic/BasicHandshakePacketDispatcher.java</t>
        </is>
      </c>
      <c r="C1918">
        <f>HYPERLINK("https://github.com/SpongePowered/SpongeAPI/blob/master/src/main/java/org/spongepowered/api/network/channel/packet/basic/BasicHandshakePacketDispatcher.java")</f>
        <v/>
      </c>
      <c r="D1918" t="inlineStr">
        <is>
          <t>This code appears to be a Java implementation of a backend system for a web application. It includes various classes and methods that provide functionality such as user authentication, data storage, and API endpoints. The code also includes comments explaining the purpose and usage of each class and method. Overall, it seems like this codebase could be used to build a robust and scalable backend system for a web</t>
        </is>
      </c>
      <c r="E1918" t="n">
        <v>0.0035</v>
      </c>
      <c r="F1918" t="n">
        <v>0.1039</v>
      </c>
      <c r="G1918" t="n">
        <v>0.1418</v>
      </c>
      <c r="H1918" t="inlineStr">
        <is>
          <t>This code implements various backend software components, including core algorithms for processing data. It has been committed once with a total size of approximately 1000 lines of code. The complexity of the code is O(N), indicating that it scales linearly with respect to the input size. The README file provides information about the project's purpose, license, and contributing guidel</t>
        </is>
      </c>
      <c r="I1918" t="n">
        <v>0.0046</v>
      </c>
      <c r="J1918" t="n">
        <v>0.1159</v>
      </c>
      <c r="K1918" t="n">
        <v>0.1908</v>
      </c>
      <c r="L1918" t="inlineStr">
        <is>
          <t>This file implements the core algorithms for a web application using the SpongeAPI framework. It handles user authentication and provides a RESTful API for accessing data.</t>
        </is>
      </c>
      <c r="M1918" t="n">
        <v>0.0103</v>
      </c>
      <c r="N1918" t="n">
        <v>0.2353</v>
      </c>
      <c r="O1918" t="n">
        <v>0.2551</v>
      </c>
    </row>
    <row r="1919">
      <c r="A1919" t="inlineStr">
        <is>
          <t>sponge</t>
        </is>
      </c>
      <c r="B1919" t="inlineStr">
        <is>
          <t>src/main/java/org/spongepowered/api/network/channel/raw/package-info.java</t>
        </is>
      </c>
      <c r="C1919">
        <f>HYPERLINK("https://github.com/SpongePowered/SpongeAPI/blob/master/src/main/java/org/spongepowered/api/network/channel/raw/package-info.java")</f>
        <v/>
      </c>
      <c r="D1919" t="inlineStr">
        <is>
          <t>This code appears to be a Java implementation of various algorithms for solving mathematical problems. It includes classes for implementing basic arithmetic operations such as addition, subtraction, multiplication, and division, as well as more complex algorithms like factorial calculation and exponentiation. The code also includes comments explaining the purpose and usage of each class and method. Overall, it seems that this code is intended to provide</t>
        </is>
      </c>
      <c r="E1919" t="n">
        <v>0.0033</v>
      </c>
      <c r="F1919" t="n">
        <v>0.08110000000000001</v>
      </c>
      <c r="G1919" t="n">
        <v>0.1087</v>
      </c>
      <c r="H1919" t="inlineStr">
        <is>
          <t>This code implements a system for handling user authentication and authorization. It includes a number of different components, such as a database for storing user information and a set of APIs for interacting with that data. The code also includes a number of comments and documentation, which provide additional context and explanation for the various parts of the system. Overall, it appears to be a complex piece of software that handles</t>
        </is>
      </c>
      <c r="I1919" t="n">
        <v>0.0036</v>
      </c>
      <c r="J1919" t="n">
        <v>0.0759</v>
      </c>
      <c r="K1919" t="n">
        <v>0.1748</v>
      </c>
      <c r="L1919" t="inlineStr">
        <is>
          <t>This file implements the core algorithms for a web application's backend using the SpongeAPI framework. It processes user input and generates responses based on the data received from various sources.</t>
        </is>
      </c>
      <c r="M1919" t="n">
        <v>0.008800000000000001</v>
      </c>
      <c r="N1919" t="n">
        <v>0.2051</v>
      </c>
      <c r="O1919" t="n">
        <v>0.2451</v>
      </c>
    </row>
    <row r="1920">
      <c r="A1920" t="inlineStr">
        <is>
          <t>sponge</t>
        </is>
      </c>
      <c r="B1920" t="inlineStr">
        <is>
          <t>src/main/java/org/spongepowered/api/network/channel/raw/RawDataChannel.java</t>
        </is>
      </c>
      <c r="C1920">
        <f>HYPERLINK("https://github.com/SpongePowered/SpongeAPI/blob/master/src/main/java/org/spongepowered/api/network/channel/raw/RawDataChannel.java")</f>
        <v/>
      </c>
      <c r="D1920" t="inlineStr">
        <is>
          <t>This code appears to be a Java implementation of various algorithms for solving problems related to graphs, such as finding the shortest path between two nodes in a graph, determining whether a graph is connected, and finding the minimum spanning tree of a graph. The code includes classes for representing graphs, edges, and vertices, as well as methods for performing these operations on instances of these classes. The</t>
        </is>
      </c>
      <c r="E1920" t="n">
        <v>0.0032</v>
      </c>
      <c r="F1920" t="n">
        <v>0.0789</v>
      </c>
      <c r="G1920" t="n">
        <v>0.1071</v>
      </c>
      <c r="H1920" t="inlineStr">
        <is>
          <t>This code implements various backend software components for a web application. It includes comments that explain the purpose and implementation of each component. The complexity of the code is O(N), where N is the number of components being implemented. The code size is approximately 1000 lines.</t>
        </is>
      </c>
      <c r="I1920" t="n">
        <v>0.0057</v>
      </c>
      <c r="J1920" t="n">
        <v>0.1091</v>
      </c>
      <c r="K1920" t="n">
        <v>0.1695</v>
      </c>
      <c r="L1920" t="inlineStr">
        <is>
          <t>This file implements the core algorithms for a web application using the SpongeAPI framework. It handles user authentication and authorization, provides RESTful APIs for data retrieval and manipulation, and supports various plugins that extend the application's functionality.</t>
        </is>
      </c>
      <c r="M1920" t="n">
        <v>0.0071</v>
      </c>
      <c r="N1920" t="n">
        <v>0.1739</v>
      </c>
      <c r="O1920" t="n">
        <v>0.2294</v>
      </c>
    </row>
    <row r="1921">
      <c r="A1921" t="inlineStr">
        <is>
          <t>sponge</t>
        </is>
      </c>
      <c r="B1921" t="inlineStr">
        <is>
          <t>src/main/java/org/spongepowered/api/network/channel/raw/play/package-info.java</t>
        </is>
      </c>
      <c r="C1921">
        <f>HYPERLINK("https://github.com/SpongePowered/SpongeAPI/blob/master/src/main/java/org/spongepowered/api/network/channel/raw/play/package-info.java")</f>
        <v/>
      </c>
      <c r="D1921" t="inlineStr">
        <is>
          <t>This code appears to be a Java implementation of various algorithms for solving mathematical problems. It includes classes such as `Fibonacci` and `PrimeNumber`, which implement specific algorithms for finding Fibonacci numbers and prime numbers respectively. Additionally, there are other classes that provide utility functions for working with arrays and strings. Overall, it seems like this codebase could be used as</t>
        </is>
      </c>
      <c r="E1921" t="n">
        <v>0.0036</v>
      </c>
      <c r="F1921" t="n">
        <v>0.1176</v>
      </c>
      <c r="G1921" t="n">
        <v>0.1515</v>
      </c>
      <c r="H1921" t="inlineStr">
        <is>
          <t>Summary: This repository contains backend software components that implement core algorithms. It has a complexity of O(N) and uses comments to explain its implementation. It was initially committed with a size of 1000 lines of code.</t>
        </is>
      </c>
      <c r="I1921" t="n">
        <v>0.0073</v>
      </c>
      <c r="J1921" t="n">
        <v>0.2222</v>
      </c>
      <c r="K1921" t="n">
        <v>0.3948</v>
      </c>
      <c r="L1921" t="inlineStr">
        <is>
          <t>This file implements the core algorithms for a web application using the SpongeAPI framework. It handles user authentication, authorization, and session management, as well as provides APIs for interacting with the application's data storage layer.</t>
        </is>
      </c>
      <c r="M1921" t="n">
        <v>0.0075</v>
      </c>
      <c r="N1921" t="n">
        <v>0.1818</v>
      </c>
      <c r="O1921" t="n">
        <v>0.2336</v>
      </c>
    </row>
    <row r="1922">
      <c r="A1922" t="inlineStr">
        <is>
          <t>sponge</t>
        </is>
      </c>
      <c r="B1922" t="inlineStr">
        <is>
          <t>src/main/java/org/spongepowered/api/network/channel/raw/play/RawPlayDataHandler.java</t>
        </is>
      </c>
      <c r="C1922">
        <f>HYPERLINK("https://github.com/SpongePowered/SpongeAPI/blob/master/src/main/java/org/spongepowered/api/network/channel/raw/play/RawPlayDataHandler.java")</f>
        <v/>
      </c>
      <c r="D1922" t="inlineStr">
        <is>
          <t>This code appears to be a Java implementation of various data structures and algorithms for a web application. It includes classes for implementing stacks, queues, linked lists, trees, graphs, and other data structures, as well as methods for searching, sorting, and manipulating these data structures. The code also includes comments explaining the purpose and usage of each class and method. Overall, it seems</t>
        </is>
      </c>
      <c r="E1922" t="n">
        <v>0.0034</v>
      </c>
      <c r="F1922" t="n">
        <v>0.08450000000000001</v>
      </c>
      <c r="G1922" t="n">
        <v>0.1111</v>
      </c>
      <c r="H1922" t="inlineStr">
        <is>
          <t>This code implements a set of backend software components that perform various tasks related to data processing and analysis. The main function of the code is to implement core algorithms for data manipulation and analysis, which can be used in various applications such as data mining, machine learning, and scientific computing. The code has been optimized for performance using techniques such as caching and parallelization, making it suitable for large</t>
        </is>
      </c>
      <c r="I1922" t="n">
        <v>0.0039</v>
      </c>
      <c r="J1922" t="n">
        <v>0.1282</v>
      </c>
      <c r="K1922" t="n">
        <v>0.2113</v>
      </c>
      <c r="L1922" t="inlineStr">
        <is>
          <t>This file implements the core algorithms for a web application using SpongeAPI, which is open-source software licensed under the MIT license. It includes various functions related to user authentication, data storage, and API endpoints.</t>
        </is>
      </c>
      <c r="M1922" t="n">
        <v>0.008200000000000001</v>
      </c>
      <c r="N1922" t="n">
        <v>0.2326</v>
      </c>
      <c r="O1922" t="n">
        <v>0.283</v>
      </c>
    </row>
    <row r="1923">
      <c r="A1923" t="inlineStr">
        <is>
          <t>sponge</t>
        </is>
      </c>
      <c r="B1923" t="inlineStr">
        <is>
          <t>src/main/java/org/spongepowered/api/network/channel/raw/play/RawPlayDataChannel.java</t>
        </is>
      </c>
      <c r="C1923">
        <f>HYPERLINK("https://github.com/SpongePowered/SpongeAPI/blob/master/src/main/java/org/spongepowered/api/network/channel/raw/play/RawPlayDataChannel.java")</f>
        <v/>
      </c>
      <c r="D1923" t="inlineStr">
        <is>
          <t>This code appears to be a Java implementation of various algorithms for solving various problems. It includes classes for implementing sorting algorithms such as bubble sort, insertion sort, and selection sort, as well as other algorithms like binary search and linear regression. The code also includes comments explaining the purpose and complexity of each algorithm.</t>
        </is>
      </c>
      <c r="E1923" t="n">
        <v>0.004</v>
      </c>
      <c r="F1923" t="n">
        <v>0.09520000000000001</v>
      </c>
      <c r="G1923" t="n">
        <v>0.1181</v>
      </c>
      <c r="H1923" t="inlineStr">
        <is>
          <t>Summary: This code implements a set of backend software components that perform various tasks related to data processing and analysis. It uses a modular design with a focus on efficiency and scalability, making it suitable for large-scale applications. The code is well-documented and includes comments throughout the implementation to explain its logic and provide guidance for future development.</t>
        </is>
      </c>
      <c r="I1923" t="n">
        <v>0.0045</v>
      </c>
      <c r="J1923" t="n">
        <v>0.1176</v>
      </c>
      <c r="K1923" t="n">
        <v>0.1923</v>
      </c>
      <c r="L1923" t="inlineStr">
        <is>
          <t>This file implements various algorithms for processing data in a web application. It provides functions for sorting, filtering, and searching data based on user input. The code also includes comments that explain the implementation details and provide context for the code.</t>
        </is>
      </c>
      <c r="M1923" t="n">
        <v>0.0059</v>
      </c>
      <c r="N1923" t="n">
        <v>0.1633</v>
      </c>
      <c r="O1923" t="n">
        <v>0.177</v>
      </c>
    </row>
    <row r="1924">
      <c r="A1924" t="inlineStr">
        <is>
          <t>sponge</t>
        </is>
      </c>
      <c r="B1924" t="inlineStr">
        <is>
          <t>src/main/java/org/spongepowered/api/network/channel/raw/handshake/package-info.java</t>
        </is>
      </c>
      <c r="C1924">
        <f>HYPERLINK("https://github.com/SpongePowered/SpongeAPI/blob/master/src/main/java/org/spongepowered/api/network/channel/raw/handshake/package-info.java")</f>
        <v/>
      </c>
      <c r="D1924" t="inlineStr">
        <is>
          <t>This code implements various algorithms for solving complex problems. It has a complexity of O(N), where N represents the size of the input data set. The code includes comments that explain the implementation of each algorithm and provide information about the purpose of the code. The code was initially committed as a starting point for development, with subsequent commits adding additional features and improvements over time. The total size of the</t>
        </is>
      </c>
      <c r="E1924" t="n">
        <v>0.0034</v>
      </c>
      <c r="F1924" t="n">
        <v>0.075</v>
      </c>
      <c r="G1924" t="n">
        <v>0.1049</v>
      </c>
      <c r="H1924" t="inlineStr">
        <is>
          <t>This repository contains backend software components that implement core algorithms. The complexity of the code is O(N), with comments describing the implementation details. The README provides information about the project's purpose and structure.</t>
        </is>
      </c>
      <c r="I1924" t="n">
        <v>0.008</v>
      </c>
      <c r="J1924" t="n">
        <v>0.2326</v>
      </c>
      <c r="K1924" t="n">
        <v>0.2381</v>
      </c>
      <c r="L1924" t="inlineStr">
        <is>
          <t>This file is part of SpongeAPI, a framework for building Minecraft plugins. It appears to contain the implementation of core algorithms for managing plugin dependencies and their versions. The code has been optimized for performance using Big-O notation, indicating a complexity of O(N), where N represents the number of dependencies. The code also includes existing comments that provide additional context, such as the</t>
        </is>
      </c>
      <c r="M1924" t="n">
        <v>0.0038</v>
      </c>
      <c r="N1924" t="n">
        <v>0.1096</v>
      </c>
      <c r="O1924" t="n">
        <v>0.1852</v>
      </c>
    </row>
    <row r="1925">
      <c r="A1925" t="inlineStr">
        <is>
          <t>sponge</t>
        </is>
      </c>
      <c r="B1925" t="inlineStr">
        <is>
          <t>src/main/java/org/spongepowered/api/network/channel/raw/handshake/RawHandshakeDataRequestResponse.java</t>
        </is>
      </c>
      <c r="C1925">
        <f>HYPERLINK("https://github.com/SpongePowered/SpongeAPI/blob/master/src/main/java/org/spongepowered/api/network/channel/raw/handshake/RawHandshakeDataRequestResponse.java")</f>
        <v/>
      </c>
      <c r="D1925" t="inlineStr">
        <is>
          <t>This code appears to be a Java implementation of a simple algorithm for solving a problem with complexity O(N), where N is the size of the input data set. It consists of several classes and methods that define the structure and behavior of the algorithm, as well as some comments describing its purpose and how it works. The code also includes a README file that provides information about the project'</t>
        </is>
      </c>
      <c r="E1925" t="n">
        <v>0.0031</v>
      </c>
      <c r="F1925" t="n">
        <v>0.0759</v>
      </c>
      <c r="G1925" t="n">
        <v>0.1056</v>
      </c>
      <c r="H1925" t="inlineStr">
        <is>
          <t>This code implements a backend system that provides various features for a web application. It includes a number of algorithms that are used to perform specific tasks, such as data processing and analysis. The code is written in Python and uses a number of libraries and frameworks to provide the necessary functionality. The complexity of the code is O(N), where N is the size of the input data. The comments in</t>
        </is>
      </c>
      <c r="I1925" t="n">
        <v>0.0034</v>
      </c>
      <c r="J1925" t="n">
        <v>0.075</v>
      </c>
      <c r="K1925" t="n">
        <v>0.1399</v>
      </c>
      <c r="L1925" t="inlineStr">
        <is>
          <t>This file implements the core algorithms for a web application using the SpongeAPI framework. It handles user authentication and authorization, provides a RESTful API for accessing data, and includes support for various features such as caching and logging.</t>
        </is>
      </c>
      <c r="M1925" t="n">
        <v>0.0069</v>
      </c>
      <c r="N1925" t="n">
        <v>0.1739</v>
      </c>
      <c r="O1925" t="n">
        <v>0.2273</v>
      </c>
    </row>
    <row r="1926">
      <c r="A1926" t="inlineStr">
        <is>
          <t>sponge</t>
        </is>
      </c>
      <c r="B1926" t="inlineStr">
        <is>
          <t>src/main/java/org/spongepowered/api/network/channel/raw/handshake/RawHandshakeDataChannel.java</t>
        </is>
      </c>
      <c r="C1926">
        <f>HYPERLINK("https://github.com/SpongePowered/SpongeAPI/blob/master/src/main/java/org/spongepowered/api/network/channel/raw/handshake/RawHandshakeDataChannel.java")</f>
        <v/>
      </c>
      <c r="D1926" t="inlineStr">
        <is>
          <t>The code implements various algorithms for processing data, such as sorting, searching, and manipulating strings. It also includes comments describing the purpose and implementation details of each algorithm.</t>
        </is>
      </c>
      <c r="E1926" t="n">
        <v>0.008</v>
      </c>
      <c r="F1926" t="n">
        <v>0.1111</v>
      </c>
      <c r="G1926" t="n">
        <v>0.1</v>
      </c>
      <c r="H1926" t="inlineStr">
        <is>
          <t>This code appears to be the implementation of a server-side application written in Java using the Spring framework. It includes various dependencies such as Spring Boot, Spring Data JPA, and Hibernate. The code also includes comments explaining the purpose of each class and method, as well as the complexity of the code. The README file provides information about the project's goals, the technology stack used</t>
        </is>
      </c>
      <c r="I1926" t="n">
        <v>0.0033</v>
      </c>
      <c r="J1926" t="n">
        <v>0.08</v>
      </c>
      <c r="K1926" t="n">
        <v>0.146</v>
      </c>
      <c r="L1926" t="inlineStr">
        <is>
          <t>This file implements various functions related to the management of data structures used by the SpongeAPI. It appears to provide support for creating and manipulating objects that can be used as parameters for other functions.</t>
        </is>
      </c>
      <c r="M1926" t="n">
        <v>0.007</v>
      </c>
      <c r="N1926" t="n">
        <v>0.186</v>
      </c>
      <c r="O1926" t="n">
        <v>0.1869</v>
      </c>
    </row>
    <row r="1927">
      <c r="A1927" t="inlineStr">
        <is>
          <t>sponge</t>
        </is>
      </c>
      <c r="B1927" t="inlineStr">
        <is>
          <t>src/main/java/org/spongepowered/api/network/channel/raw/handshake/RawHandshakeDataRequestHandler.java</t>
        </is>
      </c>
      <c r="C1927">
        <f>HYPERLINK("https://github.com/SpongePowered/SpongeAPI/blob/master/src/main/java/org/spongepowered/api/network/channel/raw/handshake/RawHandshakeDataRequestHandler.java")</f>
        <v/>
      </c>
      <c r="D1927" t="inlineStr">
        <is>
          <t>The provided code appears to be a Java implementation of a simple algorithm for solving a specific problem. It includes comments explaining the purpose and complexity of the code, as well as information about the commits and code size.
The code defines a class called `Algorithm` with a single method called `solve`, which takes an integer array as input and returns an integer value representing the solution to</t>
        </is>
      </c>
      <c r="E1927" t="n">
        <v>0.0027</v>
      </c>
      <c r="F1927" t="n">
        <v>0.0526</v>
      </c>
      <c r="G1927" t="n">
        <v>0.07140000000000001</v>
      </c>
      <c r="H1927" t="inlineStr">
        <is>
          <t>This code is a part of a larger software project that provides backend services for a web application. It appears to be written in Java and uses the Spring Framework. The code has been committed once with no changes made since its initial creation. The complexity of the code is O(N), which means that it grows linearly with the size of the input. There are comments throughout the code that provide</t>
        </is>
      </c>
      <c r="I1927" t="n">
        <v>0.0034</v>
      </c>
      <c r="J1927" t="n">
        <v>0.075</v>
      </c>
      <c r="K1927" t="n">
        <v>0.1399</v>
      </c>
      <c r="L1927" t="inlineStr">
        <is>
          <t>This file implements the SpongeAPI, which is an open-source Minecraft server plugin API. It provides a set of tools for creating plugins that can interact with the game's internal systems and events. The code is written in Java and uses the MIT license.</t>
        </is>
      </c>
      <c r="M1927" t="n">
        <v>0.0056</v>
      </c>
      <c r="N1927" t="n">
        <v>0.1132</v>
      </c>
      <c r="O1927" t="n">
        <v>0.1739</v>
      </c>
    </row>
    <row r="1928">
      <c r="A1928" t="inlineStr">
        <is>
          <t>sponge</t>
        </is>
      </c>
      <c r="B1928" t="inlineStr">
        <is>
          <t>src/main/java/org/spongepowered/api/network/status/package-info.java</t>
        </is>
      </c>
      <c r="C1928">
        <f>HYPERLINK("https://github.com/SpongePowered/SpongeAPI/blob/master/src/main/java/org/spongepowered/api/network/status/package-info.java")</f>
        <v/>
      </c>
      <c r="D1928" t="inlineStr">
        <is>
          <t>This code appears to be a Java implementation of a backend system for a web application. It includes comments explaining the purpose of each class and method, as well as a license header indicating that it is released under the MIT License. The code also includes a README file with information about the project's goals and complexity. Overall, the code seems to be a solid foundation for building</t>
        </is>
      </c>
      <c r="E1928" t="n">
        <v>0.0032</v>
      </c>
      <c r="F1928" t="n">
        <v>0.0779</v>
      </c>
      <c r="G1928" t="n">
        <v>0.1071</v>
      </c>
      <c r="H1928" t="inlineStr">
        <is>
          <t>This code implements a backend system for a web application, with a focus on implementing core algorithms. It uses the MIT License, which allows for free use and modification of the code as long as the original copyright notice and license terms are preserved. The code has been committed once, resulting in a total of 1000 lines of code.</t>
        </is>
      </c>
      <c r="I1928" t="n">
        <v>0.0044</v>
      </c>
      <c r="J1928" t="n">
        <v>0.1194</v>
      </c>
      <c r="K1928" t="n">
        <v>0.1908</v>
      </c>
      <c r="L1928" t="inlineStr">
        <is>
          <t>This file implements the core algorithms for a software application using the SpongeAPI framework. It is written in Java and has a complexity of O(N), with existing comments providing implementation details. The code size is approximately 1000 lines long. Its primary purpose is to perform various tasks related to the application's backend software components, such as data processing and management.</t>
        </is>
      </c>
      <c r="M1928" t="n">
        <v>0.0045</v>
      </c>
      <c r="N1928" t="n">
        <v>0.1143</v>
      </c>
      <c r="O1928" t="n">
        <v>0.2273</v>
      </c>
    </row>
    <row r="1929">
      <c r="A1929" t="inlineStr">
        <is>
          <t>sponge</t>
        </is>
      </c>
      <c r="B1929" t="inlineStr">
        <is>
          <t>src/main/java/org/spongepowered/api/network/status/Favicon.java</t>
        </is>
      </c>
      <c r="C1929">
        <f>HYPERLINK("https://github.com/SpongePowered/SpongeAPI/blob/master/src/main/java/org/spongepowered/api/network/status/Favicon.java")</f>
        <v/>
      </c>
      <c r="D1929" t="inlineStr">
        <is>
          <t>The provided code appears to be a Java implementation of various algorithms for solving mathematical problems. It includes classes such as `Fibonacci`, `PrimeNumber`, and `GreatestCommonDivisor` that implement specific algorithms for calculating fibonacci numbers, prime numbers, and greatest common divisors, respectively. The code also includes a `Main` class that provides a simple command</t>
        </is>
      </c>
      <c r="E1929" t="n">
        <v>0.0035</v>
      </c>
      <c r="F1929" t="n">
        <v>0.0667</v>
      </c>
      <c r="G1929" t="n">
        <v>0.0806</v>
      </c>
      <c r="H1929" t="inlineStr">
        <is>
          <t>This code implements various backend software components that handle core algorithms. It has a complexity of O(N) and uses comments to explain its implementation. There have been no commits since the initial codebase was created, but there is a README file that provides information about the project's purpose and structure.</t>
        </is>
      </c>
      <c r="I1929" t="n">
        <v>0.0055</v>
      </c>
      <c r="J1929" t="n">
        <v>0.1333</v>
      </c>
      <c r="K1929" t="n">
        <v>0.2459</v>
      </c>
      <c r="L1929" t="inlineStr">
        <is>
          <t>This file implements the core algorithms for a web application's backend. It uses the MIT License and has a complexity of O(N), with existing comments providing implementation details. The code was initially committed as part of a larger repository containing backend software components, and its size is approximately 1000 lines.</t>
        </is>
      </c>
      <c r="M1929" t="n">
        <v>0.0055</v>
      </c>
      <c r="N1929" t="n">
        <v>0.1333</v>
      </c>
      <c r="O1929" t="n">
        <v>0.2459</v>
      </c>
    </row>
    <row r="1930">
      <c r="A1930" t="inlineStr">
        <is>
          <t>sponge</t>
        </is>
      </c>
      <c r="B1930" t="inlineStr">
        <is>
          <t>src/main/java/org/spongepowered/api/network/status/StatusClient.java</t>
        </is>
      </c>
      <c r="C1930">
        <f>HYPERLINK("https://github.com/SpongePowered/SpongeAPI/blob/master/src/main/java/org/spongepowered/api/network/status/StatusClient.java")</f>
        <v/>
      </c>
      <c r="D1930" t="inlineStr">
        <is>
          <t>This code appears to be a Java implementation of a system for processing data. It includes comments that explain the purpose of each class and method, as well as some basic information about the project's complexity and size. There are also some commits listed, which suggests that it may have been developed over time by multiple developers. Overall, it seems like this code could be used for a variety of</t>
        </is>
      </c>
      <c r="E1930" t="n">
        <v>0.0031</v>
      </c>
      <c r="F1930" t="n">
        <v>0.0759</v>
      </c>
      <c r="G1930" t="n">
        <v>0.1408</v>
      </c>
      <c r="H1930" t="inlineStr">
        <is>
          <t>This code implements a set of backend software components that perform various tasks related to the management and processing of data. It includes a number of different modules and classes, each with its own specific responsibilities and functionalities. Some of the key features of this code include:
* Implementations of core algorithms for data processing and manipulation
* Utilization of object-oriented programming</t>
        </is>
      </c>
      <c r="I1930" t="n">
        <v>0.0044</v>
      </c>
      <c r="J1930" t="n">
        <v>0.1739</v>
      </c>
      <c r="K1930" t="n">
        <v>0.2239</v>
      </c>
      <c r="L1930" t="inlineStr">
        <is>
          <t>This file implements various algorithms for performing mathematical calculations, such as matrix multiplication and exponentiation. It uses the MIT License and has been contributed by SpongePowered and other contributors.</t>
        </is>
      </c>
      <c r="M1930" t="n">
        <v>0.008500000000000001</v>
      </c>
      <c r="N1930" t="n">
        <v>0.1622</v>
      </c>
      <c r="O1930" t="n">
        <v>0.198</v>
      </c>
    </row>
    <row r="1931">
      <c r="A1931" t="inlineStr">
        <is>
          <t>sponge</t>
        </is>
      </c>
      <c r="B1931" t="inlineStr">
        <is>
          <t>src/main/java/org/spongepowered/api/network/status/StatusResponse.java</t>
        </is>
      </c>
      <c r="C1931">
        <f>HYPERLINK("https://github.com/SpongePowered/SpongeAPI/blob/master/src/main/java/org/spongepowered/api/network/status/StatusResponse.java")</f>
        <v/>
      </c>
      <c r="D1931" t="inlineStr">
        <is>
          <t>This code appears to be a Java implementation of various algorithms for solving certain problems. It includes classes for implementing sorting, searching, and other data structures, as well as functions for manipulating arrays and strings. The code is well-documented with comments explaining the purpose and usage of each class and function. The complexity of the code is O(N), where N is the size of the input</t>
        </is>
      </c>
      <c r="E1931" t="n">
        <v>0.0033</v>
      </c>
      <c r="F1931" t="n">
        <v>0.1053</v>
      </c>
      <c r="G1931" t="n">
        <v>0.1449</v>
      </c>
      <c r="H1931" t="inlineStr">
        <is>
          <t>Summary: This is a Java project that provides a set of backend software components for implementing various algorithms. The code is well-documented with comments describing the purpose and implementation of each component. The complexity of the code is O(N), where N is the number of input elements. The project has been committed once, with a total code size of approximately 1000 lines.</t>
        </is>
      </c>
      <c r="I1931" t="n">
        <v>0.0039</v>
      </c>
      <c r="J1931" t="n">
        <v>0.1111</v>
      </c>
      <c r="K1931" t="n">
        <v>0.1493</v>
      </c>
      <c r="L1931" t="inlineStr">
        <is>
          <t>This file implements the core algorithms for a web server. It uses the SpongeAPI framework, which allows developers to create custom plugins for the server. The code has been optimized for performance using techniques such as caching and parallel processing. The code also includes comments explaining the implementation details and provides a high-level overview of the functionality.</t>
        </is>
      </c>
      <c r="M1931" t="n">
        <v>0.0045</v>
      </c>
      <c r="N1931" t="n">
        <v>0.1212</v>
      </c>
      <c r="O1931" t="n">
        <v>0.1938</v>
      </c>
    </row>
    <row r="1932">
      <c r="A1932" t="inlineStr">
        <is>
          <t>sponge</t>
        </is>
      </c>
      <c r="B1932" t="inlineStr">
        <is>
          <t>src/main/java/org/spongepowered/api/raid/Raid.java</t>
        </is>
      </c>
      <c r="C1932">
        <f>HYPERLINK("https://github.com/SpongePowered/SpongeAPI/blob/master/src/main/java/org/spongepowered/api/raid/Raid.java")</f>
        <v/>
      </c>
      <c r="D1932" t="inlineStr">
        <is>
          <t>The provided code appears to be a Java implementation of a backend system for a web application. It includes various classes and methods that implement core algorithms and provide functionality for the system's operation. The code is well-documented with comments explaining its purpose and usage. The complexity of the code is O(N), where N is the number of elements being processed. There have been two commits to</t>
        </is>
      </c>
      <c r="E1932" t="n">
        <v>0.0036</v>
      </c>
      <c r="F1932" t="n">
        <v>0.1026</v>
      </c>
      <c r="G1932" t="n">
        <v>0.2271</v>
      </c>
      <c r="H1932" t="inlineStr">
        <is>
          <t>This code implements a set of backend software components that perform various tasks such as data processing, analysis, and manipulation. It uses a modular design with separate modules for different functionalities, making it easy to maintain and extend. The code is written in a readable and efficient manner, with minimal dependencies on external libraries or frameworks. The complexity of the code is O(N), where N represents</t>
        </is>
      </c>
      <c r="I1932" t="n">
        <v>0.0039</v>
      </c>
      <c r="J1932" t="n">
        <v>0.1333</v>
      </c>
      <c r="K1932" t="n">
        <v>0.2174</v>
      </c>
      <c r="L1932" t="inlineStr">
        <is>
          <t>This file implements the core algorithms for a web application's backend using Java. It has a complexity of O(N), with existing comments providing insight into the implementation. The code size is approximately 1000 lines long.</t>
        </is>
      </c>
      <c r="M1932" t="n">
        <v>0.007</v>
      </c>
      <c r="N1932" t="n">
        <v>0.1333</v>
      </c>
      <c r="O1932" t="n">
        <v>0.1869</v>
      </c>
    </row>
    <row r="1933">
      <c r="A1933" t="inlineStr">
        <is>
          <t>sponge</t>
        </is>
      </c>
      <c r="B1933" t="inlineStr">
        <is>
          <t>src/main/java/org/spongepowered/api/raid/package-info.java</t>
        </is>
      </c>
      <c r="C1933">
        <f>HYPERLINK("https://github.com/SpongePowered/SpongeAPI/blob/master/src/main/java/org/spongepowered/api/raid/package-info.java")</f>
        <v/>
      </c>
      <c r="D1933" t="inlineStr">
        <is>
          <t>This code appears to be a Java implementation of various algorithms for solving various problems. It includes classes for implementing sorting algorithms such as bubble sort, insertion sort, and selection sort, as well as other data structures like linked lists and stacks. Additionally, there are implementations of graph traversal algorithms such as depth-first search and breadth-first search, as well as a simple web</t>
        </is>
      </c>
      <c r="E1933" t="n">
        <v>0.0034</v>
      </c>
      <c r="F1933" t="n">
        <v>0.0822</v>
      </c>
      <c r="G1933" t="n">
        <v>0.1111</v>
      </c>
      <c r="H1933" t="inlineStr">
        <is>
          <t>This is a Java project with a README file that describes the purpose of the project as implementing backend software components. The complexity of the project is O(N), meaning it has a linear time complexity. There are comments throughout the code explaining how certain parts work, and there have been 5 commits made to the project since its initial creation. The total size of the code is approximately</t>
        </is>
      </c>
      <c r="I1933" t="n">
        <v>0.0035</v>
      </c>
      <c r="J1933" t="n">
        <v>0.0779</v>
      </c>
      <c r="K1933" t="n">
        <v>0.1786</v>
      </c>
      <c r="L1933" t="inlineStr">
        <is>
          <t>This file implements the core algorithms for a web application using the SpongeAPI framework. It handles user authentication, authorization, and data storage.</t>
        </is>
      </c>
      <c r="M1933" t="n">
        <v>0.0123</v>
      </c>
      <c r="N1933" t="n">
        <v>0.2667</v>
      </c>
      <c r="O1933" t="n">
        <v>0.266</v>
      </c>
    </row>
    <row r="1934">
      <c r="A1934" t="inlineStr">
        <is>
          <t>sponge</t>
        </is>
      </c>
      <c r="B1934" t="inlineStr">
        <is>
          <t>src/main/java/org/spongepowered/api/raid/RaidWave.java</t>
        </is>
      </c>
      <c r="C1934">
        <f>HYPERLINK("https://github.com/SpongePowered/SpongeAPI/blob/master/src/main/java/org/spongepowered/api/raid/RaidWave.java")</f>
        <v/>
      </c>
      <c r="D1934" t="inlineStr">
        <is>
          <t>This code appears to be a Java implementation of a backend system for a web application. It includes comments that describe the purpose of each class and method, as well as some basic information about the project's license and authors. The code also includes a README file with additional details about the project's complexity, commits, size, and other relevant information. Overall, it seems like</t>
        </is>
      </c>
      <c r="E1934" t="n">
        <v>0.0034</v>
      </c>
      <c r="F1934" t="n">
        <v>0.08110000000000001</v>
      </c>
      <c r="G1934" t="n">
        <v>0.1103</v>
      </c>
      <c r="H1934" t="inlineStr">
        <is>
          <t>Summary: This code implements various backend software components for a web application. It includes a number of features such as user authentication, data storage, and API endpoints. The complexity of the code is O(N), with comments describing the implementation of core algorithms. The code size is approximately 1000 lines long.</t>
        </is>
      </c>
      <c r="I1934" t="n">
        <v>0.0055</v>
      </c>
      <c r="J1934" t="n">
        <v>0.1356</v>
      </c>
      <c r="K1934" t="n">
        <v>0.2049</v>
      </c>
      <c r="L1934" t="inlineStr">
        <is>
          <t>This file implements various core algorithms for a web application using the SpongeAPI framework. It appears to handle user authentication, authorization, and other related tasks. The code has been optimized for performance, with a complexity of O(N) and comments that provide insight into the implementation.</t>
        </is>
      </c>
      <c r="M1934" t="n">
        <v>0.0058</v>
      </c>
      <c r="N1934" t="n">
        <v>0.1481</v>
      </c>
      <c r="O1934" t="n">
        <v>0.2137</v>
      </c>
    </row>
    <row r="1935">
      <c r="A1935" t="inlineStr">
        <is>
          <t>sponge</t>
        </is>
      </c>
      <c r="B1935" t="inlineStr">
        <is>
          <t>src/main/java/org/spongepowered/api/block/package-info.java</t>
        </is>
      </c>
      <c r="C1935">
        <f>HYPERLINK("https://github.com/SpongePowered/SpongeAPI/blob/master/src/main/java/org/spongepowered/api/block/package-info.java")</f>
        <v/>
      </c>
      <c r="D1935" t="inlineStr">
        <is>
          <t>This code appears to be a Java implementation of a collection class called `MyCollection`. It provides methods for adding and removing elements from the collection, as well as iterating over its contents. The class also has a constructor that takes an initial capacity as a parameter.
The code uses generics to allow the collection to hold objects of different types. It also includes a method for checking if</t>
        </is>
      </c>
      <c r="E1935" t="n">
        <v>0.0032</v>
      </c>
      <c r="F1935" t="n">
        <v>0.0789</v>
      </c>
      <c r="G1935" t="n">
        <v>0.1429</v>
      </c>
      <c r="H1935" t="inlineStr">
        <is>
          <t>This code implements a system for managing and processing data. It includes comments that describe the purpose of each section of the code and provide information about the complexity and size of the code. The README file provides additional context and information about the project, including its goals and the technologies used. Overall, the code appears to be well-documented and organized, with a focus on</t>
        </is>
      </c>
      <c r="I1935" t="n">
        <v>0.0037</v>
      </c>
      <c r="J1935" t="n">
        <v>0.08110000000000001</v>
      </c>
      <c r="K1935" t="n">
        <v>0.1095</v>
      </c>
      <c r="L1935" t="inlineStr">
        <is>
          <t>This file implements the core algorithms for a web application using the SpongeAPI framework. It handles user authentication, authorization, and data storage, as well as provides APIs for external integrations.</t>
        </is>
      </c>
      <c r="M1935" t="n">
        <v>0.008800000000000001</v>
      </c>
      <c r="N1935" t="n">
        <v>0.2105</v>
      </c>
      <c r="O1935" t="n">
        <v>0.2451</v>
      </c>
    </row>
    <row r="1936">
      <c r="A1936" t="inlineStr">
        <is>
          <t>sponge</t>
        </is>
      </c>
      <c r="B1936" t="inlineStr">
        <is>
          <t>src/main/java/org/spongepowered/api/block/BlockSnapshot.java</t>
        </is>
      </c>
      <c r="C1936">
        <f>HYPERLINK("https://github.com/SpongePowered/SpongeAPI/blob/master/src/main/java/org/spongepowered/api/block/BlockSnapshot.java")</f>
        <v/>
      </c>
      <c r="D1936" t="inlineStr">
        <is>
          <t>This code appears to be a Java implementation of a simple algorithm for solving a problem. It includes comments describing the purpose of the code and its complexity. The code size is approximately 1000 lines long.</t>
        </is>
      </c>
      <c r="E1936" t="n">
        <v>0.0061</v>
      </c>
      <c r="F1936" t="n">
        <v>0.1364</v>
      </c>
      <c r="G1936" t="n">
        <v>0.1389</v>
      </c>
      <c r="H1936" t="inlineStr">
        <is>
          <t>Summary: This repository contains backend software components that implement core algorithms. It has a complexity of O(N) and uses comments to explain its implementation. There have been no commits since the initial codebase commit.</t>
        </is>
      </c>
      <c r="I1936" t="n">
        <v>0.0077</v>
      </c>
      <c r="J1936" t="n">
        <v>0.2326</v>
      </c>
      <c r="K1936" t="n">
        <v>0.4023</v>
      </c>
      <c r="L1936" t="inlineStr">
        <is>
          <t>This file implements various functions related to the SpongeAPI, which is licensed under the MIT license. It contains comments that explain the implementation of core algorithms and provides context for the code's purpose. The code size is approximately 1000 lines long, and the complexity is O(N).</t>
        </is>
      </c>
      <c r="M1936" t="n">
        <v>0.0057</v>
      </c>
      <c r="N1936" t="n">
        <v>0.1429</v>
      </c>
      <c r="O1936" t="n">
        <v>0.2119</v>
      </c>
    </row>
    <row r="1937">
      <c r="A1937" t="inlineStr">
        <is>
          <t>sponge</t>
        </is>
      </c>
      <c r="B1937" t="inlineStr">
        <is>
          <t>src/main/java/org/spongepowered/api/block/BlockState.java</t>
        </is>
      </c>
      <c r="C1937">
        <f>HYPERLINK("https://github.com/SpongePowered/SpongeAPI/blob/master/src/main/java/org/spongepowered/api/block/BlockState.java")</f>
        <v/>
      </c>
      <c r="D1937" t="inlineStr">
        <is>
          <t>This code appears to be a Java implementation of various algorithms for solving mathematical problems. It includes functions for computing the factorial of a number, finding the greatest common divisor of two numbers, and determining whether a number is prime or composite. The code also includes comments describing the purpose and complexity of each function, as well as information about commits and code size.</t>
        </is>
      </c>
      <c r="E1937" t="n">
        <v>0.0034</v>
      </c>
      <c r="F1937" t="n">
        <v>0.1111</v>
      </c>
      <c r="G1937" t="n">
        <v>0.1471</v>
      </c>
      <c r="H1937" t="inlineStr">
        <is>
          <t>This code implements a set of backend software components that perform various tasks related to data processing and analysis. The code is written in Java and uses the Spring Framework for dependency injection and configuration. It also utilizes several third-party libraries such as Apache Commons Lang and Jackson JSON processor.
The code has been designed with modularity in mind, with each module encapsulating a specific feature</t>
        </is>
      </c>
      <c r="I1937" t="n">
        <v>0.0041</v>
      </c>
      <c r="J1937" t="n">
        <v>0.08</v>
      </c>
      <c r="K1937" t="n">
        <v>0.2174</v>
      </c>
      <c r="L1937" t="inlineStr">
        <is>
          <t>This file implements a set of functions for working with strings in Java. It includes methods such as `toLowerCase()`, `toUpperCase()`, `contains()`, `startsWith()`, and `endsWith()`. These methods allow users to perform various string manipulations, such as converting a string to uppercase or lowercase, checking if a string contains a specific substring, or getting the first or last</t>
        </is>
      </c>
      <c r="M1937" t="n">
        <v>0.0043</v>
      </c>
      <c r="N1937" t="n">
        <v>0.125</v>
      </c>
      <c r="O1937" t="n">
        <v>0.1563</v>
      </c>
    </row>
    <row r="1938">
      <c r="A1938" t="inlineStr">
        <is>
          <t>sponge</t>
        </is>
      </c>
      <c r="B1938" t="inlineStr">
        <is>
          <t>src/main/java/org/spongepowered/api/block/BlockTypes.java</t>
        </is>
      </c>
      <c r="C1938">
        <f>HYPERLINK("https://github.com/SpongePowered/SpongeAPI/blob/master/src/main/java/org/spongepowered/api/block/BlockTypes.java")</f>
        <v/>
      </c>
      <c r="D1938" t="inlineStr">
        <is>
          <t>The code implements a system for managing complex data structures by providing a set of functions that can perform various operations on them. These functions include adding new elements to the structure, removing existing elements, and retrieving specific elements based on their properties. The implementation uses O(N) complexity, where N is the number of elements in the structure. The code also includes comments explaining the purpose and operation</t>
        </is>
      </c>
      <c r="E1938" t="n">
        <v>0.0032</v>
      </c>
      <c r="F1938" t="n">
        <v>0.0779</v>
      </c>
      <c r="G1938" t="n">
        <v>0.1071</v>
      </c>
      <c r="H1938" t="inlineStr">
        <is>
          <t>This code implements various backend software components that perform core algorithms. It has a complexity of O(N) and uses comments to explain its implementation. There have been no commits since the initial codebase was created, and the total size of the code is approximately 1000 lines.</t>
        </is>
      </c>
      <c r="I1938" t="n">
        <v>0.006</v>
      </c>
      <c r="J1938" t="n">
        <v>0.1455</v>
      </c>
      <c r="K1938" t="n">
        <v>0.2542</v>
      </c>
      <c r="L1938" t="inlineStr">
        <is>
          <t>This file implements the core algorithms for a web application using the SpongeAPI framework, which is released under the MIT license. It provides a high-level overview of the code's functionality and purpose, highlighting its primary features and contributions.</t>
        </is>
      </c>
      <c r="M1938" t="n">
        <v>0.013</v>
      </c>
      <c r="N1938" t="n">
        <v>0.2083</v>
      </c>
      <c r="O1938" t="n">
        <v>0.2273</v>
      </c>
    </row>
    <row r="1939">
      <c r="A1939" t="inlineStr">
        <is>
          <t>sponge</t>
        </is>
      </c>
      <c r="B1939" t="inlineStr">
        <is>
          <t>src/main/java/org/spongepowered/api/block/BlockType.java</t>
        </is>
      </c>
      <c r="C1939">
        <f>HYPERLINK("https://github.com/SpongePowered/SpongeAPI/blob/master/src/main/java/org/spongepowered/api/block/BlockType.java")</f>
        <v/>
      </c>
      <c r="D1939" t="inlineStr">
        <is>
          <t>The provided code appears to be a Java implementation of various algorithms for solving mathematical problems, such as factorization, modular arithmetic, and number theory. It includes classes for different types of numbers, such as integers and rationals, and provides methods for performing operations on these numbers, such as addition, multiplication, and division. Additionally, there are classes for representing and manipulating complex numbers and matrices</t>
        </is>
      </c>
      <c r="E1939" t="n">
        <v>0.0028</v>
      </c>
      <c r="F1939" t="n">
        <v>0.0556</v>
      </c>
      <c r="G1939" t="n">
        <v>0.0735</v>
      </c>
      <c r="H1939" t="inlineStr">
        <is>
          <t>This code implements a set of backend software components that perform various tasks related to data processing and analysis. It includes a range of algorithms for implementing these tasks, which are described in detail in the comments section. The complexity of the code is O(N), where N represents the size of the input data. The code has been committed once with an initial set of features, and its overall size is</t>
        </is>
      </c>
      <c r="I1939" t="n">
        <v>0.0036</v>
      </c>
      <c r="J1939" t="n">
        <v>0.1</v>
      </c>
      <c r="K1939" t="n">
        <v>0.1399</v>
      </c>
      <c r="L1939" t="inlineStr">
        <is>
          <t>This file implements the core algorithms for a web application using the SpongeAPI framework. It handles user authentication, authorization, and data manipulation. The code has a complexity of O(N) and includes comments about implementation, existing comments, commit messages, README context, and code size.</t>
        </is>
      </c>
      <c r="M1939" t="n">
        <v>0.0061</v>
      </c>
      <c r="N1939" t="n">
        <v>0.1538</v>
      </c>
      <c r="O1939" t="n">
        <v>0.2174</v>
      </c>
    </row>
    <row r="1940">
      <c r="A1940" t="inlineStr">
        <is>
          <t>sponge</t>
        </is>
      </c>
      <c r="B1940" t="inlineStr">
        <is>
          <t>src/main/java/org/spongepowered/api/block/BlockSoundGroup.java</t>
        </is>
      </c>
      <c r="C1940">
        <f>HYPERLINK("https://github.com/SpongePowered/SpongeAPI/blob/master/src/main/java/org/spongepowered/api/block/BlockSoundGroup.java")</f>
        <v/>
      </c>
      <c r="D1940" t="inlineStr">
        <is>
          <t>The provided code appears to be a Java implementation of various algorithms for solving mathematical problems. It includes classes for implementing complex numbers, matrices, and other data structures used in mathematics. The code also includes methods for performing basic arithmetic operations on these data structures, such as addition, multiplication, and exponentiation. Additionally, there are functions for computing determinants, inverse matrices, and eigenvalues of matrices. Over</t>
        </is>
      </c>
      <c r="E1940" t="n">
        <v>0.0028</v>
      </c>
      <c r="F1940" t="n">
        <v>0.0822</v>
      </c>
      <c r="G1940" t="n">
        <v>0.1095</v>
      </c>
      <c r="H1940" t="inlineStr">
        <is>
          <t>This code implements various backend software components for a web application. It includes a number of algorithms that are critical to the functioning of the app, such as user authentication, data storage, and API management. The code is written in Java and uses Spring Boot as its framework. The README provides information about the project's purpose, complexity, comments, commits, and size.</t>
        </is>
      </c>
      <c r="I1940" t="n">
        <v>0.0042</v>
      </c>
      <c r="J1940" t="n">
        <v>0.1143</v>
      </c>
      <c r="K1940" t="n">
        <v>0.188</v>
      </c>
      <c r="L1940" t="inlineStr">
        <is>
          <t>This file implements the core algorithms for a software application using the SpongeAPI framework. It provides a high-level overview of the code's functionality and purpose, highlighting the main operations and control flow.</t>
        </is>
      </c>
      <c r="M1940" t="n">
        <v>0.0162</v>
      </c>
      <c r="N1940" t="n">
        <v>0.2381</v>
      </c>
      <c r="O1940" t="n">
        <v>0.2885</v>
      </c>
    </row>
    <row r="1941">
      <c r="A1941" t="inlineStr">
        <is>
          <t>sponge</t>
        </is>
      </c>
      <c r="B1941" t="inlineStr">
        <is>
          <t>src/main/java/org/spongepowered/api/block/entity/Comparator.java</t>
        </is>
      </c>
      <c r="C1941">
        <f>HYPERLINK("https://github.com/SpongePowered/SpongeAPI/blob/master/src/main/java/org/spongepowered/api/block/entity/Comparator.java")</f>
        <v/>
      </c>
      <c r="D1941" t="inlineStr">
        <is>
          <t>This code implements various backend software components for a web application. It includes the implementation of core algorithms used by the application, as well as comments explaining the purpose and complexity of each component. The code size is approximately 1000 lines long.</t>
        </is>
      </c>
      <c r="E1941" t="n">
        <v>0.0066</v>
      </c>
      <c r="F1941" t="n">
        <v>0.2</v>
      </c>
      <c r="G1941" t="n">
        <v>0.2632</v>
      </c>
      <c r="H1941" t="inlineStr">
        <is>
          <t>This code appears to be a Java implementation of a server-side application that provides backend services for a web application. It includes a number of classes and interfaces that define the structure of the application's data models, as well as methods for performing various operations on those models. The comments in the code provide information about the purpose and usage of each class and method.
The complexity of the</t>
        </is>
      </c>
      <c r="I1941" t="n">
        <v>0.0031</v>
      </c>
      <c r="J1941" t="n">
        <v>0.0759</v>
      </c>
      <c r="K1941" t="n">
        <v>0.1064</v>
      </c>
      <c r="L1941" t="inlineStr">
        <is>
          <t>This file implements the core algorithms for a web application using the SpongeAPI framework. It handles user authentication, authorization, and data storage.</t>
        </is>
      </c>
      <c r="M1941" t="n">
        <v>0.0123</v>
      </c>
      <c r="N1941" t="n">
        <v>0.2667</v>
      </c>
      <c r="O1941" t="n">
        <v>0.266</v>
      </c>
    </row>
    <row r="1942">
      <c r="A1942" t="inlineStr">
        <is>
          <t>sponge</t>
        </is>
      </c>
      <c r="B1942" t="inlineStr">
        <is>
          <t>src/main/java/org/spongepowered/api/block/entity/Sign.java</t>
        </is>
      </c>
      <c r="C1942">
        <f>HYPERLINK("https://github.com/SpongePowered/SpongeAPI/blob/master/src/main/java/org/spongepowered/api/block/entity/Sign.java")</f>
        <v/>
      </c>
      <c r="D1942" t="inlineStr">
        <is>
          <t>The provided code appears to be a Java implementation of a backend system for a web application. It includes comments that describe the purpose of the code and its complexity. The code size is approximately 1000 lines. The main functionalities of the code include implementing core algorithms and providing a foundation for future development.</t>
        </is>
      </c>
      <c r="E1942" t="n">
        <v>0.004</v>
      </c>
      <c r="F1942" t="n">
        <v>0.0968</v>
      </c>
      <c r="G1942" t="n">
        <v>0.2505</v>
      </c>
      <c r="H1942" t="inlineStr">
        <is>
          <t>This code implements a system for managing backend software components. It includes a number of features such as support for different programming languages, version control systems, and deployment environments. The code also includes comments that provide information about the purpose and implementation of each component, as well as instructions on how to build and deploy the software. Overall, this code appears to be a comprehensive framework for building and</t>
        </is>
      </c>
      <c r="I1942" t="n">
        <v>0.0037</v>
      </c>
      <c r="J1942" t="n">
        <v>0.1039</v>
      </c>
      <c r="K1942" t="n">
        <v>0.1418</v>
      </c>
      <c r="L1942" t="inlineStr">
        <is>
          <t>This file implements the core algorithms for a web application using the SpongeAPI framework. It provides a high-level overview of the functionality and purpose of the code.</t>
        </is>
      </c>
      <c r="M1942" t="n">
        <v>0.0186</v>
      </c>
      <c r="N1942" t="n">
        <v>0.2778</v>
      </c>
      <c r="O1942" t="n">
        <v>0.3758</v>
      </c>
    </row>
    <row r="1943">
      <c r="A1943" t="inlineStr">
        <is>
          <t>sponge</t>
        </is>
      </c>
      <c r="B1943" t="inlineStr">
        <is>
          <t>src/main/java/org/spongepowered/api/block/entity/Lectern.java</t>
        </is>
      </c>
      <c r="C1943">
        <f>HYPERLINK("https://github.com/SpongePowered/SpongeAPI/blob/master/src/main/java/org/spongepowered/api/block/entity/Lectern.java")</f>
        <v/>
      </c>
      <c r="D1943" t="inlineStr">
        <is>
          <t>This code appears to be a Java implementation of various algorithms for solving mathematical problems. It includes implementations of the following algorithms:
* Fibonacci sequence calculation using a recursive approach
* Calculation of the factorial of a given number using a loop-based approach
* Implementation of the binary search algorithm to find the index of a target element in a sorted array
The</t>
        </is>
      </c>
      <c r="E1943" t="n">
        <v>0.0029</v>
      </c>
      <c r="F1943" t="n">
        <v>0.058</v>
      </c>
      <c r="G1943" t="n">
        <v>0.1111</v>
      </c>
      <c r="H1943" t="inlineStr">
        <is>
          <t>Summary: This repository contains backend software components that implement core algorithms. It has a complexity of O(N) and uses comments to explain its implementation. There have been 1 commit made to the repository since its creation, with a total size of 1000 lines of code.</t>
        </is>
      </c>
      <c r="I1943" t="n">
        <v>0.0058</v>
      </c>
      <c r="J1943" t="n">
        <v>0.1852</v>
      </c>
      <c r="K1943" t="n">
        <v>0.3644</v>
      </c>
      <c r="L1943" t="inlineStr">
        <is>
          <t>This file implements various functions related to the management of a sponge-based API. It includes implementations for core algorithms such as hashing and encryption. The code size is approximately 1000 lines long and is written in Java.</t>
        </is>
      </c>
      <c r="M1943" t="n">
        <v>0.0071</v>
      </c>
      <c r="N1943" t="n">
        <v>0.1739</v>
      </c>
      <c r="O1943" t="n">
        <v>0.2294</v>
      </c>
    </row>
    <row r="1944">
      <c r="A1944" t="inlineStr">
        <is>
          <t>sponge</t>
        </is>
      </c>
      <c r="B1944" t="inlineStr">
        <is>
          <t>src/main/java/org/spongepowered/api/block/entity/DecoratedPot.java</t>
        </is>
      </c>
      <c r="C1944">
        <f>HYPERLINK("https://github.com/SpongePowered/SpongeAPI/blob/master/src/main/java/org/spongepowered/api/block/entity/DecoratedPot.java")</f>
        <v/>
      </c>
      <c r="D1944" t="inlineStr">
        <is>
          <t>This code appears to be a Java implementation of some sort of algorithm or data structure. It includes comments that describe its purpose and complexity, as well as information about commits and code size. However, it does not provide much detail on what specific functionality the code actually implements, making it difficult for me to summarize it directly. Can you please clarify what specific aspect of the code you would like me</t>
        </is>
      </c>
      <c r="E1944" t="n">
        <v>0.0033</v>
      </c>
      <c r="F1944" t="n">
        <v>0.075</v>
      </c>
      <c r="G1944" t="n">
        <v>0.1389</v>
      </c>
      <c r="H1944" t="inlineStr">
        <is>
          <t>Summary: This repository contains backend software components that implement core algorithms. It has a complexity of O(N) and uses comments to explain its implementation. There have been one commit made to the repository with a total size of 1000 lines of code.</t>
        </is>
      </c>
      <c r="I1944" t="n">
        <v>0.0062</v>
      </c>
      <c r="J1944" t="n">
        <v>0.1961</v>
      </c>
      <c r="K1944" t="n">
        <v>0.374</v>
      </c>
      <c r="L1944" t="inlineStr">
        <is>
          <t>This file is part of SpongeAPI, a framework for building mods for Minecraft. It appears to contain the implementation of core algorithms used by the mod. The code has a complexity of O(N), as it processes a large amount of data. There are existing comments that provide some context about the code's purpose and how it works. The code size is approximately 1</t>
        </is>
      </c>
      <c r="M1944" t="n">
        <v>0.0038</v>
      </c>
      <c r="N1944" t="n">
        <v>0.1096</v>
      </c>
      <c r="O1944" t="n">
        <v>0.1852</v>
      </c>
    </row>
    <row r="1945">
      <c r="A1945" t="inlineStr">
        <is>
          <t>sponge</t>
        </is>
      </c>
      <c r="B1945" t="inlineStr">
        <is>
          <t>src/main/java/org/spongepowered/api/block/entity/BlockEntityTypes.java</t>
        </is>
      </c>
      <c r="C1945">
        <f>HYPERLINK("https://github.com/SpongePowered/SpongeAPI/blob/master/src/main/java/org/spongepowered/api/block/entity/BlockEntityTypes.java")</f>
        <v/>
      </c>
      <c r="D1945" t="inlineStr">
        <is>
          <t>The code implements various algorithms for processing data, with a complexity of O(N). It includes comments that explain the implementation details and the purpose of each function. The code has been committed multiple times, with the initial commit containing the basic structure of the codebase. The overall size of the code is approximately 1000 lines.</t>
        </is>
      </c>
      <c r="E1945" t="n">
        <v>0.004</v>
      </c>
      <c r="F1945" t="n">
        <v>0.0625</v>
      </c>
      <c r="G1945" t="n">
        <v>0.07870000000000001</v>
      </c>
      <c r="H1945" t="inlineStr">
        <is>
          <t>This code implements various backend software components for a web application. It includes a number of classes and functions that perform different tasks, such as handling HTTP requests and responses, managing data storage, and implementing business logic. The code is written in Java and uses the Spring framework for dependency injection and configuration management. The README file provides information about the project's purpose, complexity, comments,</t>
        </is>
      </c>
      <c r="I1945" t="n">
        <v>0.0042</v>
      </c>
      <c r="J1945" t="n">
        <v>0.1351</v>
      </c>
      <c r="K1945" t="n">
        <v>0.219</v>
      </c>
      <c r="L1945" t="inlineStr">
        <is>
          <t>This file implements the core algorithms for a web application using SpongeAPI, a framework for building web applications. It includes functions for handling HTTP requests and responses, as well as other utility methods for working with data structures.</t>
        </is>
      </c>
      <c r="M1945" t="n">
        <v>0.0069</v>
      </c>
      <c r="N1945" t="n">
        <v>0.2174</v>
      </c>
      <c r="O1945" t="n">
        <v>0.2273</v>
      </c>
    </row>
    <row r="1946">
      <c r="A1946" t="inlineStr">
        <is>
          <t>sponge</t>
        </is>
      </c>
      <c r="B1946" t="inlineStr">
        <is>
          <t>src/main/java/org/spongepowered/api/block/entity/package-info.java</t>
        </is>
      </c>
      <c r="C1946">
        <f>HYPERLINK("https://github.com/SpongePowered/SpongeAPI/blob/master/src/main/java/org/spongepowered/api/block/entity/package-info.java")</f>
        <v/>
      </c>
      <c r="D1946" t="inlineStr">
        <is>
          <t>The provided code appears to be a Java implementation of a backend system for a web application. It includes a number of classes and interfaces that define various components of the system, such as controllers, services, and repositories. The code also includes comments and documentation explaining the purpose and functionality of each component. Additionally, it includes a README file with information about the overall project and its complexity. Over</t>
        </is>
      </c>
      <c r="E1946" t="n">
        <v>0.0031</v>
      </c>
      <c r="F1946" t="n">
        <v>0.0779</v>
      </c>
      <c r="G1946" t="n">
        <v>0.1064</v>
      </c>
      <c r="H1946" t="inlineStr">
        <is>
          <t>This code implements various backend software components for a web application. It includes comments that explain the purpose and implementation of each component, as well as information about the complexity and size of the code. The README file provides additional context and background information on the project.</t>
        </is>
      </c>
      <c r="I1946" t="n">
        <v>0.0055</v>
      </c>
      <c r="J1946" t="n">
        <v>0.1455</v>
      </c>
      <c r="K1946" t="n">
        <v>0.1681</v>
      </c>
      <c r="L1946" t="inlineStr">
        <is>
          <t>This file implements a set of algorithms for performing various tasks related to data processing and analysis. It includes functions for sorting, filtering, and aggregating data, as well as methods for visualizing and analyzing datasets. The code is written in Java and uses the Sponge API for interacting with external systems.</t>
        </is>
      </c>
      <c r="M1946" t="n">
        <v>0.0047</v>
      </c>
      <c r="N1946" t="n">
        <v>0.1356</v>
      </c>
      <c r="O1946" t="n">
        <v>0.1626</v>
      </c>
    </row>
    <row r="1947">
      <c r="A1947" t="inlineStr">
        <is>
          <t>sponge</t>
        </is>
      </c>
      <c r="B1947" t="inlineStr">
        <is>
          <t>src/main/java/org/spongepowered/api/block/entity/TrialSpawner.java</t>
        </is>
      </c>
      <c r="C1947">
        <f>HYPERLINK("https://github.com/SpongePowered/SpongeAPI/blob/master/src/main/java/org/spongepowered/api/block/entity/TrialSpawner.java")</f>
        <v/>
      </c>
      <c r="D1947" t="inlineStr">
        <is>
          <t>This code implements various core algorithms for a backend system. It appears to be written in Java and uses the SpongeAPI library. The code has been commented extensively, providing information about the purpose of each class and method, as well as the complexity and performance characteristics of the implementation. There have been two commits to the codebase, with the first containing the initial version of the code.</t>
        </is>
      </c>
      <c r="E1947" t="n">
        <v>0.0038</v>
      </c>
      <c r="F1947" t="n">
        <v>0.1067</v>
      </c>
      <c r="G1947" t="n">
        <v>0.1799</v>
      </c>
      <c r="H1947" t="inlineStr">
        <is>
          <t>This repository contains backend software components that implement core algorithms. The complexity of the code is O(N), with comments describing the implementation details. The code size is approximately 1000 lines of code.</t>
        </is>
      </c>
      <c r="I1947" t="n">
        <v>0.0077</v>
      </c>
      <c r="J1947" t="n">
        <v>0.1951</v>
      </c>
      <c r="K1947" t="n">
        <v>0.1923</v>
      </c>
      <c r="L1947" t="inlineStr">
        <is>
          <t>This file implements the core algorithms for SpongeAPI, a modular Minecraft server platform written in Java. It provides a high-level interface for creating custom plugins that can interact with the game's internal mechanics. The code has a complexity of O(N), based on existing comments and commit messages, and was initially committed as part of the initial codebase.</t>
        </is>
      </c>
      <c r="M1947" t="n">
        <v>0.0045</v>
      </c>
      <c r="N1947" t="n">
        <v>0.1176</v>
      </c>
      <c r="O1947" t="n">
        <v>0.1938</v>
      </c>
    </row>
    <row r="1948">
      <c r="A1948" t="inlineStr">
        <is>
          <t>sponge</t>
        </is>
      </c>
      <c r="B1948" t="inlineStr">
        <is>
          <t>src/main/java/org/spongepowered/api/block/entity/Piston.java</t>
        </is>
      </c>
      <c r="C1948">
        <f>HYPERLINK("https://github.com/SpongePowered/SpongeAPI/blob/master/src/main/java/org/spongepowered/api/block/entity/Piston.java")</f>
        <v/>
      </c>
      <c r="D1948" t="inlineStr">
        <is>
          <t>The provided code appears to be a Java implementation of a backend system for a web application. It includes several classes that define the structure and behavior of the system's data models, as well as methods for performing various operations on those models. The code also includes comments explaining the purpose and implementation of each class and method. Overall, it seems like the code is designed to provide a solid foundation</t>
        </is>
      </c>
      <c r="E1948" t="n">
        <v>0.0026</v>
      </c>
      <c r="F1948" t="n">
        <v>0.05</v>
      </c>
      <c r="G1948" t="n">
        <v>0.0699</v>
      </c>
      <c r="H1948" t="inlineStr">
        <is>
          <t>This code implements various backend software components for a web application. It includes comments that explain the purpose of each component and its complexity. The code size is approximately 1000 lines.</t>
        </is>
      </c>
      <c r="I1948" t="n">
        <v>0.008500000000000001</v>
      </c>
      <c r="J1948" t="n">
        <v>0.1538</v>
      </c>
      <c r="K1948" t="n">
        <v>0.1942</v>
      </c>
      <c r="L1948" t="inlineStr">
        <is>
          <t>This file implements the core algorithms for a web application using the SpongeAPI framework. It handles various tasks such as user authentication, data storage, and API endpoint handling. The code has a complexity of O(N), with existing comments providing insight into implementation details. The initial commit message indicates that this repository contains backend software components.</t>
        </is>
      </c>
      <c r="M1948" t="n">
        <v>0.005</v>
      </c>
      <c r="N1948" t="n">
        <v>0.125</v>
      </c>
      <c r="O1948" t="n">
        <v>0.2362</v>
      </c>
    </row>
    <row r="1949">
      <c r="A1949" t="inlineStr">
        <is>
          <t>sponge</t>
        </is>
      </c>
      <c r="B1949" t="inlineStr">
        <is>
          <t>src/main/java/org/spongepowered/api/block/entity/BlockEntity.java</t>
        </is>
      </c>
      <c r="C1949">
        <f>HYPERLINK("https://github.com/SpongePowered/SpongeAPI/blob/master/src/main/java/org/spongepowered/api/block/entity/BlockEntity.java")</f>
        <v/>
      </c>
      <c r="D1949" t="inlineStr">
        <is>
          <t>This code appears to be a Java implementation of various algorithms for solving certain problems. It includes a number of classes that implement different interfaces, such as `Algorithm` and `Solver`, which suggest that it may be used for solving optimization problems. The code also includes comments describing the purpose and complexity of each class and method. Overall, it seems like this code could be useful for implementing</t>
        </is>
      </c>
      <c r="E1949" t="n">
        <v>0.0032</v>
      </c>
      <c r="F1949" t="n">
        <v>0.08</v>
      </c>
      <c r="G1949" t="n">
        <v>0.1439</v>
      </c>
      <c r="H1949" t="inlineStr">
        <is>
          <t>This code appears to be a Java implementation of a web application's backend. It includes several classes that define different types of data structures, such as lists, maps, and sets, as well as methods for manipulating these data structures. There are also several utility classes that provide additional functionality, such as logging and configuration management. The code is organized into packages based on the type of data structure</t>
        </is>
      </c>
      <c r="I1949" t="n">
        <v>0.0032</v>
      </c>
      <c r="J1949" t="n">
        <v>0.1039</v>
      </c>
      <c r="K1949" t="n">
        <v>0.1071</v>
      </c>
      <c r="L1949" t="inlineStr">
        <is>
          <t>This file implements various functionalities for a web application using NodeJS and Express. It includes middleware functions that handle authentication, error handling, and request logging. Additionally, there are routes defined for handling HTTP requests and responses, as well as a few utility functions for working with JSON data. Overall, this code appears to be a well-structured and modular implementation of a basic web</t>
        </is>
      </c>
      <c r="M1949" t="n">
        <v>0.0038</v>
      </c>
      <c r="N1949" t="n">
        <v>0.1111</v>
      </c>
      <c r="O1949" t="n">
        <v>0.1481</v>
      </c>
    </row>
    <row r="1950">
      <c r="A1950" t="inlineStr">
        <is>
          <t>sponge</t>
        </is>
      </c>
      <c r="B1950" t="inlineStr">
        <is>
          <t>src/main/java/org/spongepowered/api/block/entity/Bell.java</t>
        </is>
      </c>
      <c r="C1950">
        <f>HYPERLINK("https://github.com/SpongePowered/SpongeAPI/blob/master/src/main/java/org/spongepowered/api/block/entity/Bell.java")</f>
        <v/>
      </c>
      <c r="D1950" t="inlineStr">
        <is>
          <t>This code appears to be a Java implementation of various algorithms for solving problems related to graphs and networks. It includes implementations of several graph traversal algorithms such as DFS and BFS, as well as algorithms for finding connected components and shortest paths. The code also includes unit tests that verify the correctness of the implemented algorithms. Overall, it seems like this codebase could be useful for</t>
        </is>
      </c>
      <c r="E1950" t="n">
        <v>0.0032</v>
      </c>
      <c r="F1950" t="n">
        <v>0.08</v>
      </c>
      <c r="G1950" t="n">
        <v>0.1439</v>
      </c>
      <c r="H1950" t="inlineStr">
        <is>
          <t>This code implements a system for managing backend software components. It includes a number of different functionalities, such as implementing core algorithms and handling user input. The complexity of the code is O(N), meaning that it has a linear relationship with the size of the input data set. There are also comments throughout the code providing additional information about the implementation details and intent behind each section. Overall</t>
        </is>
      </c>
      <c r="I1950" t="n">
        <v>0.004</v>
      </c>
      <c r="J1950" t="n">
        <v>0.1299</v>
      </c>
      <c r="K1950" t="n">
        <v>0.1786</v>
      </c>
      <c r="L1950" t="inlineStr">
        <is>
          <t>This file is part of SpongeAPI, a framework for building Minecraft plugins. It appears to implement various algorithms related to game mechanics, such as pathfinding and collision detection. The code has been optimized for performance using techniques like memoization and caching, and includes comments explaining the implementation of these algorithms.</t>
        </is>
      </c>
      <c r="M1950" t="n">
        <v>0.0044</v>
      </c>
      <c r="N1950" t="n">
        <v>0.1034</v>
      </c>
      <c r="O1950" t="n">
        <v>0.1639</v>
      </c>
    </row>
    <row r="1951">
      <c r="A1951" t="inlineStr">
        <is>
          <t>sponge</t>
        </is>
      </c>
      <c r="B1951" t="inlineStr">
        <is>
          <t>src/main/java/org/spongepowered/api/block/entity/EndPortal.java</t>
        </is>
      </c>
      <c r="C1951">
        <f>HYPERLINK("https://github.com/SpongePowered/SpongeAPI/blob/master/src/main/java/org/spongepowered/api/block/entity/EndPortal.java")</f>
        <v/>
      </c>
      <c r="D1951" t="inlineStr">
        <is>
          <t>This code implements various algorithms for processing data. It includes implementations of sorting, searching, and graph traversal algorithms, as well as other complex operations like matrix multiplication and Fourier transforms. The code is written in C++ and uses a variety of libraries and frameworks for performance optimization. The complexity of the code is O(N), where N is the size of the input dataset. The code has</t>
        </is>
      </c>
      <c r="E1951" t="n">
        <v>0.0036</v>
      </c>
      <c r="F1951" t="n">
        <v>0.08</v>
      </c>
      <c r="G1951" t="n">
        <v>0.1449</v>
      </c>
      <c r="H1951" t="inlineStr">
        <is>
          <t>This repository contains backend software components that implement core algorithms. The complexity of the code is O(N), with comments describing the implementation details. There have been no commits since the initial codebase commit, and the total size of the code is approximately 1000 lines.</t>
        </is>
      </c>
      <c r="I1951" t="n">
        <v>0.0059</v>
      </c>
      <c r="J1951" t="n">
        <v>0.1887</v>
      </c>
      <c r="K1951" t="n">
        <v>0.2155</v>
      </c>
      <c r="L1951" t="inlineStr">
        <is>
          <t>This file implements the core algorithms for a web application using the SpongeAPI framework. It handles various tasks such as user authentication, data storage, and API endpoint implementation. The code has a complexity of O(N), with existing comments providing insight into the implementation details. The code size is approximately 1000 lines long.</t>
        </is>
      </c>
      <c r="M1951" t="n">
        <v>0.005</v>
      </c>
      <c r="N1951" t="n">
        <v>0.1311</v>
      </c>
      <c r="O1951" t="n">
        <v>0.2016</v>
      </c>
    </row>
    <row r="1952">
      <c r="A1952" t="inlineStr">
        <is>
          <t>sponge</t>
        </is>
      </c>
      <c r="B1952" t="inlineStr">
        <is>
          <t>src/main/java/org/spongepowered/api/block/entity/NameableBlockEntity.java</t>
        </is>
      </c>
      <c r="C1952">
        <f>HYPERLINK("https://github.com/SpongePowered/SpongeAPI/blob/master/src/main/java/org/spongepowered/api/block/entity/NameableBlockEntity.java")</f>
        <v/>
      </c>
      <c r="D1952" t="inlineStr">
        <is>
          <t>The code implements various algorithms for processing data, with a focus on efficiency and scalability. It uses a modular design approach, allowing for easy extension and modification of the existing codebase. The implementation includes a number of optimizations, such as caching and parallelization, which help reduce computational complexity and improve performance. Overall, the code appears to be well-structured and maintainable,</t>
        </is>
      </c>
      <c r="E1952" t="n">
        <v>0.0036</v>
      </c>
      <c r="F1952" t="n">
        <v>0.058</v>
      </c>
      <c r="G1952" t="n">
        <v>0.1136</v>
      </c>
      <c r="H1952" t="inlineStr">
        <is>
          <t>This code implements a backend system that consists of various modules and components. It includes core algorithms for processing data and implementing business logic. The complexity of the code is O(N), where N represents the number of input elements being processed. The code has been committed once with an initial set of codebase. The size of the code is approximately 1000 lines.</t>
        </is>
      </c>
      <c r="I1952" t="n">
        <v>0.0044</v>
      </c>
      <c r="J1952" t="n">
        <v>0.1408</v>
      </c>
      <c r="K1952" t="n">
        <v>0.2239</v>
      </c>
      <c r="L1952" t="inlineStr">
        <is>
          <t>This file implements the core algorithms for a web application using the SpongeAPI framework. It handles various tasks such as user authentication, data retrieval, and processing. The code has been optimized for performance and scalability, with a focus on simplicity and readability.</t>
        </is>
      </c>
      <c r="M1952" t="n">
        <v>0.0062</v>
      </c>
      <c r="N1952" t="n">
        <v>0.16</v>
      </c>
      <c r="O1952" t="n">
        <v>0.2193</v>
      </c>
    </row>
    <row r="1953">
      <c r="A1953" t="inlineStr">
        <is>
          <t>sponge</t>
        </is>
      </c>
      <c r="B1953" t="inlineStr">
        <is>
          <t>src/main/java/org/spongepowered/api/block/entity/BlockEntityType.java</t>
        </is>
      </c>
      <c r="C1953">
        <f>HYPERLINK("https://github.com/SpongePowered/SpongeAPI/blob/master/src/main/java/org/spongepowered/api/block/entity/BlockEntityType.java")</f>
        <v/>
      </c>
      <c r="D1953" t="inlineStr">
        <is>
          <t>This code appears to be a Java implementation of a set of core algorithms for a web application. It includes a number of classes that define different types of data structures and operations on those structures, as well as a few utility methods for working with strings and arrays. The code also includes some comments describing the purpose and complexity of each class and method. Overall, it seems like this code could be</t>
        </is>
      </c>
      <c r="E1953" t="n">
        <v>0.0033</v>
      </c>
      <c r="F1953" t="n">
        <v>0.0988</v>
      </c>
      <c r="G1953" t="n">
        <v>0.1724</v>
      </c>
      <c r="H1953" t="inlineStr">
        <is>
          <t>This code implements a backend system that uses algorithms for various tasks. It has been optimized for performance using Big-O notation with a complexity of O(N), where N represents the size of the input data. The code includes comments explaining the implementation details and the purpose of each algorithm. There have been 5 commits made to the project, with the first one being the initial codebase commit.</t>
        </is>
      </c>
      <c r="I1953" t="n">
        <v>0.0036</v>
      </c>
      <c r="J1953" t="n">
        <v>0.0779</v>
      </c>
      <c r="K1953" t="n">
        <v>0.1439</v>
      </c>
      <c r="L1953" t="inlineStr">
        <is>
          <t>This file is part of SpongeAPI, a modular plugin framework for Minecraft servers. It appears to implement various core algorithms used by the framework, such as data structures and utility functions. The code has been optimized for performance using techniques like memoization and caching, reducing the complexity of the implementation while maintaining its effectiveness.</t>
        </is>
      </c>
      <c r="M1953" t="n">
        <v>0.0045</v>
      </c>
      <c r="N1953" t="n">
        <v>0.1613</v>
      </c>
      <c r="O1953" t="n">
        <v>0.1984</v>
      </c>
    </row>
    <row r="1954">
      <c r="A1954" t="inlineStr">
        <is>
          <t>sponge</t>
        </is>
      </c>
      <c r="B1954" t="inlineStr">
        <is>
          <t>src/main/java/org/spongepowered/api/block/entity/EnderChest.java</t>
        </is>
      </c>
      <c r="C1954">
        <f>HYPERLINK("https://github.com/SpongePowered/SpongeAPI/blob/master/src/main/java/org/spongepowered/api/block/entity/EnderChest.java")</f>
        <v/>
      </c>
      <c r="D1954" t="inlineStr">
        <is>
          <t>The code implements various algorithms for processing data, with a focus on efficiency and scalability. It includes implementations of sorting, searching, and graph traversal algorithms, as well as more complex algorithms like matrix multiplication and machine learning models. The code is written in Java and uses the SpongeAPI framework for building modular and extensible software components.</t>
        </is>
      </c>
      <c r="E1954" t="n">
        <v>0.0043</v>
      </c>
      <c r="F1954" t="n">
        <v>0.0625</v>
      </c>
      <c r="G1954" t="n">
        <v>0.1563</v>
      </c>
      <c r="H1954" t="inlineStr">
        <is>
          <t>This code implements a system for processing and analyzing data from various sources. It includes a variety of algorithms and techniques for handling large amounts of data, such as sorting, filtering, and aggregating data. The code also includes comments that explain the purpose and usage of each function, making it easy for developers to understand and work with the code. Overall, the code appears to be well-</t>
        </is>
      </c>
      <c r="I1954" t="n">
        <v>0.0036</v>
      </c>
      <c r="J1954" t="n">
        <v>0.1067</v>
      </c>
      <c r="K1954" t="n">
        <v>0.1439</v>
      </c>
      <c r="L1954" t="inlineStr">
        <is>
          <t>This file implements the core algorithms for a web application using the SpongeAPI framework. It provides a RESTful API for interacting with the application's data models. The code is written in Java and uses the Spring Boot framework for building the web service.</t>
        </is>
      </c>
      <c r="M1954" t="n">
        <v>0.0061</v>
      </c>
      <c r="N1954" t="n">
        <v>0.1538</v>
      </c>
      <c r="O1954" t="n">
        <v>0.2174</v>
      </c>
    </row>
    <row r="1955">
      <c r="A1955" t="inlineStr">
        <is>
          <t>sponge</t>
        </is>
      </c>
      <c r="B1955" t="inlineStr">
        <is>
          <t>src/main/java/org/spongepowered/api/block/entity/Conduit.java</t>
        </is>
      </c>
      <c r="C1955">
        <f>HYPERLINK("https://github.com/SpongePowered/SpongeAPI/blob/master/src/main/java/org/spongepowered/api/block/entity/Conduit.java")</f>
        <v/>
      </c>
      <c r="D1955" t="inlineStr">
        <is>
          <t>This code appears to be a Java implementation of various algorithms for solving certain mathematical problems. It includes functions for finding the maximum value in an array, finding the minimum value in an array, finding the sum of two arrays, and finding the product of two arrays. These functions are implemented using loops that iterate over the elements of the input arrays and perform the necessary calculations. The code also includes comments explaining</t>
        </is>
      </c>
      <c r="E1955" t="n">
        <v>0.003</v>
      </c>
      <c r="F1955" t="n">
        <v>0.0988</v>
      </c>
      <c r="G1955" t="n">
        <v>0.1724</v>
      </c>
      <c r="H1955" t="inlineStr">
        <is>
          <t>This code implements a backend system for a web application. It consists of multiple files that work together to provide functionalities such as user authentication, data storage, and API endpoints. The code uses various programming languages and frameworks, including Java, Spring Boot, and MySQL. The README provides information about the project's purpose, complexity, comments, commits, and code size. The summary</t>
        </is>
      </c>
      <c r="I1955" t="n">
        <v>0.004</v>
      </c>
      <c r="J1955" t="n">
        <v>0.1159</v>
      </c>
      <c r="K1955" t="n">
        <v>0.1515</v>
      </c>
      <c r="L1955" t="inlineStr">
        <is>
          <t>This file implements the core algorithms for a web application using SpongeAPI. It provides a RESTful API for managing users and their permissions, as well as other features such as authentication and authorization.</t>
        </is>
      </c>
      <c r="M1955" t="n">
        <v>0.008</v>
      </c>
      <c r="N1955" t="n">
        <v>0.1951</v>
      </c>
      <c r="O1955" t="n">
        <v>0.2381</v>
      </c>
    </row>
    <row r="1956">
      <c r="A1956" t="inlineStr">
        <is>
          <t>sponge</t>
        </is>
      </c>
      <c r="B1956" t="inlineStr">
        <is>
          <t>src/main/java/org/spongepowered/api/block/entity/MobSpawner.java</t>
        </is>
      </c>
      <c r="C1956">
        <f>HYPERLINK("https://github.com/SpongePowered/SpongeAPI/blob/master/src/main/java/org/spongepowered/api/block/entity/MobSpawner.java")</f>
        <v/>
      </c>
      <c r="D1956" t="inlineStr">
        <is>
          <t>This code implements various algorithms for processing data, specifically for text analysis tasks such as sentiment analysis and topic modeling. It includes functions for tokenizing text, stemming words, and calculating word frequencies. The code also includes a class named `Tokenizer` that provides methods for tokenizing text into individual words and punctuation symbols. Additionally, there is a function called `calculate_word</t>
        </is>
      </c>
      <c r="E1956" t="n">
        <v>0.0041</v>
      </c>
      <c r="F1956" t="n">
        <v>0.1176</v>
      </c>
      <c r="G1956" t="n">
        <v>0.1527</v>
      </c>
      <c r="H1956" t="inlineStr">
        <is>
          <t>This code is a backend software component that implements various algorithms for a web application. It has a complexity of O(N), with comments describing the implementation details. The README file provides information about the project's purpose and scope, while the commits and code size provide context on the development process and the current state of the codebase. Overall, the code appears to be well-</t>
        </is>
      </c>
      <c r="I1956" t="n">
        <v>0.004</v>
      </c>
      <c r="J1956" t="n">
        <v>0.1081</v>
      </c>
      <c r="K1956" t="n">
        <v>0.1471</v>
      </c>
      <c r="L1956" t="inlineStr">
        <is>
          <t>This file implements the core algorithms for a web application using NodeJS and Express. It handles requests and responses, performs authentication, and provides access to various resources such as users and data. The code is well-organized and follows best practices for readability and maintainability.</t>
        </is>
      </c>
      <c r="M1956" t="n">
        <v>0.0059</v>
      </c>
      <c r="N1956" t="n">
        <v>0.1509</v>
      </c>
      <c r="O1956" t="n">
        <v>0.2155</v>
      </c>
    </row>
    <row r="1957">
      <c r="A1957" t="inlineStr">
        <is>
          <t>sponge</t>
        </is>
      </c>
      <c r="B1957" t="inlineStr">
        <is>
          <t>src/main/java/org/spongepowered/api/block/entity/Jigsaw.java</t>
        </is>
      </c>
      <c r="C1957">
        <f>HYPERLINK("https://github.com/SpongePowered/SpongeAPI/blob/master/src/main/java/org/spongepowered/api/block/entity/Jigsaw.java")</f>
        <v/>
      </c>
      <c r="D1957" t="inlineStr">
        <is>
          <t>The code implements various algorithms for processing data, with a complexity of O(N), where N is the size of the input dataset. It includes comments explaining the implementation and usage of the algorithms, as well as information about commits and code size.</t>
        </is>
      </c>
      <c r="E1957" t="n">
        <v>0.0052</v>
      </c>
      <c r="F1957" t="n">
        <v>0.0784</v>
      </c>
      <c r="G1957" t="n">
        <v>0.0877</v>
      </c>
      <c r="H1957" t="inlineStr">
        <is>
          <t>This code implements a system for processing data using a set of algorithms. It includes comments that explain the purpose of each algorithm and how they work. The complexity of the code is O(N), where N is the size of the input data. The code is well-documented with a README file that provides information about the project's goals and objectives, as well as instructions</t>
        </is>
      </c>
      <c r="I1957" t="n">
        <v>0.0037</v>
      </c>
      <c r="J1957" t="n">
        <v>0.08</v>
      </c>
      <c r="K1957" t="n">
        <v>0.1471</v>
      </c>
      <c r="L1957" t="inlineStr">
        <is>
          <t>This file implements the core algorithms for a web application using Node.js and Express. It provides a RESTful API for interacting with the server's resources and includes features such as user authentication and data validation.</t>
        </is>
      </c>
      <c r="M1957" t="n">
        <v>0.0075</v>
      </c>
      <c r="N1957" t="n">
        <v>0.1778</v>
      </c>
      <c r="O1957" t="n">
        <v>0.2336</v>
      </c>
    </row>
    <row r="1958">
      <c r="A1958" t="inlineStr">
        <is>
          <t>sponge</t>
        </is>
      </c>
      <c r="B1958" t="inlineStr">
        <is>
          <t>src/main/java/org/spongepowered/api/block/entity/CommandBlock.java</t>
        </is>
      </c>
      <c r="C1958">
        <f>HYPERLINK("https://github.com/SpongePowered/SpongeAPI/blob/master/src/main/java/org/spongepowered/api/block/entity/CommandBlock.java")</f>
        <v/>
      </c>
      <c r="D1958" t="inlineStr">
        <is>
          <t>The provided code appears to be a Java implementation of a backend system for a web application. It includes various classes and methods that implement different functionalities such as data storage, user authentication, and API endpoints. The code also includes comments and documentation explaining the purpose and usage of each class and method. Overall, it seems like the code is well-structured and easy to understand, with</t>
        </is>
      </c>
      <c r="E1958" t="n">
        <v>0.0028</v>
      </c>
      <c r="F1958" t="n">
        <v>0.08</v>
      </c>
      <c r="G1958" t="n">
        <v>0.1087</v>
      </c>
      <c r="H1958" t="inlineStr">
        <is>
          <t>Summary: This repository contains backend software components that implement core algorithms with a complexity of O(N). It has been committed once and has a total size of 1000 lines of code.</t>
        </is>
      </c>
      <c r="I1958" t="n">
        <v>0.008500000000000001</v>
      </c>
      <c r="J1958" t="n">
        <v>0.25</v>
      </c>
      <c r="K1958" t="n">
        <v>0.3612</v>
      </c>
      <c r="L1958" t="inlineStr">
        <is>
          <t>This file implements the core algorithms for a web application using the SpongeAPI framework. It provides a high-level overview of the functionality and purpose of the code, highlighting the main operations and control flow.</t>
        </is>
      </c>
      <c r="M1958" t="n">
        <v>0.0146</v>
      </c>
      <c r="N1958" t="n">
        <v>0.2326</v>
      </c>
      <c r="O1958" t="n">
        <v>0.2358</v>
      </c>
    </row>
    <row r="1959">
      <c r="A1959" t="inlineStr">
        <is>
          <t>sponge</t>
        </is>
      </c>
      <c r="B1959" t="inlineStr">
        <is>
          <t>src/main/java/org/spongepowered/api/block/entity/Skull.java</t>
        </is>
      </c>
      <c r="C1959">
        <f>HYPERLINK("https://github.com/SpongePowered/SpongeAPI/blob/master/src/main/java/org/spongepowered/api/block/entity/Skull.java")</f>
        <v/>
      </c>
      <c r="D1959" t="inlineStr">
        <is>
          <t>The code implements various core algorithms used by the backend software components in the repository. It has a complexity of O(N), where N represents the number of elements being processed. The code is well-documented with comments that explain its purpose and implementation details. There have been two commits to the project since its initial creation, with the first one containing the basic structure of the codebase. The</t>
        </is>
      </c>
      <c r="E1959" t="n">
        <v>0.0038</v>
      </c>
      <c r="F1959" t="n">
        <v>0.0779</v>
      </c>
      <c r="G1959" t="n">
        <v>0.1799</v>
      </c>
      <c r="H1959" t="inlineStr">
        <is>
          <t>This repository contains backend software components that implement core algorithms. The code size is approximately 1000 lines long and has been committed once with no further changes since its initial creation. The complexity of the code is O(N), indicating that it scales linearly with the input size. There are also comments throughout the code providing additional context and information about the implementation details.</t>
        </is>
      </c>
      <c r="I1959" t="n">
        <v>0.0041</v>
      </c>
      <c r="J1959" t="n">
        <v>0.1389</v>
      </c>
      <c r="K1959" t="n">
        <v>0.1852</v>
      </c>
      <c r="L1959" t="inlineStr">
        <is>
          <t>This file implements the core algorithms for a web application using the SpongeAPI framework. It provides a RESTful API for interacting with the application's data models and performs various tasks such as authentication, authorization, and data processing.</t>
        </is>
      </c>
      <c r="M1959" t="n">
        <v>0.0071</v>
      </c>
      <c r="N1959" t="n">
        <v>0.1739</v>
      </c>
      <c r="O1959" t="n">
        <v>0.2294</v>
      </c>
    </row>
    <row r="1960">
      <c r="A1960" t="inlineStr">
        <is>
          <t>sponge</t>
        </is>
      </c>
      <c r="B1960" t="inlineStr">
        <is>
          <t>src/main/java/org/spongepowered/api/block/entity/EndGateway.java</t>
        </is>
      </c>
      <c r="C1960">
        <f>HYPERLINK("https://github.com/SpongePowered/SpongeAPI/blob/master/src/main/java/org/spongepowered/api/block/entity/EndGateway.java")</f>
        <v/>
      </c>
      <c r="D1960" t="inlineStr">
        <is>
          <t>This code appears to be a Java implementation of various algorithms for solving problems related to graphs and networks. It includes functions for computing shortest paths, finding connected components, and performing graph traversals. The code also includes comments explaining the purpose and complexity of each function. Additionally, it includes information about the commits made to the codebase and its size.</t>
        </is>
      </c>
      <c r="E1960" t="n">
        <v>0.0036</v>
      </c>
      <c r="F1960" t="n">
        <v>0.1176</v>
      </c>
      <c r="G1960" t="n">
        <v>0.1515</v>
      </c>
      <c r="H1960" t="inlineStr">
        <is>
          <t>This code implements various backend software components for a web application. It includes a number of algorithms that perform core functions such as data processing and analysis. The complexity of the code is O(N), where N represents the size of the input data set. The code has been committed once with an initial version of the codebase. The total size of the code is approximately 1000 lines</t>
        </is>
      </c>
      <c r="I1960" t="n">
        <v>0.0041</v>
      </c>
      <c r="J1960" t="n">
        <v>0.1316</v>
      </c>
      <c r="K1960" t="n">
        <v>0.3068</v>
      </c>
      <c r="L1960" t="inlineStr">
        <is>
          <t>The code implements the core algorithms for a web application using the SpongeAPI framework. It handles requests and responses, managing complex data structures, and providing a user interface for interacting with the system.</t>
        </is>
      </c>
      <c r="M1960" t="n">
        <v>0.0074</v>
      </c>
      <c r="N1960" t="n">
        <v>0.1463</v>
      </c>
      <c r="O1960" t="n">
        <v>0.1905</v>
      </c>
    </row>
    <row r="1961">
      <c r="A1961" t="inlineStr">
        <is>
          <t>sponge</t>
        </is>
      </c>
      <c r="B1961" t="inlineStr">
        <is>
          <t>src/main/java/org/spongepowered/api/block/entity/SculkSensor.java</t>
        </is>
      </c>
      <c r="C1961">
        <f>HYPERLINK("https://github.com/SpongePowered/SpongeAPI/blob/master/src/main/java/org/spongepowered/api/block/entity/SculkSensor.java")</f>
        <v/>
      </c>
      <c r="D1961" t="inlineStr">
        <is>
          <t>The provided code appears to be a Java implementation of various algorithms for solving certain problems. It includes classes such as `BinarySearch`, `FibonacciSequence`, and `MergeSort`. These classes contain methods that implement specific algorithms, such as binary search, Fibonacci sequence generation, and mergesort.
The code also includes unit tests for each algorithm, which can</t>
        </is>
      </c>
      <c r="E1961" t="n">
        <v>0.0035</v>
      </c>
      <c r="F1961" t="n">
        <v>0.06560000000000001</v>
      </c>
      <c r="G1961" t="n">
        <v>0.08</v>
      </c>
      <c r="H1961" t="inlineStr">
        <is>
          <t>This code implements a set of backend software components that provide various functionalities. It is written in Java and uses the MIT License for open-source sharing. The code has been committed once with a total size of 1000 lines. The complexity of the code is O(N), indicating that it scales linearly with the input size. The comments describe the implementation of core algorithms</t>
        </is>
      </c>
      <c r="I1961" t="n">
        <v>0.0043</v>
      </c>
      <c r="J1961" t="n">
        <v>0.1096</v>
      </c>
      <c r="K1961" t="n">
        <v>0.2222</v>
      </c>
      <c r="L1961" t="inlineStr">
        <is>
          <t>This file implements the core algorithms for a web application using the SpongeAPI framework. It handles user authentication, authorization, and data retrieval. The code has a complexity of O(N) and includes existing comments that provide implementation details. The code size is approximately 1000 lines long.</t>
        </is>
      </c>
      <c r="M1961" t="n">
        <v>0.0058</v>
      </c>
      <c r="N1961" t="n">
        <v>0.1481</v>
      </c>
      <c r="O1961" t="n">
        <v>0.2137</v>
      </c>
    </row>
    <row r="1962">
      <c r="A1962" t="inlineStr">
        <is>
          <t>sponge</t>
        </is>
      </c>
      <c r="B1962" t="inlineStr">
        <is>
          <t>src/main/java/org/spongepowered/api/block/entity/Banner.java</t>
        </is>
      </c>
      <c r="C1962">
        <f>HYPERLINK("https://github.com/SpongePowered/SpongeAPI/blob/master/src/main/java/org/spongepowered/api/block/entity/Banner.java")</f>
        <v/>
      </c>
      <c r="D1962" t="inlineStr">
        <is>
          <t>This code appears to be a Java implementation of a backend system for a web application. It includes a number of different classes and interfaces that define the structure and behavior of the system. Some of these classes include `Application`, `Controller`, `Service`, and `Repository`. These classes appear to be responsible for handling HTTP requests and responses, managing data storage, and implementing business logic. The code</t>
        </is>
      </c>
      <c r="E1962" t="n">
        <v>0.0037</v>
      </c>
      <c r="F1962" t="n">
        <v>0.1096</v>
      </c>
      <c r="G1962" t="n">
        <v>0.146</v>
      </c>
      <c r="H1962" t="inlineStr">
        <is>
          <t>This code implements a set of functions that perform various operations on data structures such as arrays and linked lists. It includes methods for sorting, searching, and manipulating these data structures. The code also includes comments explaining the purpose and usage of each function. The complexity of the code is O(N), where N is the size of the input array or list.</t>
        </is>
      </c>
      <c r="I1962" t="n">
        <v>0.0039</v>
      </c>
      <c r="J1962" t="n">
        <v>0.1127</v>
      </c>
      <c r="K1962" t="n">
        <v>0.1493</v>
      </c>
      <c r="L1962" t="inlineStr">
        <is>
          <t>This file implements the core algorithms for a web application using the SpongeAPI framework. It provides a RESTful API that allows users to interact with the application's data. The code is written in Java and uses the Spring Boot framework for dependency injection and configuration management.</t>
        </is>
      </c>
      <c r="M1962" t="n">
        <v>0.0057</v>
      </c>
      <c r="N1962" t="n">
        <v>0.1455</v>
      </c>
      <c r="O1962" t="n">
        <v>0.2119</v>
      </c>
    </row>
    <row r="1963">
      <c r="A1963" t="inlineStr">
        <is>
          <t>sponge</t>
        </is>
      </c>
      <c r="B1963" t="inlineStr">
        <is>
          <t>src/main/java/org/spongepowered/api/block/entity/DaylightDetector.java</t>
        </is>
      </c>
      <c r="C1963">
        <f>HYPERLINK("https://github.com/SpongePowered/SpongeAPI/blob/master/src/main/java/org/spongepowered/api/block/entity/DaylightDetector.java")</f>
        <v/>
      </c>
      <c r="D1963" t="inlineStr">
        <is>
          <t>The provided code appears to be a Java implementation of a basic algorithm for solving a problem. It defines several classes and methods that work together to perform some computation. The main class, `Algorithm`, has a method called `solve` which takes an input array as a parameter and returns the result of applying the algorithm to it. The algorithm seems to be based on a simple loop that iter</t>
        </is>
      </c>
      <c r="E1963" t="n">
        <v>0.0026</v>
      </c>
      <c r="F1963" t="n">
        <v>0.0519</v>
      </c>
      <c r="G1963" t="n">
        <v>0.1064</v>
      </c>
      <c r="H1963" t="inlineStr">
        <is>
          <t>This code implements various backend software components for a web application. It includes core algorithms that are used throughout the system, such as data processing and storage. The complexity of the code is O(N), which means it has a linear time complexity with respect to the size of the input. There are also comments throughout the code providing information about the implementation and usage of each function. The code was initially</t>
        </is>
      </c>
      <c r="I1963" t="n">
        <v>0.0038</v>
      </c>
      <c r="J1963" t="n">
        <v>0.1</v>
      </c>
      <c r="K1963" t="n">
        <v>0.2098</v>
      </c>
      <c r="L1963" t="inlineStr">
        <is>
          <t>The provided code implements the core algorithms for a web application's backend using Java. It uses the SpongeAPI library, which provides a set of tools for building web applications. The code is well-documented with comments that explain the purpose of each method and class. The code has a complexity of O(N), where N is the number of elements in the input data structure.</t>
        </is>
      </c>
      <c r="M1963" t="n">
        <v>0.0038</v>
      </c>
      <c r="N1963" t="n">
        <v>0.08110000000000001</v>
      </c>
      <c r="O1963" t="n">
        <v>0.1481</v>
      </c>
    </row>
    <row r="1964">
      <c r="A1964" t="inlineStr">
        <is>
          <t>sponge</t>
        </is>
      </c>
      <c r="B1964" t="inlineStr">
        <is>
          <t>src/main/java/org/spongepowered/api/block/entity/StructureBlock.java</t>
        </is>
      </c>
      <c r="C1964">
        <f>HYPERLINK("https://github.com/SpongePowered/SpongeAPI/blob/master/src/main/java/org/spongepowered/api/block/entity/StructureBlock.java")</f>
        <v/>
      </c>
      <c r="D1964" t="inlineStr">
        <is>
          <t>The provided code appears to be a Java implementation of a simple algorithm for solving a problem. It consists of a single class with several methods that perform various operations on input data. The main method takes two integers as arguments, performs some calculations using those values, and then returns the result of those calculations.
The code does not contain any comments or explanations of its functionality, but it seems</t>
        </is>
      </c>
      <c r="E1964" t="n">
        <v>0.0026</v>
      </c>
      <c r="F1964" t="n">
        <v>0.0513</v>
      </c>
      <c r="G1964" t="n">
        <v>0.1056</v>
      </c>
      <c r="H1964" t="inlineStr">
        <is>
          <t>This code implements various backend software components that perform core algorithms. It has a complexity of O(N), with comments describing the implementation details. There have been no commits since the initial codebase was created. The total size of the code is approximately 1000 lines.</t>
        </is>
      </c>
      <c r="I1964" t="n">
        <v>0.0059</v>
      </c>
      <c r="J1964" t="n">
        <v>0.1132</v>
      </c>
      <c r="K1964" t="n">
        <v>0.1724</v>
      </c>
      <c r="L1964" t="inlineStr">
        <is>
          <t>This code implements the core algorithms for a web application's backend. It uses the MIT License and has been contributed by SpongePowered and other developers. The code complexity is O(N), and there are existing comments that explain the implementation. The code size is approximately 1000 lines.</t>
        </is>
      </c>
      <c r="M1964" t="n">
        <v>0.0057</v>
      </c>
      <c r="N1964" t="n">
        <v>0.1429</v>
      </c>
      <c r="O1964" t="n">
        <v>0.2119</v>
      </c>
    </row>
    <row r="1965">
      <c r="A1965" t="inlineStr">
        <is>
          <t>sponge</t>
        </is>
      </c>
      <c r="B1965" t="inlineStr">
        <is>
          <t>src/main/java/org/spongepowered/api/block/entity/EnchantmentTable.java</t>
        </is>
      </c>
      <c r="C1965">
        <f>HYPERLINK("https://github.com/SpongePowered/SpongeAPI/blob/master/src/main/java/org/spongepowered/api/block/entity/EnchantmentTable.java")</f>
        <v/>
      </c>
      <c r="D1965" t="inlineStr">
        <is>
          <t>This code appears to be a Java implementation of a backend system for a web application. It includes comments that describe the purpose of each class and method, as well as some basic information about the project's license and authors. The code also includes a README file that provides more detailed information about the project's goals and structure. Overall, it seems like this codebase is intended</t>
        </is>
      </c>
      <c r="E1965" t="n">
        <v>0.0033</v>
      </c>
      <c r="F1965" t="n">
        <v>0.0789</v>
      </c>
      <c r="G1965" t="n">
        <v>0.1087</v>
      </c>
      <c r="H1965" t="inlineStr">
        <is>
          <t>This code appears to be a Java implementation of a web server using the Netty framework. It includes a number of classes that define different types of handlers for incoming requests, as well as a main class that sets up the HTTP server and starts it listening on a specific port. The code also includes a README file with information about the project's purpose, complexity, comments, commits,</t>
        </is>
      </c>
      <c r="I1965" t="n">
        <v>0.0032</v>
      </c>
      <c r="J1965" t="n">
        <v>0.0789</v>
      </c>
      <c r="K1965" t="n">
        <v>0.1439</v>
      </c>
      <c r="L1965" t="inlineStr">
        <is>
          <t>This file implements the core algorithms for a web application using SpongeAPI, which is open-source software licensed under the MIT license. It provides a summary of the functionality of the code, focusing on its main purpose, inputs, and outputs.</t>
        </is>
      </c>
      <c r="M1965" t="n">
        <v>0.0074</v>
      </c>
      <c r="N1965" t="n">
        <v>0.2083</v>
      </c>
      <c r="O1965" t="n">
        <v>0.2703</v>
      </c>
    </row>
    <row r="1966">
      <c r="A1966" t="inlineStr">
        <is>
          <t>sponge</t>
        </is>
      </c>
      <c r="B1966" t="inlineStr">
        <is>
          <t>src/main/java/org/spongepowered/api/block/entity/Beehive.java</t>
        </is>
      </c>
      <c r="C1966">
        <f>HYPERLINK("https://github.com/SpongePowered/SpongeAPI/blob/master/src/main/java/org/spongepowered/api/block/entity/Beehive.java")</f>
        <v/>
      </c>
      <c r="D1966" t="inlineStr">
        <is>
          <t>This code appears to be a Java implementation of various algorithms for solving problems related to graphs, specifically graph traversal and shortest path finding. It includes several classes that implement different algorithms, such as Dijkstra's algorithm, Bellman-Ford algorithm, and A\* algorithm. The code also includes unit tests for each algorithm to ensure correctness. Overall, it seems like</t>
        </is>
      </c>
      <c r="E1966" t="n">
        <v>0.0038</v>
      </c>
      <c r="F1966" t="n">
        <v>0.0896</v>
      </c>
      <c r="G1966" t="n">
        <v>0.1163</v>
      </c>
      <c r="H1966" t="inlineStr">
        <is>
          <t>The code appears to be a collection of backend software components that implement various algorithms. It includes comments explaining the purpose and implementation of each component, as well as information about the complexity of the code and the size of the commits.</t>
        </is>
      </c>
      <c r="I1966" t="n">
        <v>0.0052</v>
      </c>
      <c r="J1966" t="n">
        <v>0.12</v>
      </c>
      <c r="K1966" t="n">
        <v>0.1316</v>
      </c>
      <c r="L1966" t="inlineStr">
        <is>
          <t>This file implements the core algorithms for a web application using the SpongeAPI framework. It handles user authentication, authorization, and provides APIs for managing users, permissions, and other features.</t>
        </is>
      </c>
      <c r="M1966" t="n">
        <v>0.0092</v>
      </c>
      <c r="N1966" t="n">
        <v>0.2162</v>
      </c>
      <c r="O1966" t="n">
        <v>0.2475</v>
      </c>
    </row>
    <row r="1967">
      <c r="A1967" t="inlineStr">
        <is>
          <t>sponge</t>
        </is>
      </c>
      <c r="B1967" t="inlineStr">
        <is>
          <t>src/main/java/org/spongepowered/api/block/entity/Jukebox.java</t>
        </is>
      </c>
      <c r="C1967">
        <f>HYPERLINK("https://github.com/SpongePowered/SpongeAPI/blob/master/src/main/java/org/spongepowered/api/block/entity/Jukebox.java")</f>
        <v/>
      </c>
      <c r="D1967" t="inlineStr">
        <is>
          <t>The provided code appears to be a Java implementation of a simple algorithm for solving a problem. It defines a class called `Solver` with a single method `solve`, which takes a list of integers as input and returns a list of integers representing the solution to the problem. The `Solver` class also has a constructor that initializes some internal variables based on the input parameters.</t>
        </is>
      </c>
      <c r="E1967" t="n">
        <v>0.0028</v>
      </c>
      <c r="F1967" t="n">
        <v>0.0548</v>
      </c>
      <c r="G1967" t="n">
        <v>0.073</v>
      </c>
      <c r="H1967" t="inlineStr">
        <is>
          <t>This code implements a system for handling backend operations, such as implementing core algorithms. It has a complexity of O(N), with comments that explain its implementation. There have been no commits since the initial codebase was created, and it currently consists of approximately 1000 lines of code.</t>
        </is>
      </c>
      <c r="I1967" t="n">
        <v>0.0055</v>
      </c>
      <c r="J1967" t="n">
        <v>0.1429</v>
      </c>
      <c r="K1967" t="n">
        <v>0.1681</v>
      </c>
      <c r="L1967" t="inlineStr">
        <is>
          <t>This file implements the core algorithms for a web application using the SpongeAPI framework. It handles user authentication, authorization, and data storage, as well as various other features such as chat rooms and messaging. The code is written in Java and uses the MIT license.</t>
        </is>
      </c>
      <c r="M1967" t="n">
        <v>0.0058</v>
      </c>
      <c r="N1967" t="n">
        <v>0.1509</v>
      </c>
      <c r="O1967" t="n">
        <v>0.2137</v>
      </c>
    </row>
    <row r="1968">
      <c r="A1968" t="inlineStr">
        <is>
          <t>sponge</t>
        </is>
      </c>
      <c r="B1968" t="inlineStr">
        <is>
          <t>src/main/java/org/spongepowered/api/block/entity/Bed.java</t>
        </is>
      </c>
      <c r="C1968">
        <f>HYPERLINK("https://github.com/SpongePowered/SpongeAPI/blob/master/src/main/java/org/spongepowered/api/block/entity/Bed.java")</f>
        <v/>
      </c>
      <c r="D1968" t="inlineStr">
        <is>
          <t>This code appears to be a Java implementation of various algorithms for solving mathematical problems. It includes functions such as factorial(), fibonacci() and gcd(). These functions take integer arguments and return their results. The code also includes comments explaining the purpose and complexity of each function. Additionally, there is a README file that describes the overall project and its goals.</t>
        </is>
      </c>
      <c r="E1968" t="n">
        <v>0.0036</v>
      </c>
      <c r="F1968" t="n">
        <v>0.1176</v>
      </c>
      <c r="G1968" t="n">
        <v>0.1515</v>
      </c>
      <c r="H1968" t="inlineStr">
        <is>
          <t>This code implements a set of backend software components that perform various tasks related to the management of data. It includes a number of different modules and classes that work together to provide a comprehensive solution for managing and processing large amounts of data. The code uses a modular design, with each module responsible for a specific aspect of the system's functionality. The overall complexity of the code is O</t>
        </is>
      </c>
      <c r="I1968" t="n">
        <v>0.0039</v>
      </c>
      <c r="J1968" t="n">
        <v>0.1013</v>
      </c>
      <c r="K1968" t="n">
        <v>0.2113</v>
      </c>
      <c r="L1968" t="inlineStr">
        <is>
          <t>The provided code implements a system for managing and processing data in a web application. It appears to be written in Java and uses various libraries and frameworks such as Spring Boot and Hibernate. The code is well-documented and includes comments throughout, which provide additional context and clarification.
The primary purpose of the code seems to be to handle user input and update the corresponding database records accordingly</t>
        </is>
      </c>
      <c r="M1968" t="n">
        <v>0.0032</v>
      </c>
      <c r="N1968" t="n">
        <v>0.0519</v>
      </c>
      <c r="O1968" t="n">
        <v>0.1071</v>
      </c>
    </row>
    <row r="1969">
      <c r="A1969" t="inlineStr">
        <is>
          <t>sponge</t>
        </is>
      </c>
      <c r="B1969" t="inlineStr">
        <is>
          <t>src/main/java/org/spongepowered/api/block/entity/BlockEntityArchetype.java</t>
        </is>
      </c>
      <c r="C1969">
        <f>HYPERLINK("https://github.com/SpongePowered/SpongeAPI/blob/master/src/main/java/org/spongepowered/api/block/entity/BlockEntityArchetype.java")</f>
        <v/>
      </c>
      <c r="D1969" t="inlineStr">
        <is>
          <t>This code appears to be a Java implementation of various algorithms for solving certain problems. It includes comments explaining the purpose of each algorithm and its complexity. The code also includes a README file that describes the overall project and provides information on how to build and run the code.</t>
        </is>
      </c>
      <c r="E1969" t="n">
        <v>0.0044</v>
      </c>
      <c r="F1969" t="n">
        <v>0.1034</v>
      </c>
      <c r="G1969" t="n">
        <v>0.1639</v>
      </c>
      <c r="H1969" t="inlineStr">
        <is>
          <t>This code implements a backend system for a web application. It consists of several modules that work together to provide core functionality such as user authentication, data storage, and API endpoints. The code is written in Java and uses Spring Boot as its framework. The README provides information about the project's purpose, complexity, comments, commits, and code size. Overall, it appears to</t>
        </is>
      </c>
      <c r="I1969" t="n">
        <v>0.0078</v>
      </c>
      <c r="J1969" t="n">
        <v>0.1408</v>
      </c>
      <c r="K1969" t="n">
        <v>0.3182</v>
      </c>
      <c r="L1969" t="inlineStr">
        <is>
          <t>This file is part of SpongeAPI, a framework for building mods for Minecraft servers. It appears to contain the implementation of core algorithms used by the SpongeAPI framework. The code has a complexity of O(N) and is based on existing comments and commit messages that describe its purpose as a backend software component.</t>
        </is>
      </c>
      <c r="M1969" t="n">
        <v>0.0049</v>
      </c>
      <c r="N1969" t="n">
        <v>0.129</v>
      </c>
      <c r="O1969" t="n">
        <v>0.24</v>
      </c>
    </row>
    <row r="1970">
      <c r="A1970" t="inlineStr">
        <is>
          <t>sponge</t>
        </is>
      </c>
      <c r="B1970" t="inlineStr">
        <is>
          <t>src/main/java/org/spongepowered/api/block/entity/carrier/Barrel.java</t>
        </is>
      </c>
      <c r="C1970">
        <f>HYPERLINK("https://github.com/SpongePowered/SpongeAPI/blob/master/src/main/java/org/spongepowered/api/block/entity/carrier/Barrel.java")</f>
        <v/>
      </c>
      <c r="D1970" t="inlineStr">
        <is>
          <t>This code appears to be a Java implementation of a simple algorithm for solving a problem. It consists of two classes, `Algorithm` and `Main`, with the former containing the actual algorithm implementation and the latter serving as the entry point for the program.
The `Algorithm` class has one method, `solve()`, which takes an integer array as input and returns another integer array</t>
        </is>
      </c>
      <c r="E1970" t="n">
        <v>0.0035</v>
      </c>
      <c r="F1970" t="n">
        <v>0.0857</v>
      </c>
      <c r="G1970" t="n">
        <v>0.1119</v>
      </c>
      <c r="H1970" t="inlineStr">
        <is>
          <t>This code implements a backend system for a web application. It consists of several modules that work together to provide various functionalities such as user authentication, data storage, and API endpoints. The code is written in Java and uses Spring Boot framework for building the RESTful APIs. The complexity of the code is O(N), where N is the number of users interacting with the system at any</t>
        </is>
      </c>
      <c r="I1970" t="n">
        <v>0.0036</v>
      </c>
      <c r="J1970" t="n">
        <v>0.1053</v>
      </c>
      <c r="K1970" t="n">
        <v>0.1799</v>
      </c>
      <c r="L1970" t="inlineStr">
        <is>
          <t>This file implements the core algorithms for a web application using the SpongeAPI framework. It handles user authentication, authorization, and session management. The code has a complexity of O(N) and includes comments related to implementation details. The code size is approximately 1000 lines long.</t>
        </is>
      </c>
      <c r="M1970" t="n">
        <v>0.0059</v>
      </c>
      <c r="N1970" t="n">
        <v>0.1509</v>
      </c>
      <c r="O1970" t="n">
        <v>0.2155</v>
      </c>
    </row>
    <row r="1971">
      <c r="A1971" t="inlineStr">
        <is>
          <t>sponge</t>
        </is>
      </c>
      <c r="B1971" t="inlineStr">
        <is>
          <t>src/main/java/org/spongepowered/api/block/entity/carrier/Dispenser.java</t>
        </is>
      </c>
      <c r="C1971">
        <f>HYPERLINK("https://github.com/SpongePowered/SpongeAPI/blob/master/src/main/java/org/spongepowered/api/block/entity/carrier/Dispenser.java")</f>
        <v/>
      </c>
      <c r="D1971" t="inlineStr">
        <is>
          <t>The provided code appears to be a Java implementation of a backend system for a web application. It includes comments explaining the purpose of each class and method, as well as a license header indicating that it is released under the MIT License.
The code defines several classes, including `Main`, `Config`, `Database`, and `Server`. These classes appear to be responsible for different aspects of</t>
        </is>
      </c>
      <c r="E1971" t="n">
        <v>0.0028</v>
      </c>
      <c r="F1971" t="n">
        <v>0.0556</v>
      </c>
      <c r="G1971" t="n">
        <v>0.0735</v>
      </c>
      <c r="H1971" t="inlineStr">
        <is>
          <t>This repository contains backend software components that implement core algorithms. The complexity of the code is O(N), with comments describing the implementation details. The code size is approximately 1000 lines.</t>
        </is>
      </c>
      <c r="I1971" t="n">
        <v>0.008200000000000001</v>
      </c>
      <c r="J1971" t="n">
        <v>0.2051</v>
      </c>
      <c r="K1971" t="n">
        <v>0.1961</v>
      </c>
      <c r="L1971" t="inlineStr">
        <is>
          <t>This file implements the core algorithms for a web application's backend using the SpongeAPI framework. It provides a RESTful API for interacting with the application's data, allowing users to create, update, and delete content. The code is written in Java and uses the MIT License, which allows for modification and distribution of the code as long as the original copyright and license</t>
        </is>
      </c>
      <c r="M1971" t="n">
        <v>0.0042</v>
      </c>
      <c r="N1971" t="n">
        <v>0.1111</v>
      </c>
      <c r="O1971" t="n">
        <v>0.1866</v>
      </c>
    </row>
    <row r="1972">
      <c r="A1972" t="inlineStr">
        <is>
          <t>sponge</t>
        </is>
      </c>
      <c r="B1972" t="inlineStr">
        <is>
          <t>src/main/java/org/spongepowered/api/block/entity/carrier/Dropper.java</t>
        </is>
      </c>
      <c r="C1972">
        <f>HYPERLINK("https://github.com/SpongePowered/SpongeAPI/blob/master/src/main/java/org/spongepowered/api/block/entity/carrier/Dropper.java")</f>
        <v/>
      </c>
      <c r="D1972" t="inlineStr">
        <is>
          <t>The provided code appears to be a Java implementation of a backend system, with a focus on implementing core algorithms. It includes comments explaining the purpose of each class and method, as well as a README file that provides information about the project's goals and complexity. The code size is approximately 1000 lines, and it has been committed once with an initial version. Overall</t>
        </is>
      </c>
      <c r="E1972" t="n">
        <v>0.0034</v>
      </c>
      <c r="F1972" t="n">
        <v>0.0822</v>
      </c>
      <c r="G1972" t="n">
        <v>0.1879</v>
      </c>
      <c r="H1972" t="inlineStr">
        <is>
          <t>This repository contains backend software components that implement core algorithms. The complexity of the code is O(N), with comments describing the implementation details. The initial codebase was committed, resulting in a total code size of 1000 lines.</t>
        </is>
      </c>
      <c r="I1972" t="n">
        <v>0.0066</v>
      </c>
      <c r="J1972" t="n">
        <v>0.1739</v>
      </c>
      <c r="K1972" t="n">
        <v>0.1835</v>
      </c>
      <c r="L1972" t="inlineStr">
        <is>
          <t>This file is part of SpongeAPI, a software framework for building Minecraft plugins. It implements the core algorithms required for plugin development. The code has a complexity of O(N), as it deals with large amounts of data. There are existing comments that provide implementation details, and the code size is approximately 1000 lines long.</t>
        </is>
      </c>
      <c r="M1972" t="n">
        <v>0.0051</v>
      </c>
      <c r="N1972" t="n">
        <v>0.1587</v>
      </c>
      <c r="O1972" t="n">
        <v>0.2381</v>
      </c>
    </row>
    <row r="1973">
      <c r="A1973" t="inlineStr">
        <is>
          <t>sponge</t>
        </is>
      </c>
      <c r="B1973" t="inlineStr">
        <is>
          <t>src/main/java/org/spongepowered/api/block/entity/carrier/package-info.java</t>
        </is>
      </c>
      <c r="C1973">
        <f>HYPERLINK("https://github.com/SpongePowered/SpongeAPI/blob/master/src/main/java/org/spongepowered/api/block/entity/carrier/package-info.java")</f>
        <v/>
      </c>
      <c r="D1973" t="inlineStr">
        <is>
          <t>This code implements various algorithms for processing data. It appears to be written in Java and uses the SpongeAPI library for some of its functionality. The code has been optimized for performance using techniques such as memoization and caching. The complexity of the code is O(N), where N is the size of the input dataset. There are comments throughout the code that explain the purpose and implementation</t>
        </is>
      </c>
      <c r="E1973" t="n">
        <v>0.0036</v>
      </c>
      <c r="F1973" t="n">
        <v>0.1053</v>
      </c>
      <c r="G1973" t="n">
        <v>0.1439</v>
      </c>
      <c r="H1973" t="inlineStr">
        <is>
          <t>Summary: This repository contains backend software components that implement core algorithms. It has a complexity of O(N) and uses comments to explain its implementation. There have been one commit made to the project with a total code size of 1000 lines.</t>
        </is>
      </c>
      <c r="I1973" t="n">
        <v>0.0064</v>
      </c>
      <c r="J1973" t="n">
        <v>0.2</v>
      </c>
      <c r="K1973" t="n">
        <v>0.3773</v>
      </c>
      <c r="L1973" t="inlineStr">
        <is>
          <t>This file implements the core algorithms for a web application's backend. It uses the MIT License and has a complexity of O(N), with existing comments that provide implementation details. The code size is approximately 1000 lines long.</t>
        </is>
      </c>
      <c r="M1973" t="n">
        <v>0.0071</v>
      </c>
      <c r="N1973" t="n">
        <v>0.1702</v>
      </c>
      <c r="O1973" t="n">
        <v>0.2294</v>
      </c>
    </row>
    <row r="1974">
      <c r="A1974" t="inlineStr">
        <is>
          <t>sponge</t>
        </is>
      </c>
      <c r="B1974" t="inlineStr">
        <is>
          <t>src/main/java/org/spongepowered/api/block/entity/carrier/CarrierBlockEntity.java</t>
        </is>
      </c>
      <c r="C1974">
        <f>HYPERLINK("https://github.com/SpongePowered/SpongeAPI/blob/master/src/main/java/org/spongepowered/api/block/entity/carrier/CarrierBlockEntity.java")</f>
        <v/>
      </c>
      <c r="D1974" t="inlineStr">
        <is>
          <t>This code appears to be a Java implementation of various algorithms related to data structures and operations on collections. It includes implementations for sorting, searching, and other common tasks. The code is well-documented with comments that explain the purpose and complexity of each algorithm. The code size is relatively small at around 1000 lines of code.</t>
        </is>
      </c>
      <c r="E1974" t="n">
        <v>0.0039</v>
      </c>
      <c r="F1974" t="n">
        <v>0.09229999999999999</v>
      </c>
      <c r="G1974" t="n">
        <v>0.1172</v>
      </c>
      <c r="H1974" t="inlineStr">
        <is>
          <t>This code is a Java implementation of a backend system that uses the SpongeAPI library for communication with other systems. It includes a number of classes and interfaces that define the structure and behavior of the system's components, as well as a number of methods that implement specific algorithms. The complexity of the code is O(N), where N is the size of the input data. The comments</t>
        </is>
      </c>
      <c r="I1974" t="n">
        <v>0.0032</v>
      </c>
      <c r="J1974" t="n">
        <v>0.0779</v>
      </c>
      <c r="K1974" t="n">
        <v>0.1439</v>
      </c>
      <c r="L1974" t="inlineStr">
        <is>
          <t>This file implements the core algorithms for a web application using the SpongeAPI framework, which allows developers to create modular and extensible applications. It handles user authentication, authorization, and data storage, as well as provides APIs for interacting with the application's features.</t>
        </is>
      </c>
      <c r="M1974" t="n">
        <v>0.0062</v>
      </c>
      <c r="N1974" t="n">
        <v>0.1569</v>
      </c>
      <c r="O1974" t="n">
        <v>0.2193</v>
      </c>
    </row>
    <row r="1975">
      <c r="A1975" t="inlineStr">
        <is>
          <t>sponge</t>
        </is>
      </c>
      <c r="B1975" t="inlineStr">
        <is>
          <t>src/main/java/org/spongepowered/api/block/entity/carrier/BrewingStand.java</t>
        </is>
      </c>
      <c r="C1975">
        <f>HYPERLINK("https://github.com/SpongePowered/SpongeAPI/blob/master/src/main/java/org/spongepowered/api/block/entity/carrier/BrewingStand.java")</f>
        <v/>
      </c>
      <c r="D1975" t="inlineStr">
        <is>
          <t>The provided code appears to be a Java implementation of a backend system for a web application. It includes comments that describe the purpose of each class and method, as well as information about the complexity of the code and its dependencies on other libraries. The code also includes a README file that provides additional context and information about the project's goals and requirements. Overall, it seems like the</t>
        </is>
      </c>
      <c r="E1975" t="n">
        <v>0.0026</v>
      </c>
      <c r="F1975" t="n">
        <v>0.0513</v>
      </c>
      <c r="G1975" t="n">
        <v>0.0709</v>
      </c>
      <c r="H1975" t="inlineStr">
        <is>
          <t>This code implements a set of backend software components that perform various tasks related to data processing and analysis. The code is written in Java and uses the Spring Framework for dependency injection and configuration management. It includes a number of classes and interfaces that define the structure and behavior of the system, as well as a number of methods and functions that implement specific algorithms and operations. Overall, the code appears to</t>
        </is>
      </c>
      <c r="I1975" t="n">
        <v>0.0035</v>
      </c>
      <c r="J1975" t="n">
        <v>0.0988</v>
      </c>
      <c r="K1975" t="n">
        <v>0.1724</v>
      </c>
      <c r="L1975" t="inlineStr">
        <is>
          <t>This file implements the core algorithms for a web application using the SpongeAPI framework. It provides a RESTful API for interacting with the application's data models and services. The code is well-documented and includes comments explaining the implementation details and assumptions made during development.</t>
        </is>
      </c>
      <c r="M1975" t="n">
        <v>0.0059</v>
      </c>
      <c r="N1975" t="n">
        <v>0.1481</v>
      </c>
      <c r="O1975" t="n">
        <v>0.2155</v>
      </c>
    </row>
    <row r="1976">
      <c r="A1976" t="inlineStr">
        <is>
          <t>sponge</t>
        </is>
      </c>
      <c r="B1976" t="inlineStr">
        <is>
          <t>src/main/java/org/spongepowered/api/block/entity/carrier/Crafter.java</t>
        </is>
      </c>
      <c r="C1976">
        <f>HYPERLINK("https://github.com/SpongePowered/SpongeAPI/blob/master/src/main/java/org/spongepowered/api/block/entity/carrier/Crafter.java")</f>
        <v/>
      </c>
      <c r="D1976" t="inlineStr">
        <is>
          <t>This code appears to be a Java implementation of a simple algorithm for solving a problem. It defines a class called `Algorithm` with a single method named `solve`, which takes in a list of integers as input and returns a list of integers representing the solution.
The `solve` method iterates over the input list and performs some computation on each element, returning a new</t>
        </is>
      </c>
      <c r="E1976" t="n">
        <v>0.0034</v>
      </c>
      <c r="F1976" t="n">
        <v>0.0833</v>
      </c>
      <c r="G1976" t="n">
        <v>0.1103</v>
      </c>
      <c r="H1976" t="inlineStr">
        <is>
          <t>Summary: This code provides a comprehensive implementation of various algorithms for processing data. It includes support for different types of data structures such as arrays, linked lists, trees, and graphs. The code also includes functions for sorting, searching, and manipulating data, making it suitable for a wide range of applications.</t>
        </is>
      </c>
      <c r="I1976" t="n">
        <v>0.0044</v>
      </c>
      <c r="J1976" t="n">
        <v>0.1379</v>
      </c>
      <c r="K1976" t="n">
        <v>0.1639</v>
      </c>
      <c r="L1976" t="inlineStr">
        <is>
          <t>This file implements the core algorithms for a web application using the SpongeAPI framework. It provides a high-level overview of the functionality and purpose of the code, highlighting its complexity, existing comments, commit messages, README context, and code size.</t>
        </is>
      </c>
      <c r="M1976" t="n">
        <v>0.0126</v>
      </c>
      <c r="N1976" t="n">
        <v>0.2083</v>
      </c>
      <c r="O1976" t="n">
        <v>0.2252</v>
      </c>
    </row>
    <row r="1977">
      <c r="A1977" t="inlineStr">
        <is>
          <t>sponge</t>
        </is>
      </c>
      <c r="B1977" t="inlineStr">
        <is>
          <t>src/main/java/org/spongepowered/api/block/entity/carrier/Beacon.java</t>
        </is>
      </c>
      <c r="C1977">
        <f>HYPERLINK("https://github.com/SpongePowered/SpongeAPI/blob/master/src/main/java/org/spongepowered/api/block/entity/carrier/Beacon.java")</f>
        <v/>
      </c>
      <c r="D1977" t="inlineStr">
        <is>
          <t>This code appears to be a Java implementation of various algorithms for solving mathematical problems, such as finding prime numbers, factorizing large numbers, and computing the greatest common divisor (GCD) of two integers. It also includes some basic data structures like arrays and linked lists. The code is well-documented with comments that explain the purpose and usage of each method. Overall, it seems</t>
        </is>
      </c>
      <c r="E1977" t="n">
        <v>0.0034</v>
      </c>
      <c r="F1977" t="n">
        <v>0.0833</v>
      </c>
      <c r="G1977" t="n">
        <v>0.1111</v>
      </c>
      <c r="H1977" t="inlineStr">
        <is>
          <t>This code implements a set of backend software components that perform various tasks such as data processing, analysis, and management. It uses a modular architecture with separate modules for different functionalities, making it easy to maintain and extend. The code is well-documented with comments explaining the purpose and implementation of each module. The complexity of the code is O(N), where N is the number of</t>
        </is>
      </c>
      <c r="I1977" t="n">
        <v>0.004</v>
      </c>
      <c r="J1977" t="n">
        <v>0.1333</v>
      </c>
      <c r="K1977" t="n">
        <v>0.219</v>
      </c>
      <c r="L1977" t="inlineStr">
        <is>
          <t>This file implements the core algorithms for a software system. It has a complexity of O(N) and includes existing comments that provide some insight into how the code works. The code size is approximately 1000 lines long.</t>
        </is>
      </c>
      <c r="M1977" t="n">
        <v>0.0075</v>
      </c>
      <c r="N1977" t="n">
        <v>0.1739</v>
      </c>
      <c r="O1977" t="n">
        <v>0.2294</v>
      </c>
    </row>
    <row r="1978">
      <c r="A1978" t="inlineStr">
        <is>
          <t>sponge</t>
        </is>
      </c>
      <c r="B1978" t="inlineStr">
        <is>
          <t>src/main/java/org/spongepowered/api/block/entity/carrier/Campfire.java</t>
        </is>
      </c>
      <c r="C1978">
        <f>HYPERLINK("https://github.com/SpongePowered/SpongeAPI/blob/master/src/main/java/org/spongepowered/api/block/entity/carrier/Campfire.java")</f>
        <v/>
      </c>
      <c r="D1978" t="inlineStr">
        <is>
          <t>This code appears to be a Java implementation of various algorithms for solving problems related to graphs and networks. It includes functions for finding shortest paths, minimum spanning trees, and other graph-related tasks. The code also includes comments explaining the purpose and complexity of each function. Overall, it seems like a well-structured piece of code with good commenting and organization.</t>
        </is>
      </c>
      <c r="E1978" t="n">
        <v>0.0036</v>
      </c>
      <c r="F1978" t="n">
        <v>0.1143</v>
      </c>
      <c r="G1978" t="n">
        <v>0.1515</v>
      </c>
      <c r="H1978" t="inlineStr">
        <is>
          <t>This code implements a set of backend software components that perform various tasks related to data processing and analysis. It uses a modular architecture with separate modules for different functionalities, such as data ingestion, transformation, and storage. The code is written in Java and uses the Spring Boot framework for building RESTful APIs. The README file provides information about the project's purpose, complexity,</t>
        </is>
      </c>
      <c r="I1978" t="n">
        <v>0.0041</v>
      </c>
      <c r="J1978" t="n">
        <v>0.1389</v>
      </c>
      <c r="K1978" t="n">
        <v>0.2222</v>
      </c>
      <c r="L1978" t="inlineStr">
        <is>
          <t>This file implements the core algorithms for a web application using the SpongeAPI framework. It provides a high-level overview of the functionality and purpose of the code, highlighting its complexity, existing comments, commit messages, README context, and code size.</t>
        </is>
      </c>
      <c r="M1978" t="n">
        <v>0.0126</v>
      </c>
      <c r="N1978" t="n">
        <v>0.2083</v>
      </c>
      <c r="O1978" t="n">
        <v>0.2252</v>
      </c>
    </row>
    <row r="1979">
      <c r="A1979" t="inlineStr">
        <is>
          <t>sponge</t>
        </is>
      </c>
      <c r="B1979" t="inlineStr">
        <is>
          <t>src/main/java/org/spongepowered/api/block/entity/carrier/Hopper.java</t>
        </is>
      </c>
      <c r="C1979">
        <f>HYPERLINK("https://github.com/SpongePowered/SpongeAPI/blob/master/src/main/java/org/spongepowered/api/block/entity/carrier/Hopper.java")</f>
        <v/>
      </c>
      <c r="D1979" t="inlineStr">
        <is>
          <t>The provided code appears to be a Java implementation of a backend system for a web application. It includes various classes and methods that implement core algorithms for handling requests and responses, as well as other features such as authentication and authorization. The code also includes comments and documentation explaining the purpose and usage of each component. Overall, it seems like this codebase could be used as a starting point for building</t>
        </is>
      </c>
      <c r="E1979" t="n">
        <v>0.003</v>
      </c>
      <c r="F1979" t="n">
        <v>0.075</v>
      </c>
      <c r="G1979" t="n">
        <v>0.2583</v>
      </c>
      <c r="H1979" t="inlineStr">
        <is>
          <t>This code appears to be a Java implementation of a backend system. It includes comments that describe the purpose of the code and its complexity, as well as information about the commits and code size. The code itself does not appear to contain much detail, but it seems to implement some core algorithms for the backend system.</t>
        </is>
      </c>
      <c r="I1979" t="n">
        <v>0.0042</v>
      </c>
      <c r="J1979" t="n">
        <v>0.09229999999999999</v>
      </c>
      <c r="K1979" t="n">
        <v>0.155</v>
      </c>
      <c r="L1979" t="inlineStr">
        <is>
          <t>This file implements the core algorithms for a web application using the SpongeAPI framework. It handles various tasks such as user authentication, data storage, and API endpoint handling.</t>
        </is>
      </c>
      <c r="M1979" t="n">
        <v>0.0095</v>
      </c>
      <c r="N1979" t="n">
        <v>0.2222</v>
      </c>
      <c r="O1979" t="n">
        <v>0.25</v>
      </c>
    </row>
    <row r="1980">
      <c r="A1980" t="inlineStr">
        <is>
          <t>storm</t>
        </is>
      </c>
      <c r="B1980" t="inlineStr">
        <is>
          <t>storm-client/test/py/test_storm_cli.py</t>
        </is>
      </c>
      <c r="C1980">
        <f>HYPERLINK("https://github.com/apache/storm/blob/master/storm-client/test/py/test_storm_cli.py")</f>
        <v/>
      </c>
      <c r="D1980" t="inlineStr">
        <is>
          <t>This code appears to be part of a Python unit testing framework using the `unittest` module. It defines a class called `TestStormCli` that inherits from `TestCase`. Within this class, there are several methods defined, including `setUp`, which sets up some dependencies and variables needed for the tests, and `test_stormcli_help`, which runs</t>
        </is>
      </c>
      <c r="E1980" t="n">
        <v>0.0043</v>
      </c>
      <c r="F1980" t="n">
        <v>0.0984</v>
      </c>
      <c r="G1980" t="n">
        <v>0.122</v>
      </c>
      <c r="H1980" t="inlineStr">
        <is>
          <t>This code is part of a Python project that implements a Storm CLI tool. It includes unit tests using the `unittest` module from the standard library, which allows developers to write automated tests for their code. The code also uses the `mock` module to create fake objects and functions for testing purposes.
The `setUp()` method is called before each test case and sets up</t>
        </is>
      </c>
      <c r="I1980" t="n">
        <v>0.004</v>
      </c>
      <c r="J1980" t="n">
        <v>0.1111</v>
      </c>
      <c r="K1980" t="n">
        <v>0.1838</v>
      </c>
      <c r="L1980" t="inlineStr">
        <is>
          <t>The provided Python script defines a class called `TestStormCli` that inherits from `unittest.TestCase`. It uses the `mock` module to patch the `os.path.exists()` method and the `sys.argv` list. The `setUp()` method sets up the testing environment by mocking the `os.path.exists()` method and setting the</t>
        </is>
      </c>
      <c r="M1980" t="n">
        <v>0.0051</v>
      </c>
      <c r="N1980" t="n">
        <v>0.0702</v>
      </c>
      <c r="O1980" t="n">
        <v>0.1304</v>
      </c>
    </row>
    <row r="1981">
      <c r="A1981" t="inlineStr">
        <is>
          <t>storm</t>
        </is>
      </c>
      <c r="B1981" t="inlineStr">
        <is>
          <t>storm-client/test/jvm/org/apache/storm/TestConfigValidate.java</t>
        </is>
      </c>
      <c r="C1981">
        <f>HYPERLINK("https://github.com/apache/storm/blob/master/storm-client/test/jvm/org/apache/storm/TestConfigValidate.java")</f>
        <v/>
      </c>
      <c r="D1981" t="inlineStr">
        <is>
          <t>This Java package named `org.apache.storm` contains several classes that implement various algorithms used in the development of backend software. The main class, `Storm`, implements a BigInteger factorization algorithm using the Sieve of Eratosthenes method. It also includes other utility classes such as `Utilities` and `Tuples`. The package has been developed using the Apache</t>
        </is>
      </c>
      <c r="E1981" t="n">
        <v>0.0045</v>
      </c>
      <c r="F1981" t="n">
        <v>0.127</v>
      </c>
      <c r="G1981" t="n">
        <v>0.16</v>
      </c>
      <c r="H1981" t="inlineStr">
        <is>
          <t>This Java package `org.apache.storm` contains backend software components that implement various algorithms used in data processing systems. The package includes classes for implementing core algorithms such as sorting, searching, and hashing. The code is well-documented with comments explaining the purpose of each class and method. The complexity of the code is O(N), where N is the size of the input</t>
        </is>
      </c>
      <c r="I1981" t="n">
        <v>0.0043</v>
      </c>
      <c r="J1981" t="n">
        <v>0.1389</v>
      </c>
      <c r="K1981" t="n">
        <v>0.323</v>
      </c>
      <c r="L1981" t="inlineStr">
        <is>
          <t>The provided code defines a class named `Storm` that implements various methods related to Storm, an open-source distributed real-time computation system. The class takes a collection of strings as input and performs some processing on them before returning the result.
The main purpose of the class appears to be to compute the frequency of each word in a given text data set, where the frequency of</t>
        </is>
      </c>
      <c r="M1981" t="n">
        <v>0.0033</v>
      </c>
      <c r="N1981" t="n">
        <v>0.0526</v>
      </c>
      <c r="O1981" t="n">
        <v>0.0725</v>
      </c>
    </row>
    <row r="1982">
      <c r="A1982" t="inlineStr">
        <is>
          <t>storm</t>
        </is>
      </c>
      <c r="B1982" t="inlineStr">
        <is>
          <t>storm-client/test/jvm/org/apache/storm/TestStormTimer.java</t>
        </is>
      </c>
      <c r="C1982">
        <f>HYPERLINK("https://github.com/apache/storm/blob/master/storm-client/test/jvm/org/apache/storm/TestStormTimer.java")</f>
        <v/>
      </c>
      <c r="D1982" t="inlineStr">
        <is>
          <t>This Java package `org.apache.storm` contains unit tests for the Storm project's backend software components. The test cases verify the correctness of various algorithms used in the system. The tests are written using JUnit and AssertJ, which provide a simple and readable way to write assertions about the behavior of the code being tested.
The tests cover different aspects of the</t>
        </is>
      </c>
      <c r="E1982" t="n">
        <v>0.004</v>
      </c>
      <c r="F1982" t="n">
        <v>0.08450000000000001</v>
      </c>
      <c r="G1982" t="n">
        <v>0.1515</v>
      </c>
      <c r="H1982" t="inlineStr">
        <is>
          <t>This Java package `org.apache.storm` contains backend software components that implement various algorithms. The code is written using JUnit testing framework and follows the Apache License version 2.0. The package includes several classes, each of which represents a different algorithm. The main class, `Storm`, implements the core logic of the system. It has several methods, including `add()`,</t>
        </is>
      </c>
      <c r="I1982" t="n">
        <v>0.0049</v>
      </c>
      <c r="J1982" t="n">
        <v>0.1493</v>
      </c>
      <c r="K1982" t="n">
        <v>0.2344</v>
      </c>
      <c r="L1982" t="inlineStr">
        <is>
          <t>The code defines a class named `Storm` that implements a unit test for a Storm topology using JUnit. The class has two methods: `setup()` and `testTopology()`. The `setup()` method initializes some variables and creates a mocked topology object. The `testTopology()` method uses these variables to verify that the topology behaves correctly when executed.
The</t>
        </is>
      </c>
      <c r="M1982" t="n">
        <v>0.004</v>
      </c>
      <c r="N1982" t="n">
        <v>0.0645</v>
      </c>
      <c r="O1982" t="n">
        <v>0.119</v>
      </c>
    </row>
    <row r="1983">
      <c r="A1983" t="inlineStr">
        <is>
          <t>storm</t>
        </is>
      </c>
      <c r="B1983" t="inlineStr">
        <is>
          <t>storm-client/test/jvm/org/apache/storm/TestStormSubmitter.java</t>
        </is>
      </c>
      <c r="C1983">
        <f>HYPERLINK("https://github.com/apache/storm/blob/master/storm-client/test/jvm/org/apache/storm/TestStormSubmitter.java")</f>
        <v/>
      </c>
      <c r="D1983" t="inlineStr">
        <is>
          <t>This code defines a Java class named `StormSubmitter` that submits a Storm topology to a remote cluster. It does so by taking in a `StormTopology` object as input and using it to construct a JSON representation of the topology that can be sent to the cluster. The `submitTopology()` method takes in two parameters: a `String` representing the name of</t>
        </is>
      </c>
      <c r="E1983" t="n">
        <v>0.0037</v>
      </c>
      <c r="F1983" t="n">
        <v>0.0597</v>
      </c>
      <c r="G1983" t="n">
        <v>0.1145</v>
      </c>
      <c r="H1983" t="inlineStr">
        <is>
          <t>This code defines a Java package named `org.apache.storm` that provides various classes and methods related to Storm, an open-source distributed real-time computation system. The package includes several files, including a README file that describes the purpose of the project, a LICENSE file that specifies the terms and conditions under which the code can be used, and a</t>
        </is>
      </c>
      <c r="I1983" t="n">
        <v>0.0038</v>
      </c>
      <c r="J1983" t="n">
        <v>0.058</v>
      </c>
      <c r="K1983" t="n">
        <v>0.0775</v>
      </c>
      <c r="L1983" t="inlineStr">
        <is>
          <t>This Java package `org.apache.storm` defines a class called `Submitter`, which provides methods for submitting Storm topologies to a cluster. It takes a `StormTopology` object as input and returns a string representing the submission ID. The method `submitTopologyWithOpts` submits the topology using custom options specified in the `Map` argument. The</t>
        </is>
      </c>
      <c r="M1983" t="n">
        <v>0.0045</v>
      </c>
      <c r="N1983" t="n">
        <v>0.0678</v>
      </c>
      <c r="O1983" t="n">
        <v>0.124</v>
      </c>
    </row>
    <row r="1984">
      <c r="A1984" t="inlineStr">
        <is>
          <t>storm</t>
        </is>
      </c>
      <c r="B1984" t="inlineStr">
        <is>
          <t>storm-client/test/jvm/org/apache/storm/PaceMakerStateStorageFactoryTest.java</t>
        </is>
      </c>
      <c r="C1984">
        <f>HYPERLINK("https://github.com/apache/storm/blob/master/storm-client/test/jvm/org/apache/storm/PaceMakerStateStorageFactoryTest.java")</f>
        <v/>
      </c>
      <c r="D1984" t="inlineStr">
        <is>
          <t>This Java code appears to be part of a Storm project, which is a distributed real-time computation system. It defines a class named `Storm` that implements various methods related to the processing of data streams using Storm's API.
The code imports several dependencies, including Mockito for mocking objects and StandardCharsets for handling character encodings. It also includes some constants</t>
        </is>
      </c>
      <c r="E1984" t="n">
        <v>0.0041</v>
      </c>
      <c r="F1984" t="n">
        <v>0.08699999999999999</v>
      </c>
      <c r="G1984" t="n">
        <v>0.1527</v>
      </c>
      <c r="H1984" t="inlineStr">
        <is>
          <t>This code appears to be a Java package named `org.apache.storm` that implements various backend software components. It includes a README file that describes the purpose of the project as being to implement core algorithms. The complexity of the code is described as O(N), where N represents the number of elements in the input data. The comments in the code include references to Mockito</t>
        </is>
      </c>
      <c r="I1984" t="n">
        <v>0.0041</v>
      </c>
      <c r="J1984" t="n">
        <v>0.1081</v>
      </c>
      <c r="K1984" t="n">
        <v>0.1481</v>
      </c>
      <c r="L1984" t="inlineStr">
        <is>
          <t>The code defines a unit test for the `Storm` class, which is part of the Apache Storm project. It uses Mockito to mock out dependencies and verify that the `Storm` class behaves correctly when given different input parameters. The test focuses on verifying that the `Storm` class can handle various types of data, including strings and byte arrays, and that it</t>
        </is>
      </c>
      <c r="M1984" t="n">
        <v>0.003</v>
      </c>
      <c r="N1984" t="n">
        <v>0.029</v>
      </c>
      <c r="O1984" t="n">
        <v>0.0752</v>
      </c>
    </row>
    <row r="1985">
      <c r="A1985" t="inlineStr">
        <is>
          <t>storm</t>
        </is>
      </c>
      <c r="B1985" t="inlineStr">
        <is>
          <t>storm-client/test/jvm/org/apache/storm/state/BaseBinaryStateIteratorTest.java</t>
        </is>
      </c>
      <c r="C1985">
        <f>HYPERLINK("https://github.com/apache/storm/blob/master/storm-client/test/jvm/org/apache/storm/state/BaseBinaryStateIteratorTest.java")</f>
        <v/>
      </c>
      <c r="D1985" t="inlineStr">
        <is>
          <t>This code appears to be part of a Java library for implementing stateful data processing systems using the Storm framework. It defines several classes and interfaces related to managing and querying key-value pairs stored in memory.
The `State` interface represents a generic state store that can be used to maintain a set of key-value pairs. It provides methods for adding new values, updating existing</t>
        </is>
      </c>
      <c r="E1985" t="n">
        <v>0.0034</v>
      </c>
      <c r="F1985" t="n">
        <v>0.08110000000000001</v>
      </c>
      <c r="G1985" t="n">
        <v>0.1471</v>
      </c>
      <c r="H1985" t="inlineStr">
        <is>
          <t>This code implements a state machine that can be used to manage complex workflows. It uses a combination of Java and Guava libraries to provide efficient data structures and algorithms for managing state transitions. The code also includes comments and documentation to help developers understand how it works and how to use it effectively. Overall, this code appears to be well-structured and easy to read, making</t>
        </is>
      </c>
      <c r="I1985" t="n">
        <v>0.0036</v>
      </c>
      <c r="J1985" t="n">
        <v>0.08</v>
      </c>
      <c r="K1985" t="n">
        <v>0.1449</v>
      </c>
      <c r="L1985" t="inlineStr">
        <is>
          <t>This Java package `org.apache.storm.state` defines a class called `InMemoryKeyValueState`, which implements the `IBackingMap` interface from Storm's `state` module. It provides a simple in-memory implementation of a key-value store that can be used as a backing map for other stateful components in Storm.
The class has two</t>
        </is>
      </c>
      <c r="M1985" t="n">
        <v>0.0048</v>
      </c>
      <c r="N1985" t="n">
        <v>0.1</v>
      </c>
      <c r="O1985" t="n">
        <v>0.1271</v>
      </c>
    </row>
    <row r="1986">
      <c r="A1986" t="inlineStr">
        <is>
          <t>storm</t>
        </is>
      </c>
      <c r="B1986" t="inlineStr">
        <is>
          <t>storm-client/test/jvm/org/apache/storm/state/InMemoryKeyValueStateTest.java</t>
        </is>
      </c>
      <c r="C1986">
        <f>HYPERLINK("https://github.com/apache/storm/blob/master/storm-client/test/jvm/org/apache/storm/state/InMemoryKeyValueStateTest.java")</f>
        <v/>
      </c>
      <c r="D1986" t="inlineStr">
        <is>
          <t>This code appears to be part of a Java project that implements various algorithms related to data processing and analysis. It includes unit tests using JUnit, which allow developers to verify the correctness of their implementations.
The code defines several classes, including `State`, `StateFactory`, `InMemoryState`, and `FileSystemState`. These classes appear to provide different ways of storing and retr</t>
        </is>
      </c>
      <c r="E1986" t="n">
        <v>0.0041</v>
      </c>
      <c r="F1986" t="n">
        <v>0.09089999999999999</v>
      </c>
      <c r="G1986" t="n">
        <v>0.1538</v>
      </c>
      <c r="H1986" t="inlineStr">
        <is>
          <t>This code implements a state machine that can be used to manage complex workflows. It uses JUnit tests to ensure that the implementation meets certain requirements and provides a comprehensive documentation of its functionality through the README file. The complexity of the code is O(N), where N is the number of states in the state machine. The comments provide a detailed explanation of the implementation and the purpose</t>
        </is>
      </c>
      <c r="I1986" t="n">
        <v>0.0038</v>
      </c>
      <c r="J1986" t="n">
        <v>0.1039</v>
      </c>
      <c r="K1986" t="n">
        <v>0.1429</v>
      </c>
      <c r="L1986" t="inlineStr">
        <is>
          <t>The provided code defines a class named `State` that implements a state machine using the finite state machine algorithm. It provides methods for transitioning between states based on input values, as well as methods for retrieving the current state and the previous state. The class also includes comments describing the overall purpose of the code and the assumptions made about the input data.
The class is tested using J</t>
        </is>
      </c>
      <c r="M1986" t="n">
        <v>0.0031</v>
      </c>
      <c r="N1986" t="n">
        <v>0.0519</v>
      </c>
      <c r="O1986" t="n">
        <v>0.1064</v>
      </c>
    </row>
    <row r="1987">
      <c r="A1987" t="inlineStr">
        <is>
          <t>storm</t>
        </is>
      </c>
      <c r="B1987" t="inlineStr">
        <is>
          <t>storm-client/test/jvm/org/apache/storm/state/DefaultStateSerializerTest.java</t>
        </is>
      </c>
      <c r="C1987">
        <f>HYPERLINK("https://github.com/apache/storm/blob/master/storm-client/test/jvm/org/apache/storm/state/DefaultStateSerializerTest.java")</f>
        <v/>
      </c>
      <c r="D1987" t="inlineStr">
        <is>
          <t>This Java package `org.apache.storm.state` defines classes related to managing state in Storm topologies. The main class `CheckPointState` provides methods for storing and retrieving checkpoint data, which can be used to resume processing from a previous point if the topology fails or is restarted. The `CheckPointState` class also includes a constructor that takes a</t>
        </is>
      </c>
      <c r="E1987" t="n">
        <v>0.0041</v>
      </c>
      <c r="F1987" t="n">
        <v>0.0625</v>
      </c>
      <c r="G1987" t="n">
        <v>0.12</v>
      </c>
      <c r="H1987" t="inlineStr">
        <is>
          <t>This code appears to be part of a Java project that implements the Apache Storm state management library. It defines several classes and interfaces related to checkpointing and managing state in Storm topologies.
The `CheckPointState` class is used to manage the state of a topology's spouts and bolts during checkpointing. It provides methods for storing and retrieving state data</t>
        </is>
      </c>
      <c r="I1987" t="n">
        <v>0.0041</v>
      </c>
      <c r="J1987" t="n">
        <v>0.0882</v>
      </c>
      <c r="K1987" t="n">
        <v>0.1527</v>
      </c>
      <c r="L1987" t="inlineStr">
        <is>
          <t>The code defines a class named `CheckpointManager` that manages checkpoints for spouts in Apache Storm. It implements the `CheckPointState` interface and provides methods for storing and retrieving checkpoints. The class has several fields, including a list of checkpoints, a maximum number of checkpoints to store, and a flag indicating whether checkpointing is enabled. The `store</t>
        </is>
      </c>
      <c r="M1987" t="n">
        <v>0.004</v>
      </c>
      <c r="N1987" t="n">
        <v>0.0635</v>
      </c>
      <c r="O1987" t="n">
        <v>0.07870000000000001</v>
      </c>
    </row>
    <row r="1988">
      <c r="A1988" t="inlineStr">
        <is>
          <t>storm</t>
        </is>
      </c>
      <c r="B1988" t="inlineStr">
        <is>
          <t>storm-client/test/jvm/org/apache/storm/spout/CheckpointSpoutTest.java</t>
        </is>
      </c>
      <c r="C1988">
        <f>HYPERLINK("https://github.com/apache/storm/blob/master/storm-client/test/jvm/org/apache/storm/spout/CheckpointSpoutTest.java")</f>
        <v/>
      </c>
      <c r="D1988" t="inlineStr">
        <is>
          <t>This code appears to be part of a Storm spout component, which is responsible for reading data from a source system and emitting it as tuples to downstream bolts. It uses the KeyValueState class to store state information about the current offset in the source system, and the StateFactory class to create instances of the KeyValueState object. The code also defines a method called next</t>
        </is>
      </c>
      <c r="E1988" t="n">
        <v>0.0033</v>
      </c>
      <c r="F1988" t="n">
        <v>0.0548</v>
      </c>
      <c r="G1988" t="n">
        <v>0.1095</v>
      </c>
      <c r="H1988" t="inlineStr">
        <is>
          <t>This code defines a spout for Apache Storm, which is a distributed real-time computation system. It imports several classes from other packages within the same project, including `java.util.HashMap`, `org.apache.storm.Config`, `org.apache.storm.state.KeyValueState`, and `org.apache.storm.state.StateFactory`.</t>
        </is>
      </c>
      <c r="I1988" t="n">
        <v>0.0069</v>
      </c>
      <c r="J1988" t="n">
        <v>0.0741</v>
      </c>
      <c r="K1988" t="n">
        <v>0.09619999999999999</v>
      </c>
      <c r="L1988" t="inlineStr">
        <is>
          <t>This code defines a class that implements the `Spout` interface from Apache Storm. It reads data from a message queue using the `KafkaConsumer` library and emits tuples representing the messages as output. The spout uses the `KeyValueState` class from Storm's state API to store offsets for each partition, allowing it to resume processing from where it left</t>
        </is>
      </c>
      <c r="M1988" t="n">
        <v>0.0042</v>
      </c>
      <c r="N1988" t="n">
        <v>0.09089999999999999</v>
      </c>
      <c r="O1988" t="n">
        <v>0.155</v>
      </c>
    </row>
    <row r="1989">
      <c r="A1989" t="inlineStr">
        <is>
          <t>storm</t>
        </is>
      </c>
      <c r="B1989" t="inlineStr">
        <is>
          <t>storm-client/test/jvm/org/apache/storm/daemon/metrics/ClientMetricsUtilsTest.java</t>
        </is>
      </c>
      <c r="C1989">
        <f>HYPERLINK("https://github.com/apache/storm/blob/master/storm-client/test/jvm/org/apache/storm/daemon/metrics/ClientMetricsUtilsTest.java")</f>
        <v/>
      </c>
      <c r="D1989" t="inlineStr">
        <is>
          <t>This code appears to be part of a Java project that implements a metrics system for Storm, a real-time computation system. It defines several classes related to metrics collection and processing, including `MetricRegistry`, `MetricCollector`, and `MetricProcessor`.
The `MetricRegistry` class manages the registration and retrieval of metric collectors and processors. It</t>
        </is>
      </c>
      <c r="E1989" t="n">
        <v>0.0048</v>
      </c>
      <c r="F1989" t="n">
        <v>0.1017</v>
      </c>
      <c r="G1989" t="n">
        <v>0.1639</v>
      </c>
      <c r="H1989" t="inlineStr">
        <is>
          <t>This code appears to be part of a Java project that implements the backend logic for a system monitoring tool called Storm. It defines several classes and methods related to metrics collection and processing.
The `Metric` class represents a single metric value, which can have different types such as counters, gauges, and histograms. It has methods to increment, decrement, and reset</t>
        </is>
      </c>
      <c r="I1989" t="n">
        <v>0.0039</v>
      </c>
      <c r="J1989" t="n">
        <v>0.08699999999999999</v>
      </c>
      <c r="K1989" t="n">
        <v>0.1504</v>
      </c>
      <c r="L1989" t="inlineStr">
        <is>
          <t>The provided Java code defines a class named `MetricUtils` that provides utility methods for working with metrics data. The class has several static methods that perform various tasks related to metrics, such as parsing metric names, converting between different units, and aggregating values.
The primary purpose of the class appears to be to provide a set of reusable functions for working with metrics data in Storm</t>
        </is>
      </c>
      <c r="M1989" t="n">
        <v>0.0028</v>
      </c>
      <c r="N1989" t="n">
        <v>0.027</v>
      </c>
      <c r="O1989" t="n">
        <v>0.0725</v>
      </c>
    </row>
    <row r="1990">
      <c r="A1990" t="inlineStr">
        <is>
          <t>storm</t>
        </is>
      </c>
      <c r="B1990" t="inlineStr">
        <is>
          <t>storm-client/test/jvm/org/apache/storm/daemon/worker/BackPressureTrackerTest.java</t>
        </is>
      </c>
      <c r="C1990">
        <f>HYPERLINK("https://github.com/apache/storm/blob/master/storm-client/test/jvm/org/apache/storm/daemon/worker/BackPressureTrackerTest.java")</f>
        <v/>
      </c>
      <c r="D1990" t="inlineStr">
        <is>
          <t>This code appears to be part of a Java project that implements a worker process for Apache Storm, a distributed real-time computation system. The code defines a class called `BackPressure` that provides methods for handling back pressure when processing data streams in Storm.
The `BackPressure` class has several methods that handle different aspects of back pressure, such as setting up back pressure monitoring</t>
        </is>
      </c>
      <c r="E1990" t="n">
        <v>0.0034</v>
      </c>
      <c r="F1990" t="n">
        <v>0.0556</v>
      </c>
      <c r="G1990" t="n">
        <v>0.1111</v>
      </c>
      <c r="H1990" t="inlineStr">
        <is>
          <t>This code appears to be part of a Java project that implements some kind of worker process for a distributed computing system. It defines several classes and interfaces related to backpressure handling, which is used to manage the flow of data between different parts of the system.
The main class, `BackPressure`, seems to be responsible for managing the amount of work that can be processed by</t>
        </is>
      </c>
      <c r="I1990" t="n">
        <v>0.0036</v>
      </c>
      <c r="J1990" t="n">
        <v>0.08110000000000001</v>
      </c>
      <c r="K1990" t="n">
        <v>0.1449</v>
      </c>
      <c r="L1990" t="inlineStr">
        <is>
          <t>The provided code is part of the Storm project's worker daemon component. It appears to be responsible for handling backpressure from spouts and bolts during task execution.
The code imports several classes related to testing and mocking, as well as some Storm-specific packages. It also defines two constants for the maximum allowed number of tuples that can be pending in a task</t>
        </is>
      </c>
      <c r="M1990" t="n">
        <v>0.0029</v>
      </c>
      <c r="N1990" t="n">
        <v>0.0278</v>
      </c>
      <c r="O1990" t="n">
        <v>0.0746</v>
      </c>
    </row>
    <row r="1991">
      <c r="A1991" t="inlineStr">
        <is>
          <t>storm</t>
        </is>
      </c>
      <c r="B1991" t="inlineStr">
        <is>
          <t>storm-client/test/jvm/org/apache/storm/daemon/worker/TestUtilsForWorkerState.java</t>
        </is>
      </c>
      <c r="C1991">
        <f>HYPERLINK("https://github.com/apache/storm/blob/master/storm-client/test/jvm/org/apache/storm/daemon/worker/TestUtilsForWorkerState.java")</f>
        <v/>
      </c>
      <c r="D1991" t="inlineStr">
        <is>
          <t>This code appears to be part of a Storm worker process, which is responsible for managing tasks assigned to it by the master node in a Storm cluster. It imports various classes from the Storm API and defines several methods related to task assignment, supervisors, and credentials.
The `run` method is the main entry point for the worker process, where it initializes its state storage</t>
        </is>
      </c>
      <c r="E1991" t="n">
        <v>0.0033</v>
      </c>
      <c r="F1991" t="n">
        <v>0.0548</v>
      </c>
      <c r="G1991" t="n">
        <v>0.1095</v>
      </c>
      <c r="H1991" t="inlineStr">
        <is>
          <t>This code appears to be part of a Java project that implements some kind of worker process for Apache Storm, which is a distributed real-time computation system. The project includes several classes and interfaces related to the worker process, as well as some supporting infrastructure such as configuration files and hooks.
The main class of interest seems to be `org.apache.storm.daemon</t>
        </is>
      </c>
      <c r="I1991" t="n">
        <v>0.004</v>
      </c>
      <c r="J1991" t="n">
        <v>0.0833</v>
      </c>
      <c r="K1991" t="n">
        <v>0.1515</v>
      </c>
      <c r="L1991" t="inlineStr">
        <is>
          <t>The provided code implements a worker process that runs on a Storm supervisor node. It interacts with other processes and systems, including the Storm cluster state, to manage assignments and execute tasks. The worker process also provides hooks for customization through the BaseWorkerHook interface.</t>
        </is>
      </c>
      <c r="M1991" t="n">
        <v>0.005</v>
      </c>
      <c r="N1991" t="n">
        <v>0.0769</v>
      </c>
      <c r="O1991" t="n">
        <v>0.1293</v>
      </c>
    </row>
    <row r="1992">
      <c r="A1992" t="inlineStr">
        <is>
          <t>storm</t>
        </is>
      </c>
      <c r="B1992" t="inlineStr">
        <is>
          <t>storm-client/test/jvm/org/apache/storm/daemon/worker/WorkerTest.java</t>
        </is>
      </c>
      <c r="C1992">
        <f>HYPERLINK("https://github.com/apache/storm/blob/master/storm-client/test/jvm/org/apache/storm/daemon/worker/WorkerTest.java")</f>
        <v/>
      </c>
      <c r="D1992" t="inlineStr">
        <is>
          <t>This is a Java class named `Worker` that implements the `IConnectionWithStatus` interface from the `org.apache.storm.messaging` package. It has a single method called `close()` which takes no arguments and returns nothing.
The class is annotated with `@Test` indicating it is a test case, but it does not contain any actual tests. Instead</t>
        </is>
      </c>
      <c r="E1992" t="n">
        <v>0.0047</v>
      </c>
      <c r="F1992" t="n">
        <v>0.0968</v>
      </c>
      <c r="G1992" t="n">
        <v>0.122</v>
      </c>
      <c r="H1992" t="inlineStr">
        <is>
          <t>This code appears to be part of a Java project that implements a worker process for a Storm cluster. It defines a class named `Worker` that extends the `Thread` class and overrides its `run()` method to perform some actions related to managing connections between workers. The code also includes unit tests using JUnit.
The `Worker` class has several methods, including `open</t>
        </is>
      </c>
      <c r="I1992" t="n">
        <v>0.0039</v>
      </c>
      <c r="J1992" t="n">
        <v>0.08699999999999999</v>
      </c>
      <c r="K1992" t="n">
        <v>0.1504</v>
      </c>
      <c r="L1992" t="inlineStr">
        <is>
          <t>The provided code defines a unit test for `Worker` class in Storm's worker daemon component. It mocks a connection object using Mockito library and tests the `close()` method that closes the connection when called.</t>
        </is>
      </c>
      <c r="M1992" t="n">
        <v>0.0055</v>
      </c>
      <c r="N1992" t="n">
        <v>0.0465</v>
      </c>
      <c r="O1992" t="n">
        <v>0.09429999999999999</v>
      </c>
    </row>
    <row r="1993">
      <c r="A1993" t="inlineStr">
        <is>
          <t>storm</t>
        </is>
      </c>
      <c r="B1993" t="inlineStr">
        <is>
          <t>storm-client/test/jvm/org/apache/storm/daemon/worker/WorkerStateTest.java</t>
        </is>
      </c>
      <c r="C1993">
        <f>HYPERLINK("https://github.com/apache/storm/blob/master/storm-client/test/jvm/org/apache/storm/daemon/worker/WorkerStateTest.java")</f>
        <v/>
      </c>
      <c r="D1993" t="inlineStr">
        <is>
          <t>This Java file implements the `Worker` class, which is responsible for managing the worker process that runs on each node in a Storm cluster. It provides methods for starting and stopping the worker, as well as handling incoming tuples from other workers and emitting results to downstream workers. Additionally, it includes a number of utility functions for working with configuration files and logging messages.</t>
        </is>
      </c>
      <c r="E1993" t="n">
        <v>0.0037</v>
      </c>
      <c r="F1993" t="n">
        <v>0.1111</v>
      </c>
      <c r="G1993" t="n">
        <v>0.1471</v>
      </c>
      <c r="H1993" t="inlineStr">
        <is>
          <t>This Java package `org.apache.storm.daemon.worker` contains the implementation of the Storm worker process, which manages the execution of topology tasks on a worker node. It includes classes for reading and processing configuration files, setting up the local environment, and launching the task executors. The package also includes unit tests using JUnit.</t>
        </is>
      </c>
      <c r="I1993" t="n">
        <v>0.0044</v>
      </c>
      <c r="J1993" t="n">
        <v>0.0968</v>
      </c>
      <c r="K1993" t="n">
        <v>0.1639</v>
      </c>
      <c r="L1993" t="inlineStr">
        <is>
          <t>This Java package `org.apache.storm.daemon.worker` defines classes related to the Storm worker process. It includes a class called `Worker`, which is responsible for managing the worker's lifecycle, including starting and stopping the worker, as well as handling incoming tasks from the supervisor. The package also includes a number of other utility classes for working with Storm configurations</t>
        </is>
      </c>
      <c r="M1993" t="n">
        <v>0.0039</v>
      </c>
      <c r="N1993" t="n">
        <v>0.058</v>
      </c>
      <c r="O1993" t="n">
        <v>0.1172</v>
      </c>
    </row>
    <row r="1994">
      <c r="A1994" t="inlineStr">
        <is>
          <t>storm</t>
        </is>
      </c>
      <c r="B1994" t="inlineStr">
        <is>
          <t>storm-client/test/jvm/org/apache/storm/daemon/worker/LogConfigManagerTest.java</t>
        </is>
      </c>
      <c r="C1994">
        <f>HYPERLINK("https://github.com/apache/storm/blob/master/storm-client/test/jvm/org/apache/storm/daemon/worker/LogConfigManagerTest.java")</f>
        <v/>
      </c>
      <c r="D1994" t="inlineStr">
        <is>
          <t>This Java code appears to be part of a Storm worker process that manages tasks and assigns them to executors. It uses a TreeMap data structure to store task IDs and their corresponding executor IDs, and it uses atomic references to manage updates to these maps. The code also includes logging statements using Log4J. Overall, this code seems to be responsible for assigning tasks to execut</t>
        </is>
      </c>
      <c r="E1994" t="n">
        <v>0.0033</v>
      </c>
      <c r="F1994" t="n">
        <v>0.0541</v>
      </c>
      <c r="G1994" t="n">
        <v>0.1087</v>
      </c>
      <c r="H1994" t="inlineStr">
        <is>
          <t>This code defines a package called `org.apache.storm.daemon.worker` that provides a Java implementation of Storm's worker process. It includes several classes and interfaces, including `Worker`, which represents a single instance of the worker process, and `IConnection`, which abstracts away the connection between the worker and the Nimbus server. The code also includes a number</t>
        </is>
      </c>
      <c r="I1994" t="n">
        <v>0.0041</v>
      </c>
      <c r="J1994" t="n">
        <v>0.09089999999999999</v>
      </c>
      <c r="K1994" t="n">
        <v>0.12</v>
      </c>
      <c r="L1994" t="inlineStr">
        <is>
          <t>The code defines a worker process that runs on a Storm cluster node. It uses the Log4J logging framework and implements the core algorithms necessary for data processing. The code has a complexity of O(N), as it involves several operations and control flows. The main purpose of the code is to provide a robust and efficient implementation of the Storm worker process.</t>
        </is>
      </c>
      <c r="M1994" t="n">
        <v>0.0039</v>
      </c>
      <c r="N1994" t="n">
        <v>0.08450000000000001</v>
      </c>
      <c r="O1994" t="n">
        <v>0.1493</v>
      </c>
    </row>
    <row r="1995">
      <c r="A1995" t="inlineStr">
        <is>
          <t>storm</t>
        </is>
      </c>
      <c r="B1995" t="inlineStr">
        <is>
          <t>storm-client/test/jvm/org/apache/storm/serialization/SerializationFactoryTest.java</t>
        </is>
      </c>
      <c r="C1995">
        <f>HYPERLINK("https://github.com/apache/storm/blob/master/storm-client/test/jvm/org/apache/storm/serialization/SerializationFactoryTest.java")</f>
        <v/>
      </c>
      <c r="D1995" t="inlineStr">
        <is>
          <t>This code appears to be part of a Java library for serializing data using the Kryo serialization framework. It defines several classes related to serialization, including `KryoTupleSerializer`, which implements the `TupleSerializer` interface from Storm's API.
The `KryoTupleSerializer` class has two constructors, each taking a `Map`</t>
        </is>
      </c>
      <c r="E1995" t="n">
        <v>0.0049</v>
      </c>
      <c r="F1995" t="n">
        <v>0.0741</v>
      </c>
      <c r="G1995" t="n">
        <v>0.1282</v>
      </c>
      <c r="H1995" t="inlineStr">
        <is>
          <t>This code appears to be part of a Java project that implements serialization and deserialization of data using the Kryo library. It defines several classes related to serialization, including `KryoSerialization`, which provides methods for serializing and deserializing objects, and `BlowfishTupleSerializer`, which extends `KryoSerialization` to provide encryption capabilities.</t>
        </is>
      </c>
      <c r="I1995" t="n">
        <v>0.0051</v>
      </c>
      <c r="J1995" t="n">
        <v>0.1091</v>
      </c>
      <c r="K1995" t="n">
        <v>0.1681</v>
      </c>
      <c r="L1995" t="inlineStr">
        <is>
          <t>The provided code defines a class that implements the `Serializable` interface and provides methods for serializing and deserializing data using the Kryo library. It also includes some configuration options for customizing the serialization process.</t>
        </is>
      </c>
      <c r="M1995" t="n">
        <v>0.0065</v>
      </c>
      <c r="N1995" t="n">
        <v>0.09520000000000001</v>
      </c>
      <c r="O1995" t="n">
        <v>0.1415</v>
      </c>
    </row>
    <row r="1996">
      <c r="A1996" t="inlineStr">
        <is>
          <t>storm</t>
        </is>
      </c>
      <c r="B1996" t="inlineStr">
        <is>
          <t>storm-client/test/jvm/org/apache/storm/serialization/GzipBridgeThriftSerializationDelegateTest.java</t>
        </is>
      </c>
      <c r="C1996">
        <f>HYPERLINK("https://github.com/apache/storm/blob/master/storm-client/test/jvm/org/apache/storm/serialization/GzipBridgeThriftSerializationDelegateTest.java")</f>
        <v/>
      </c>
      <c r="D1996" t="inlineStr">
        <is>
          <t>This code appears to be part of a Java project that implements serialization and deserialization methods for Storm data structures. Specifically, it defines classes for serializing and deserializing instances of `GlobalStreamId`, which is a class defined in the Storm API.
The `GlobalStreamId` class represents a stream ID that consists of a component name and a stream name, and is</t>
        </is>
      </c>
      <c r="E1996" t="n">
        <v>0.0041</v>
      </c>
      <c r="F1996" t="n">
        <v>0.0896</v>
      </c>
      <c r="G1996" t="n">
        <v>0.1527</v>
      </c>
      <c r="H1996" t="inlineStr">
        <is>
          <t>This code appears to be part of an open source project called Storm, which is a distributed real-time computation system. It defines a class named `Serializer` that implements serialization and deserialization methods for various data types used in Storm. The class has several dependencies, including JUnit and Guava libraries, and it uses the `@BeforeEach` annotation from JUnit to set up some</t>
        </is>
      </c>
      <c r="I1996" t="n">
        <v>0.0039</v>
      </c>
      <c r="J1996" t="n">
        <v>0.0857</v>
      </c>
      <c r="K1996" t="n">
        <v>0.1504</v>
      </c>
      <c r="L1996" t="inlineStr">
        <is>
          <t>This Java class implements a serializer for Storm's GlobalStreamId object. It provides methods for serializing and deserializing GlobalStreamId objects using Kryo serialization library. The class also includes unit tests using JUnit framework.</t>
        </is>
      </c>
      <c r="M1996" t="n">
        <v>0.0077</v>
      </c>
      <c r="N1996" t="n">
        <v>0.1463</v>
      </c>
      <c r="O1996" t="n">
        <v>0.1923</v>
      </c>
    </row>
    <row r="1997">
      <c r="A1997" t="inlineStr">
        <is>
          <t>storm</t>
        </is>
      </c>
      <c r="B1997" t="inlineStr">
        <is>
          <t>storm-client/test/jvm/org/apache/storm/serialization/ThriftBridgeSerializationDelegateTest.java</t>
        </is>
      </c>
      <c r="C1997">
        <f>HYPERLINK("https://github.com/apache/storm/blob/master/storm-client/test/jvm/org/apache/storm/serialization/ThriftBridgeSerializationDelegateTest.java")</f>
        <v/>
      </c>
      <c r="D1997" t="inlineStr">
        <is>
          <t>This code appears to be part of a Java project that implements serialization for data structures used in Apache Storm. It includes a class called `ErrorInfo` which represents error information, as well as some unit tests for the implementation. The code also includes a comment block at the top that provides license information and a notice about copyright ownership. Overall, it seems like this code is related to</t>
        </is>
      </c>
      <c r="E1997" t="n">
        <v>0.0035</v>
      </c>
      <c r="F1997" t="n">
        <v>0.0789</v>
      </c>
      <c r="G1997" t="n">
        <v>0.1429</v>
      </c>
      <c r="H1997" t="inlineStr">
        <is>
          <t>This Java package `org.apache.storm.serialization` contains serialization utilities used by Apache Storm, a distributed real-time computation system. It includes classes that implement various serialization protocols, such as Avro, Thrift, and Protocol Buffers. The package also includes unit tests and documentation.</t>
        </is>
      </c>
      <c r="I1997" t="n">
        <v>0.0056</v>
      </c>
      <c r="J1997" t="n">
        <v>0.1176</v>
      </c>
      <c r="K1997" t="n">
        <v>0.1802</v>
      </c>
      <c r="L1997" t="inlineStr">
        <is>
          <t>The provided code defines a serializer class for the ErrorInfo object from the Storm project's generated package. It implements the Serializable interface and provides methods for serializing and deserializing ErrorInfo objects using Java's built-in serialization mechanism. The class also includes JUnit test cases for testing the correctness of the serialization and deserialization process.</t>
        </is>
      </c>
      <c r="M1997" t="n">
        <v>0.0041</v>
      </c>
      <c r="N1997" t="n">
        <v>0.0625</v>
      </c>
      <c r="O1997" t="n">
        <v>0.12</v>
      </c>
    </row>
    <row r="1998">
      <c r="A1998" t="inlineStr">
        <is>
          <t>storm</t>
        </is>
      </c>
      <c r="B1998" t="inlineStr">
        <is>
          <t>storm-client/test/jvm/org/apache/storm/utils/ThriftTopologyUtilsTest.java</t>
        </is>
      </c>
      <c r="C1998">
        <f>HYPERLINK("https://github.com/apache/storm/blob/master/storm-client/test/jvm/org/apache/storm/utils/ThriftTopologyUtilsTest.java")</f>
        <v/>
      </c>
      <c r="D1998" t="inlineStr">
        <is>
          <t>This Java package `org.apache.storm.utils` contains various utility classes and methods used throughout the Storm project. It includes implementations of several core algorithms, such as hash functions, serialization and deserialization utilities, and data structures like sets and maps. The package also provides a number of helper classes and interfaces that can be used to implement custom logic. Overall, the</t>
        </is>
      </c>
      <c r="E1998" t="n">
        <v>0.0045</v>
      </c>
      <c r="F1998" t="n">
        <v>0.1739</v>
      </c>
      <c r="G1998" t="n">
        <v>0.2308</v>
      </c>
      <c r="H1998" t="inlineStr">
        <is>
          <t>This code defines a Java package named `org.apache.storm.utils` that provides various utility classes and methods for working with Storm, an open-source data processing system. The package includes several classes, including `StormUtils`, which provides general-purpose utilities such as converting between different representations of time and computing hash codes. It also includes a class called `Backend</t>
        </is>
      </c>
      <c r="I1998" t="n">
        <v>0.004</v>
      </c>
      <c r="J1998" t="n">
        <v>0.0597</v>
      </c>
      <c r="K1998" t="n">
        <v>0.119</v>
      </c>
      <c r="L1998" t="inlineStr">
        <is>
          <t>The code defines a class named `Utils` that provides various utility functions for working with Storm topologies. It includes methods for serializing and deserializing data, as well as methods for generating unique IDs and handling sets. The class also imports several other classes from the Storm package, including `Bolt`, `ComponentCommon`, and `ByteBuffer`. Overall, the code appears to be</t>
        </is>
      </c>
      <c r="M1998" t="n">
        <v>0.0031</v>
      </c>
      <c r="N1998" t="n">
        <v>0.0606</v>
      </c>
      <c r="O1998" t="n">
        <v>0.0769</v>
      </c>
    </row>
    <row r="1999">
      <c r="A1999" t="inlineStr">
        <is>
          <t>storm</t>
        </is>
      </c>
      <c r="B1999" t="inlineStr">
        <is>
          <t>storm-client/test/jvm/org/apache/storm/utils/UtilsTest.java</t>
        </is>
      </c>
      <c r="C1999">
        <f>HYPERLINK("https://github.com/apache/storm/blob/master/storm-client/test/jvm/org/apache/storm/utils/UtilsTest.java")</f>
        <v/>
      </c>
      <c r="D1999" t="inlineStr">
        <is>
          <t>This Java package `org.apache.storm.utils` contains various utility classes and methods used throughout the Storm project. Some of the notable features include:
* A class called `Utils` that provides a variety of static utility methods, such as converting between different data types, checking if a string is null or empty, and creating random strings.
* An interface called `I</t>
        </is>
      </c>
      <c r="E1999" t="n">
        <v>0.0037</v>
      </c>
      <c r="F1999" t="n">
        <v>0.0597</v>
      </c>
      <c r="G1999" t="n">
        <v>0.1154</v>
      </c>
      <c r="H1999" t="inlineStr">
        <is>
          <t>This code appears to be part of a Java library called "Apache Storm". It defines several classes and methods related to network communication and data processing. The main class, `StormUtils`, provides utility functions such as converting between different units of measurement, calculating hash values, and performing other common tasks. The code also includes some comments that provide context and explain the purpose of each method. Over</t>
        </is>
      </c>
      <c r="I1999" t="n">
        <v>0.0033</v>
      </c>
      <c r="J1999" t="n">
        <v>0.08110000000000001</v>
      </c>
      <c r="K1999" t="n">
        <v>0.1087</v>
      </c>
      <c r="L1999" t="inlineStr">
        <is>
          <t>The provided code defines a class named `Utils` that provides various utility methods for working with Java collections and arrays. The class has several static methods that perform tasks such as sorting, filtering, mapping, and reducing data structures.
The class also includes a method called `getHostnameOrIp()` that returns the hostname or IP address of the current machine based on the system property</t>
        </is>
      </c>
      <c r="M1999" t="n">
        <v>0.0029</v>
      </c>
      <c r="N1999" t="n">
        <v>0.0286</v>
      </c>
      <c r="O1999" t="n">
        <v>0.0746</v>
      </c>
    </row>
    <row r="2000">
      <c r="A2000" t="inlineStr">
        <is>
          <t>storm</t>
        </is>
      </c>
      <c r="B2000" t="inlineStr">
        <is>
          <t>storm-client/test/jvm/org/apache/storm/utils/JCQueueBackpressureTest.java</t>
        </is>
      </c>
      <c r="C2000">
        <f>HYPERLINK("https://github.com/apache/storm/blob/master/storm-client/test/jvm/org/apache/storm/utils/JCQueueBackpressureTest.java")</f>
        <v/>
      </c>
      <c r="D2000" t="inlineStr">
        <is>
          <t>This code appears to be part of a Java project that implements various utility functions used by Storm, a popular open-source realtime computation system. It defines several classes and interfaces related to metrics, queues, and wait strategies.
The `StormMetricRegistry` class provides a registry for storing and retrieving metrics, which can be used to track performance and resource usage during</t>
        </is>
      </c>
      <c r="E2000" t="n">
        <v>0.0041</v>
      </c>
      <c r="F2000" t="n">
        <v>0.1176</v>
      </c>
      <c r="G2000" t="n">
        <v>0.1527</v>
      </c>
      <c r="H2000" t="inlineStr">
        <is>
          <t>This code defines a Java package called `org.apache.storm.utils` that provides various utility classes and functions used in the development of Storm, a distributed real-time computation system. The package includes several files, each of which implements a different feature or function. Some of these features include:
* A class called `JCQueue`, which is a thread-safe queue</t>
        </is>
      </c>
      <c r="I2000" t="n">
        <v>0.0044</v>
      </c>
      <c r="J2000" t="n">
        <v>0.0896</v>
      </c>
      <c r="K2000" t="n">
        <v>0.1575</v>
      </c>
      <c r="L2000" t="inlineStr">
        <is>
          <t>The code defines a class named `BackpressureUtils` that provides utility methods for managing backpressure in Storm. It imports several classes from other packages, including `StormMetricRegistry`, `WaitStrategyPark`, and `JCQueue`. The class has two static methods: `applyBackpressure()` and `getBackpressure()`.
The `applyBack</t>
        </is>
      </c>
      <c r="M2000" t="n">
        <v>0.0047</v>
      </c>
      <c r="N2000" t="n">
        <v>0.0426</v>
      </c>
      <c r="O2000" t="n">
        <v>0.045</v>
      </c>
    </row>
    <row r="2001">
      <c r="A2001" t="inlineStr">
        <is>
          <t>storm</t>
        </is>
      </c>
      <c r="B2001" t="inlineStr">
        <is>
          <t>storm-client/test/jvm/org/apache/storm/utils/ConfigUtilsTest.java</t>
        </is>
      </c>
      <c r="C2001">
        <f>HYPERLINK("https://github.com/apache/storm/blob/master/storm-client/test/jvm/org/apache/storm/utils/ConfigUtilsTest.java")</f>
        <v/>
      </c>
      <c r="D2001" t="inlineStr">
        <is>
          <t>This Java package `org.apache.storm.utils` implements various utility classes and functions used throughout the Storm project. The package includes the following classes:
* `Utils`: A class containing static methods that perform common tasks such as parsing command line arguments, reading configuration files, and creating directories.
* `LocalState`: A class that provides a local state store for Storm top</t>
        </is>
      </c>
      <c r="E2001" t="n">
        <v>0.0042</v>
      </c>
      <c r="F2001" t="n">
        <v>0.1212</v>
      </c>
      <c r="G2001" t="n">
        <v>0.155</v>
      </c>
      <c r="H2001" t="inlineStr">
        <is>
          <t>This code appears to be part of a Java project that implements various utilities for working with data structures such as lists and maps. The code includes comments and documentation that explain its purpose and usage. It also has a README file that provides some background information about the project and its goals.
The code defines several classes and interfaces related to data structure manipulation, including `ArrayList`,</t>
        </is>
      </c>
      <c r="I2001" t="n">
        <v>0.0036</v>
      </c>
      <c r="J2001" t="n">
        <v>0.08</v>
      </c>
      <c r="K2001" t="n">
        <v>0.1439</v>
      </c>
      <c r="L2001" t="inlineStr">
        <is>
          <t>The provided code defines a utility class named `Utils` that provides various static methods for working with Java collections. It also includes some error handling and logging features.
The primary purpose of the class appears to be providing helper functions for common tasks such as converting between data types, creating maps, and performing basic string manipulation. Some of the methods included in the class include:
*</t>
        </is>
      </c>
      <c r="M2001" t="n">
        <v>0.0028</v>
      </c>
      <c r="N2001" t="n">
        <v>0.0548</v>
      </c>
      <c r="O2001" t="n">
        <v>0.0725</v>
      </c>
    </row>
    <row r="2002">
      <c r="A2002" t="inlineStr">
        <is>
          <t>storm</t>
        </is>
      </c>
      <c r="B2002" t="inlineStr">
        <is>
          <t>storm-client/test/jvm/org/apache/storm/utils/SecurityUtilsTest.java</t>
        </is>
      </c>
      <c r="C2002">
        <f>HYPERLINK("https://github.com/apache/storm/blob/master/storm-client/test/jvm/org/apache/storm/utils/SecurityUtilsTest.java")</f>
        <v/>
      </c>
      <c r="D2002" t="inlineStr">
        <is>
          <t>This code defines a unit test for the `SecurityUtils` class, which provides utility methods for working with security-related tasks such as loading keystores and truststores. The test method `testInferKeyStoreTypeFromPath_Pkcs12()` verifies that the `inferKeyStoreTypeFromPath()` method correctly infers the key store type from the path</t>
        </is>
      </c>
      <c r="E2002" t="n">
        <v>0.0051</v>
      </c>
      <c r="F2002" t="n">
        <v>0.0755</v>
      </c>
      <c r="G2002" t="n">
        <v>0.1304</v>
      </c>
      <c r="H2002" t="inlineStr">
        <is>
          <t>This code defines a JUnit test case named `testInferKeyStoreTypeFromPath_Pkcs12` that tests the method `inferKeyStoreTypeFromPath()` in the `SecurityUtils` class. The method takes a string argument representing a path to a key store file and returns its type based on the file extension. The test case verifies that the method correctly</t>
        </is>
      </c>
      <c r="I2002" t="n">
        <v>0.0045</v>
      </c>
      <c r="J2002" t="n">
        <v>0.06900000000000001</v>
      </c>
      <c r="K2002" t="n">
        <v>0.08260000000000001</v>
      </c>
      <c r="L2002" t="inlineStr">
        <is>
          <t>The `SecurityUtils` class provides utility methods for working with security-related tasks such as loading keystores and verifying passwords. The `testInferKeyStoreTypeFromPath_Pkcs12()` method tests that the correct keystore type can be inferred from a PKCS#12 path.</t>
        </is>
      </c>
      <c r="M2002" t="n">
        <v>0.0055</v>
      </c>
      <c r="N2002" t="n">
        <v>0.0444</v>
      </c>
      <c r="O2002" t="n">
        <v>0.09429999999999999</v>
      </c>
    </row>
    <row r="2003">
      <c r="A2003" t="inlineStr">
        <is>
          <t>storm</t>
        </is>
      </c>
      <c r="B2003" t="inlineStr">
        <is>
          <t>storm-client/test/jvm/org/apache/storm/utils/StormBoundedExponentialBackoffRetryTest.java</t>
        </is>
      </c>
      <c r="C2003">
        <f>HYPERLINK("https://github.com/apache/storm/blob/master/storm-client/test/jvm/org/apache/storm/utils/StormBoundedExponentialBackoffRetryTest.java")</f>
        <v/>
      </c>
      <c r="D2003" t="inlineStr">
        <is>
          <t>This Java package `org.apache.storm.utils` contains a single class called `StormBoundedExpo`, which implements a bounded exponential algorithm. The class has a single method named `boundedExpo` that takes two parameters: `n` and `max`. It returns a value that is calculated using the formula `min(n, max)`.
The purpose of</t>
        </is>
      </c>
      <c r="E2003" t="n">
        <v>0.0053</v>
      </c>
      <c r="F2003" t="n">
        <v>0.1034</v>
      </c>
      <c r="G2003" t="n">
        <v>0.1695</v>
      </c>
      <c r="H2003" t="inlineStr">
        <is>
          <t>This code defines a Java package named `org.apache.storm.utils` that contains a single class named `StormBoundedExpo`. The class has a single method called `add`, which takes two integer arguments `a` and `b` and returns their sum. The method does not have any comments or documentation, but it is annotated with JUnit test annotations indicating</t>
        </is>
      </c>
      <c r="I2003" t="n">
        <v>0.0041</v>
      </c>
      <c r="J2003" t="n">
        <v>0.0625</v>
      </c>
      <c r="K2003" t="n">
        <v>0.08</v>
      </c>
      <c r="L2003" t="inlineStr">
        <is>
          <t>The code defines a bounded exponential backoff algorithm that provides a way to retry failed requests with increasing delays between attempts. It uses JUnit testing framework to test the correctness of the implementation.</t>
        </is>
      </c>
      <c r="M2003" t="n">
        <v>0</v>
      </c>
      <c r="N2003" t="n">
        <v>0.0488</v>
      </c>
      <c r="O2003" t="n">
        <v>0.0476</v>
      </c>
    </row>
    <row r="2004">
      <c r="A2004" t="inlineStr">
        <is>
          <t>storm</t>
        </is>
      </c>
      <c r="B2004" t="inlineStr">
        <is>
          <t>storm-client/test/jvm/org/apache/storm/utils/MockTupleHelpers.java</t>
        </is>
      </c>
      <c r="C2004">
        <f>HYPERLINK("https://github.com/apache/storm/blob/master/storm-client/test/jvm/org/apache/storm/utils/MockTupleHelpers.java")</f>
        <v/>
      </c>
      <c r="D2004" t="inlineStr">
        <is>
          <t>This code defines a utility class called `MockTupleHelpers` that provides methods for creating mock tuples used in unit testing Storm topologies. It imports several classes from the `org.apache.storm` package, including `Tuple`, which represents a tuple emitted by a spout or bolt, and `Constants`, which contains various constants used throughout the Storm project.</t>
        </is>
      </c>
      <c r="E2004" t="n">
        <v>0.0042</v>
      </c>
      <c r="F2004" t="n">
        <v>0.0645</v>
      </c>
      <c r="G2004" t="n">
        <v>0.121</v>
      </c>
      <c r="H2004" t="inlineStr">
        <is>
          <t>This code defines a set of utility methods for working with tuples in Apache Storm. Specifically, it provides a way to create mock tuples that can be used for testing purposes. The `MockTupleHelpers` class has several static methods that allow users to create mock tuples with different fields and values, as well as to get and set the contents of these tuples. Additionally,</t>
        </is>
      </c>
      <c r="I2004" t="n">
        <v>0.0034</v>
      </c>
      <c r="J2004" t="n">
        <v>0.0563</v>
      </c>
      <c r="K2004" t="n">
        <v>0.1111</v>
      </c>
      <c r="L2004" t="inlineStr">
        <is>
          <t>**Functionality**: A Java library that provides utility methods for creating mock tuples used in unit testing Storm topologies. It includes methods for generating mock tuples based on real data types such as integers, strings, and lists. Additionally, it provides a method for generating mock tuples based on a given schema.
The library also includes a `Mockito` extension for mocking</t>
        </is>
      </c>
      <c r="M2004" t="n">
        <v>0.0031</v>
      </c>
      <c r="N2004" t="n">
        <v>0.0597</v>
      </c>
      <c r="O2004" t="n">
        <v>0.07630000000000001</v>
      </c>
    </row>
    <row r="2005">
      <c r="A2005" t="inlineStr">
        <is>
          <t>storm</t>
        </is>
      </c>
      <c r="B2005" t="inlineStr">
        <is>
          <t>storm-client/test/jvm/org/apache/storm/utils/ShellUtilsTest.java</t>
        </is>
      </c>
      <c r="C2005">
        <f>HYPERLINK("https://github.com/apache/storm/blob/master/storm-client/test/jvm/org/apache/storm/utils/ShellUtilsTest.java")</f>
        <v/>
      </c>
      <c r="D2005" t="inlineStr">
        <is>
          <t>This code appears to be part of a Java library that provides various utility functions for working with Storm topologies. It defines several classes and interfaces related to configuration management, task execution, and communication between tasks.
The `StormUtils` class has methods for creating and managing topology configurations, such as `getComponentConfiguration()` and `getTaskIds()`. It also includes a method for</t>
        </is>
      </c>
      <c r="E2005" t="n">
        <v>0.0037</v>
      </c>
      <c r="F2005" t="n">
        <v>0.09089999999999999</v>
      </c>
      <c r="G2005" t="n">
        <v>0.1154</v>
      </c>
      <c r="H2005" t="inlineStr">
        <is>
          <t>This code appears to be part of an open source project called Apache Storm, which is a distributed real-time computation system. It is written in Java and defines several classes that provide various utility functions for the Storm ecosystem.
The `StormUtils` class provides methods for working with Storm configuration files, such as reading and parsing them into maps. The `ShellMsg` class</t>
        </is>
      </c>
      <c r="I2005" t="n">
        <v>0.0036</v>
      </c>
      <c r="J2005" t="n">
        <v>0.0857</v>
      </c>
      <c r="K2005" t="n">
        <v>0.1128</v>
      </c>
      <c r="L2005" t="inlineStr">
        <is>
          <t>This Java class implements the `Task` interface from the Apache Storm project. It provides a simple implementation of the `execute()` method that takes a `ShellMsg` object as input and returns a `Map` containing the output of the task. The class also has several static methods that provide helper functions for working with the `ShellMsg` object and the `TopologyContext`.
The</t>
        </is>
      </c>
      <c r="M2005" t="n">
        <v>0.0041</v>
      </c>
      <c r="N2005" t="n">
        <v>0.1194</v>
      </c>
      <c r="O2005" t="n">
        <v>0.1527</v>
      </c>
    </row>
    <row r="2006">
      <c r="A2006" t="inlineStr">
        <is>
          <t>storm</t>
        </is>
      </c>
      <c r="B2006" t="inlineStr">
        <is>
          <t>storm-client/test/jvm/org/apache/storm/utils/ShellBoltMessageQueueTest.java</t>
        </is>
      </c>
      <c r="C2006">
        <f>HYPERLINK("https://github.com/apache/storm/blob/master/storm-client/test/jvm/org/apache/storm/utils/ShellBoltMessageQueueTest.java")</f>
        <v/>
      </c>
      <c r="D2006" t="inlineStr">
        <is>
          <t>This Java package `org.apache.storm.utils` contains various utility classes used in the development of Storm, a real-time computation system. It includes a class called `BoltMsg`, which represents a message sent from a spout to a bolt, as well as other utilities such as `TupleUtils`.
The `BoltMsg` class has two</t>
        </is>
      </c>
      <c r="E2006" t="n">
        <v>0.0038</v>
      </c>
      <c r="F2006" t="n">
        <v>0.0333</v>
      </c>
      <c r="G2006" t="n">
        <v>0.0833</v>
      </c>
      <c r="H2006" t="inlineStr">
        <is>
          <t>This code defines a Java package named `org.apache.storm.utils` that provides various utility functions used in the development of Storm, an open-source distributed real-time computation system. The package includes several classes and interfaces, but the main focus of this analysis is on the `BackendService` class, which implements the `IBackendService` interface.
The</t>
        </is>
      </c>
      <c r="I2006" t="n">
        <v>0.0048</v>
      </c>
      <c r="J2006" t="n">
        <v>0.09520000000000001</v>
      </c>
      <c r="K2006" t="n">
        <v>0.1639</v>
      </c>
      <c r="L2006" t="inlineStr">
        <is>
          <t>The provided Java code defines a class named `BackpressureUtils` that provides utility methods for implementing backpressure in Storm topologies. The class has several static methods that can be used to implement backpressure in different scenarios, such as when processing tuples from bolts or spouts.
The `BackpressureUtils` class uses Guava's `RateLimiter</t>
        </is>
      </c>
      <c r="M2006" t="n">
        <v>0</v>
      </c>
      <c r="N2006" t="n">
        <v>0.0339</v>
      </c>
      <c r="O2006" t="n">
        <v>0.082</v>
      </c>
    </row>
    <row r="2007">
      <c r="A2007" t="inlineStr">
        <is>
          <t>storm</t>
        </is>
      </c>
      <c r="B2007" t="inlineStr">
        <is>
          <t>storm-client/test/jvm/org/apache/storm/utils/PredicateMatcher.java</t>
        </is>
      </c>
      <c r="C2007">
        <f>HYPERLINK("https://github.com/apache/storm/blob/master/storm-client/test/jvm/org/apache/storm/utils/PredicateMatcher.java")</f>
        <v/>
      </c>
      <c r="D2007" t="inlineStr">
        <is>
          <t>This code defines a custom matcher called `PredicateMatcher` that can be used to match objects against a given predicate. It takes a `Predicate` object as input and provides a `matches` method that returns true if the input object matches the predicate, and false otherwise. The `match` method also has a `describeMismatch` method that describes the mismatch between</t>
        </is>
      </c>
      <c r="E2007" t="n">
        <v>0.0038</v>
      </c>
      <c r="F2007" t="n">
        <v>0.0615</v>
      </c>
      <c r="G2007" t="n">
        <v>0.1163</v>
      </c>
      <c r="H2007" t="inlineStr">
        <is>
          <t>This code is part of a Java library called `org.apache.storm.utils` and it defines a custom matcher class called `PredicateMatcher`. It takes a `Predicate` object as input and provides a way to check if a given value matches that predicate. The `PredicateMatcher` class implements the `TypeSafeMatcher` interface from Hamc</t>
        </is>
      </c>
      <c r="I2007" t="n">
        <v>0.005</v>
      </c>
      <c r="J2007" t="n">
        <v>0.0678</v>
      </c>
      <c r="K2007" t="n">
        <v>0.1667</v>
      </c>
      <c r="L2007" t="inlineStr">
        <is>
          <t>This code defines a custom matcher for Hamcrest that allows you to test whether a given object matches a specified predicate. It takes a `Predicate` as input and uses it to evaluate whether the object being matched satisfies the predicate's conditions. The matcher returns true if the object matches the predicate, and false otherwise.</t>
        </is>
      </c>
      <c r="M2007" t="n">
        <v>0.004</v>
      </c>
      <c r="N2007" t="n">
        <v>0.0635</v>
      </c>
      <c r="O2007" t="n">
        <v>0.119</v>
      </c>
    </row>
    <row r="2008">
      <c r="A2008" t="inlineStr">
        <is>
          <t>storm</t>
        </is>
      </c>
      <c r="B2008" t="inlineStr">
        <is>
          <t>storm-client/test/jvm/org/apache/storm/utils/SimpleVersionTest.java</t>
        </is>
      </c>
      <c r="C2008">
        <f>HYPERLINK("https://github.com/apache/storm/blob/master/storm-client/test/jvm/org/apache/storm/utils/SimpleVersionTest.java")</f>
        <v/>
      </c>
      <c r="D2008" t="inlineStr">
        <is>
          <t>This Java package `org.apache.storm.utils` contains a single JUnit test class named `SimpleVersionTest`. The test case defines a method called `test()` that tests the correctness of a simple version comparison algorithm. The test uses the `assertEquals()` method from JUnit's Assertion Framework to verify that the expected result matches the actual result. The expected result</t>
        </is>
      </c>
      <c r="E2008" t="n">
        <v>0.0035</v>
      </c>
      <c r="F2008" t="n">
        <v>0.0308</v>
      </c>
      <c r="G2008" t="n">
        <v>0.08</v>
      </c>
      <c r="H2008" t="inlineStr">
        <is>
          <t>This code implements a test case for a method called `test` that takes no arguments and returns nothing. It uses JUnit's `@Test` annotation to indicate that it is a unit test. The method itself does not contain any logic, but rather serves as a placeholder for future testing.</t>
        </is>
      </c>
      <c r="I2008" t="n">
        <v>0.005</v>
      </c>
      <c r="J2008" t="n">
        <v>0.1404</v>
      </c>
      <c r="K2008" t="n">
        <v>0.1667</v>
      </c>
      <c r="L2008" t="inlineStr">
        <is>
          <t>The provided code defines a simple version comparison function that takes two strings as input and returns true if they represent the same version number. The function uses a regular expression to extract the major, minor, and patch versions from each string, and then compares them using numerical comparisons. If all three parts match, the function returns true, otherwise false. The test case verifies the correctness of</t>
        </is>
      </c>
      <c r="M2008" t="n">
        <v>0.0027</v>
      </c>
      <c r="N2008" t="n">
        <v>0.0533</v>
      </c>
      <c r="O2008" t="n">
        <v>0.07190000000000001</v>
      </c>
    </row>
    <row r="2009">
      <c r="A2009" t="inlineStr">
        <is>
          <t>storm</t>
        </is>
      </c>
      <c r="B2009" t="inlineStr">
        <is>
          <t>storm-client/test/jvm/org/apache/storm/utils/JCQueueTest.java</t>
        </is>
      </c>
      <c r="C2009">
        <f>HYPERLINK("https://github.com/apache/storm/blob/master/storm-client/test/jvm/org/apache/storm/utils/JCQueueTest.java")</f>
        <v/>
      </c>
      <c r="D2009" t="inlineStr">
        <is>
          <t>This code appears to be a Java implementation of various utility functions used in the Apache Storm project. It includes methods for checking if a string is empty, comparing two strings, and generating random numbers. There are also some JUnit tests included in the code that test these functions. Overall, it seems like a useful library for implementing common tasks in a variety of contexts.</t>
        </is>
      </c>
      <c r="E2009" t="n">
        <v>0.0033</v>
      </c>
      <c r="F2009" t="n">
        <v>0.1096</v>
      </c>
      <c r="G2009" t="n">
        <v>0.146</v>
      </c>
      <c r="H2009" t="inlineStr">
        <is>
          <t>This code implements various utilities used in Apache Storm, including methods for handling exceptions, logging, and testing. It uses JUnit for unit tests and has a complexity of O(N). The README provides an overview of the project's purpose and structure, while the comments provide detailed explanations of each method.</t>
        </is>
      </c>
      <c r="I2009" t="n">
        <v>0.0049</v>
      </c>
      <c r="J2009" t="n">
        <v>0.1017</v>
      </c>
      <c r="K2009" t="n">
        <v>0.1653</v>
      </c>
      <c r="L2009" t="inlineStr">
        <is>
          <t>The provided code implements a utility class called `Utils` that provides various helper methods for working with strings, arrays, and other data structures. The class has several methods for manipulating strings, such as `split()`, `join()`, and `format()`. It also includes methods for checking if a string is empty, null, or blank, and for trimming whitespace from the beginning and end of a</t>
        </is>
      </c>
      <c r="M2009" t="n">
        <v>0.0035</v>
      </c>
      <c r="N2009" t="n">
        <v>0.0571</v>
      </c>
      <c r="O2009" t="n">
        <v>0.1119</v>
      </c>
    </row>
    <row r="2010">
      <c r="A2010" t="inlineStr">
        <is>
          <t>storm</t>
        </is>
      </c>
      <c r="B2010" t="inlineStr">
        <is>
          <t>storm-client/test/jvm/org/apache/storm/utils/ThrowableNestedCauseMatcher.java</t>
        </is>
      </c>
      <c r="C2010">
        <f>HYPERLINK("https://github.com/apache/storm/blob/master/storm-client/test/jvm/org/apache/storm/utils/ThrowableNestedCauseMatcher.java")</f>
        <v/>
      </c>
      <c r="D2010" t="inlineStr">
        <is>
          <t>This code defines a custom Hamcrest matcher called `ThrowableNestedCauseMatcher` that can be used to check if a given throwable has a nested cause that matches a certain condition. It does this by recursively checking the cause chain of the throwable until it finds a match.
The implementation consists of two main methods:
* `matchesSaf</t>
        </is>
      </c>
      <c r="E2010" t="n">
        <v>0.0034</v>
      </c>
      <c r="F2010" t="n">
        <v>0.06560000000000001</v>
      </c>
      <c r="G2010" t="n">
        <v>0.119</v>
      </c>
      <c r="H2010" t="inlineStr">
        <is>
          <t>This code defines a custom matcher called `ThrowableNestedCauseMatcher` that can be used to test if a given throwable has a nested cause that matches a certain criteria. It does this by recursively traversing the causes of the throwable until it finds a matching cause or reaches the end of the chain. Once it finds a matching cause, it returns true. If</t>
        </is>
      </c>
      <c r="I2010" t="n">
        <v>0.003</v>
      </c>
      <c r="J2010" t="n">
        <v>0.029</v>
      </c>
      <c r="K2010" t="n">
        <v>0.0752</v>
      </c>
      <c r="L2010" t="inlineStr">
        <is>
          <t>The `ThrowableNestedCauseMatcher` class provides a matcher that checks if a given throwable has a nested cause matching a specified predicate. It uses the `Hamcrest` library to provide a fluent API for defining the predicate. The class takes two parameters in its constructor:
* `predicate`: A function that takes a `Throwable` as</t>
        </is>
      </c>
      <c r="M2010" t="n">
        <v>0</v>
      </c>
      <c r="N2010" t="n">
        <v>0.0345</v>
      </c>
      <c r="O2010" t="n">
        <v>0.0407</v>
      </c>
    </row>
    <row r="2011">
      <c r="A2011" t="inlineStr">
        <is>
          <t>storm</t>
        </is>
      </c>
      <c r="B2011" t="inlineStr">
        <is>
          <t>storm-client/test/jvm/org/apache/storm/utils/CuratorUtilsTest.java</t>
        </is>
      </c>
      <c r="C2011">
        <f>HYPERLINK("https://github.com/apache/storm/blob/master/storm-client/test/jvm/org/apache/storm/utils/CuratorUtilsTest.java")</f>
        <v/>
      </c>
      <c r="D2011" t="inlineStr">
        <is>
          <t>This code appears to be a Java implementation of a utility class for working with files and directories. It provides several methods for interacting with the file system, including creating new directories, listing the contents of a directory, and deleting files and directories. The code also includes some error handling and logging features. Overall, it seems like this code could be useful for building applications that need to perform basic</t>
        </is>
      </c>
      <c r="E2011" t="n">
        <v>0.0031</v>
      </c>
      <c r="F2011" t="n">
        <v>0.0769</v>
      </c>
      <c r="G2011" t="n">
        <v>0.1408</v>
      </c>
      <c r="H2011" t="inlineStr">
        <is>
          <t>This code defines a Java package called `org.apache.storm.utils` that contains various utility classes and methods used by Storm, an open-source distributed real-time computation system. The package includes several classes, including `ZookeeperUtils`, which provides utilities for working with ZooKeeper, a centralized service for maintaining configuration and coordinating cluster state.</t>
        </is>
      </c>
      <c r="I2011" t="n">
        <v>0.0045</v>
      </c>
      <c r="J2011" t="n">
        <v>0.06560000000000001</v>
      </c>
      <c r="K2011" t="n">
        <v>0.125</v>
      </c>
      <c r="L2011" t="inlineStr">
        <is>
          <t>This Java package `org.apache.storm.utils` provides utilities for working with Apache Storm. It includes classes for interacting with ZooKeeper, managing topology configurations, and implementing core algorithms. The package also includes a class called `InstanceSpec` that represents a specification for an instance of a service.</t>
        </is>
      </c>
      <c r="M2011" t="n">
        <v>0.0056</v>
      </c>
      <c r="N2011" t="n">
        <v>0.1111</v>
      </c>
      <c r="O2011" t="n">
        <v>0.3235</v>
      </c>
    </row>
    <row r="2012">
      <c r="A2012" t="inlineStr">
        <is>
          <t>storm</t>
        </is>
      </c>
      <c r="B2012" t="inlineStr">
        <is>
          <t>storm-client/test/jvm/org/apache/storm/utils/DefaultShellLogHandlerTest.java</t>
        </is>
      </c>
      <c r="C2012">
        <f>HYPERLINK("https://github.com/apache/storm/blob/master/storm-client/test/jvm/org/apache/storm/utils/DefaultShellLogHandlerTest.java")</f>
        <v/>
      </c>
      <c r="D2012" t="inlineStr">
        <is>
          <t>This Java package `org.apache.storm.utils` contains various utility classes used in the development and execution of Storm, a real-time computation system. The package includes a class called `ShellUtils`, which provides methods for working with shell commands and their output. The class also defines several constants related to Shell logging levels.
The `ShellUtils` class has two main</t>
        </is>
      </c>
      <c r="E2012" t="n">
        <v>0.004</v>
      </c>
      <c r="F2012" t="n">
        <v>0.0597</v>
      </c>
      <c r="G2012" t="n">
        <v>0.1181</v>
      </c>
      <c r="H2012" t="inlineStr">
        <is>
          <t>This code appears to be part of a Java project that implements various utility functions used by Apache Storm, a distributed real-time computation system. The code defines several classes and methods related to logging, including the `ShellMsg` class which represents messages exchanged between different processes in a Storm topology, and the `ShellLogLevel` enum which specifies the level of severity for log messages.</t>
        </is>
      </c>
      <c r="I2012" t="n">
        <v>0.0039</v>
      </c>
      <c r="J2012" t="n">
        <v>0.1127</v>
      </c>
      <c r="K2012" t="n">
        <v>0.1493</v>
      </c>
      <c r="L2012" t="inlineStr">
        <is>
          <t>This Java package named `org.apache.storm.utils` provides utility functions for Apache Storm, a real-time computation system. It includes methods for logging, error handling, and other common tasks that are used throughout the project. The package also defines a class called `ShellMsg`, which represents messages sent between different processes in Storm's architecture. The package is written using JUnit</t>
        </is>
      </c>
      <c r="M2012" t="n">
        <v>0.0039</v>
      </c>
      <c r="N2012" t="n">
        <v>0.08699999999999999</v>
      </c>
      <c r="O2012" t="n">
        <v>0.1172</v>
      </c>
    </row>
    <row r="2013">
      <c r="A2013" t="inlineStr">
        <is>
          <t>storm</t>
        </is>
      </c>
      <c r="B2013" t="inlineStr">
        <is>
          <t>storm-client/test/jvm/org/apache/storm/utils/TimeTest.java</t>
        </is>
      </c>
      <c r="C2013">
        <f>HYPERLINK("https://github.com/apache/storm/blob/master/storm-client/test/jvm/org/apache/storm/utils/TimeTest.java")</f>
        <v/>
      </c>
      <c r="D2013" t="inlineStr">
        <is>
          <t>This Java code defines a class called `SimulatedTime` that implements the `Time` interface. It provides methods for simulating time operations such as sleeping and getting the current time. The code also includes JUnit tests for testing the correctness of the implementation.
The `SimulatedTime` class has two main methods:
* `sleep`: Sleeps for a</t>
        </is>
      </c>
      <c r="E2013" t="n">
        <v>0.0045</v>
      </c>
      <c r="F2013" t="n">
        <v>0.1</v>
      </c>
      <c r="G2013" t="n">
        <v>0.12</v>
      </c>
      <c r="H2013" t="inlineStr">
        <is>
          <t>This Java package `org.apache.storm.utils` contains various utility classes used in the development of Storm, an open-source distributed real-time computation system. The package includes several classes that provide support for tasks such as time management, serialization, and testing.
The main class in this package is `Time`, which provides methods for managing time in a distributed environment</t>
        </is>
      </c>
      <c r="I2013" t="n">
        <v>0.004</v>
      </c>
      <c r="J2013" t="n">
        <v>0.0588</v>
      </c>
      <c r="K2013" t="n">
        <v>0.1181</v>
      </c>
      <c r="L2013" t="inlineStr">
        <is>
          <t>The provided code defines a JUnit test class named `SimulatedTimeTest` that tests the functionality of the `SimulatedTime` class. The `SimulatedTime` class provides a simulated clock that can be used to simulate time passing during testing. The test class uses the `SimulatedTime` class to verify that the `sleep()` method correctly sleeps for the specified amount of</t>
        </is>
      </c>
      <c r="M2013" t="n">
        <v>0.0033</v>
      </c>
      <c r="N2013" t="n">
        <v>0.0317</v>
      </c>
      <c r="O2013" t="n">
        <v>0.0394</v>
      </c>
    </row>
    <row r="2014">
      <c r="A2014" t="inlineStr">
        <is>
          <t>storm</t>
        </is>
      </c>
      <c r="B2014" t="inlineStr">
        <is>
          <t>storm-client/test/jvm/org/apache/storm/tuple/FieldsTest.java</t>
        </is>
      </c>
      <c r="C2014">
        <f>HYPERLINK("https://github.com/apache/storm/blob/master/storm-client/test/jvm/org/apache/storm/tuple/FieldsTest.java")</f>
        <v/>
      </c>
      <c r="D2014" t="inlineStr">
        <is>
          <t>This Java code defines a class called `Tuple` that represents a tuple in Storm, which is a data structure used to represent a single unit of data in a stream processing system like Apache Storm. The `Tuple` class has several methods for accessing and manipulating its fields, such as `getValues()`, `setValue()`, and `getValue()`. It also implements the `Iterable`</t>
        </is>
      </c>
      <c r="E2014" t="n">
        <v>0.0041</v>
      </c>
      <c r="F2014" t="n">
        <v>0.0606</v>
      </c>
      <c r="G2014" t="n">
        <v>0.1538</v>
      </c>
      <c r="H2014" t="inlineStr">
        <is>
          <t>This code appears to be part of an open source project called Apache Storm, which is a distributed real-time computation system. It defines a class named `Tuple` that represents a data structure used to represent tuples in Storm's topology API.
The `Tuple` class has several methods, including `getValues()`, `getInteger()`, `getString()`, and `getValue()`</t>
        </is>
      </c>
      <c r="I2014" t="n">
        <v>0.0042</v>
      </c>
      <c r="J2014" t="n">
        <v>0.0645</v>
      </c>
      <c r="K2014" t="n">
        <v>0.121</v>
      </c>
      <c r="L2014" t="inlineStr">
        <is>
          <t>This code defines a class called `Tuple` that represents a data structure used in Storm, which is a real-time computation system. It provides methods for accessing and manipulating tuples, as well as implementing the Iterator interface. The class has a constructor that takes a list of objects as input, and it also includes getters and setters for various properties such as the tuple ID</t>
        </is>
      </c>
      <c r="M2014" t="n">
        <v>0.0034</v>
      </c>
      <c r="N2014" t="n">
        <v>0.0822</v>
      </c>
      <c r="O2014" t="n">
        <v>0.1471</v>
      </c>
    </row>
    <row r="2015">
      <c r="A2015" t="inlineStr">
        <is>
          <t>storm</t>
        </is>
      </c>
      <c r="B2015" t="inlineStr">
        <is>
          <t>storm-client/test/jvm/org/apache/storm/tuple/ValuesTest.java</t>
        </is>
      </c>
      <c r="C2015">
        <f>HYPERLINK("https://github.com/apache/storm/blob/master/storm-client/test/jvm/org/apache/storm/tuple/ValuesTest.java")</f>
        <v/>
      </c>
      <c r="D2015" t="inlineStr">
        <is>
          <t>This code defines a JUnit test class named `ValuesTest` that tests the behavior of the `Values` class from the Storm tuple library. The test method `testNoArgsToValues` verifies that calling the `toValues()` method without any arguments returns an empty list of values.</t>
        </is>
      </c>
      <c r="E2015" t="n">
        <v>0.0045</v>
      </c>
      <c r="F2015" t="n">
        <v>0.0408</v>
      </c>
      <c r="G2015" t="n">
        <v>0.0442</v>
      </c>
      <c r="H2015" t="inlineStr">
        <is>
          <t>This code defines a JUnit test case named `testNoArgsToValues` that tests the functionality of the `Values` class. The method being tested is the constructor of the `Values` class, which takes no arguments and returns an instance of the `Values` class. The test case asserts that the returned object has the expected properties and methods.
The README</t>
        </is>
      </c>
      <c r="I2015" t="n">
        <v>0.0043</v>
      </c>
      <c r="J2015" t="n">
        <v>0.09379999999999999</v>
      </c>
      <c r="K2015" t="n">
        <v>0.1172</v>
      </c>
      <c r="L2015" t="inlineStr">
        <is>
          <t>This code defines a JUnit test case for the `Values` class in the Storm project's tuple package. The test checks that calling the constructor without any arguments returns an empty list of values.</t>
        </is>
      </c>
      <c r="M2015" t="n">
        <v>0.0056</v>
      </c>
      <c r="N2015" t="n">
        <v>0.0476</v>
      </c>
      <c r="O2015" t="n">
        <v>0.0476</v>
      </c>
    </row>
    <row r="2016">
      <c r="A2016" t="inlineStr">
        <is>
          <t>storm</t>
        </is>
      </c>
      <c r="B2016" t="inlineStr">
        <is>
          <t>storm-client/test/jvm/org/apache/storm/assignments/LocalAssignmentsBackendTest.java</t>
        </is>
      </c>
      <c r="C2016">
        <f>HYPERLINK("https://github.com/apache/storm/blob/master/storm-client/test/jvm/org/apache/storm/assignments/LocalAssignmentsBackendTest.java")</f>
        <v/>
      </c>
      <c r="D2016" t="inlineStr">
        <is>
          <t>This code implements various algorithms related to data processing and analysis. It includes functions for sorting, searching, and manipulating data structures such as lists and maps. The code also includes implementations of core algorithms used in machine learning and data science applications. Overall, the code appears to be well-structured and easy to understand, making it a valuable resource for developers who need to implement these types of</t>
        </is>
      </c>
      <c r="E2016" t="n">
        <v>0.0038</v>
      </c>
      <c r="F2016" t="n">
        <v>0.1053</v>
      </c>
      <c r="G2016" t="n">
        <v>0.1799</v>
      </c>
      <c r="H2016" t="inlineStr">
        <is>
          <t>This code defines a Java package named `org.apache.storm.assignments` that contains several classes and interfaces related to assigning tasks to nodes in a distributed computing system. The main class in this package is called `Assignments`, which implements the `IAssignmentStrategy` interface.
The `Assignments` class has several methods that perform different tasks related to task</t>
        </is>
      </c>
      <c r="I2016" t="n">
        <v>0.0046</v>
      </c>
      <c r="J2016" t="n">
        <v>0.0635</v>
      </c>
      <c r="K2016" t="n">
        <v>0.121</v>
      </c>
      <c r="L2016" t="inlineStr">
        <is>
          <t>The provided code implements a class that assigns tasks to workers based on certain criteria. It takes a list of worker IDs as input and returns a map from task IDs to worker IDs. The algorithm used to assign tasks is not specified in the code, but it appears to be based on some heuristics such as round robin assignment and load balancing. The code also includes comments about the</t>
        </is>
      </c>
      <c r="M2016" t="n">
        <v>0.0031</v>
      </c>
      <c r="N2016" t="n">
        <v>0.0513</v>
      </c>
      <c r="O2016" t="n">
        <v>0.1056</v>
      </c>
    </row>
    <row r="2017">
      <c r="A2017" t="inlineStr">
        <is>
          <t>storm</t>
        </is>
      </c>
      <c r="B2017" t="inlineStr">
        <is>
          <t>storm-client/test/jvm/org/apache/storm/trident/TestTridentTopology.java</t>
        </is>
      </c>
      <c r="C2017">
        <f>HYPERLINK("https://github.com/apache/storm/blob/master/storm-client/test/jvm/org/apache/storm/trident/TestTridentTopology.java")</f>
        <v/>
      </c>
      <c r="D2017" t="inlineStr">
        <is>
          <t>This code appears to be part of a Java project that implements a Storm topology using Trident. It defines several classes related to the topology's structure and operation, including `TridentTopology`, which represents the overall topology, and `TridentState`, which represents a stateful component of the topology. The code also includes some utility methods for working with maps and sets. Overall,</t>
        </is>
      </c>
      <c r="E2017" t="n">
        <v>0.0041</v>
      </c>
      <c r="F2017" t="n">
        <v>0.0882</v>
      </c>
      <c r="G2017" t="n">
        <v>0.2409</v>
      </c>
      <c r="H2017" t="inlineStr">
        <is>
          <t>This code defines a Java package named `org.apache.storm.trident` that provides classes and interfaces for implementing Trident, which is a stream processing system built on top of Storm. The package includes several classes, including `TridentTopology`, `Stream`, and `State`. These classes provide methods for defining streams, operations, and stateful transformations that can be applied to</t>
        </is>
      </c>
      <c r="I2017" t="n">
        <v>0.0041</v>
      </c>
      <c r="J2017" t="n">
        <v>0.09379999999999999</v>
      </c>
      <c r="K2017" t="n">
        <v>0.12</v>
      </c>
      <c r="L2017" t="inlineStr">
        <is>
          <t>This Java class implements the `Trident` interface and provides a way to build complex event processing pipelines using Storm's Trident API. It takes a `Map` of configuration options as input and returns a `StormTopology` object that represents the topology of the pipeline. The class also defines several methods for building and configuring the pipeline, including `addState`, `add</t>
        </is>
      </c>
      <c r="M2017" t="n">
        <v>0.0042</v>
      </c>
      <c r="N2017" t="n">
        <v>0.09089999999999999</v>
      </c>
      <c r="O2017" t="n">
        <v>0.155</v>
      </c>
    </row>
    <row r="2018">
      <c r="A2018" t="inlineStr">
        <is>
          <t>storm</t>
        </is>
      </c>
      <c r="B2018" t="inlineStr">
        <is>
          <t>storm-client/test/jvm/org/apache/storm/trident/TridentWindowingTest.java</t>
        </is>
      </c>
      <c r="C2018">
        <f>HYPERLINK("https://github.com/apache/storm/blob/master/storm-client/test/jvm/org/apache/storm/trident/TridentWindowingTest.java")</f>
        <v/>
      </c>
      <c r="D2018" t="inlineStr">
        <is>
          <t>This code appears to be part of a Java project that implements a Trident windowing system using the InMemoryWindowsStore class from Storm's trident package. It defines a BaseWindowedBolt subclass named SimpleTridentWindowedBolt that overrides the execute method to process tuples based on their timestamps within the specified time windows. The constructor takes two parameters: a</t>
        </is>
      </c>
      <c r="E2018" t="n">
        <v>0.004</v>
      </c>
      <c r="F2018" t="n">
        <v>0.0635</v>
      </c>
      <c r="G2018" t="n">
        <v>0.119</v>
      </c>
      <c r="H2018" t="inlineStr">
        <is>
          <t>This code appears to be part of an Apache Storm project, specifically the Trident API. It defines a Java class called `TridentWindow`, which extends the `BaseWindowedBolt` class from the Storm library.
The `TridentWindow` class implements a windowing mechanism that allows data processing tasks to operate over time windows. It uses an In-Memory Windows Store to</t>
        </is>
      </c>
      <c r="I2018" t="n">
        <v>0.004</v>
      </c>
      <c r="J2018" t="n">
        <v>0.0625</v>
      </c>
      <c r="K2018" t="n">
        <v>0.1181</v>
      </c>
      <c r="L2018" t="inlineStr">
        <is>
          <t>This code defines a Trident windowed bolt that uses an in-memory store to track tuples within a sliding time window. It takes two parameters: `time` and `period`, which specify the length of the time window and the frequency at which the window should be updated, respectively. The bolt processes incoming tuples using a custom implementation of the `execute()` method,</t>
        </is>
      </c>
      <c r="M2018" t="n">
        <v>0.0037</v>
      </c>
      <c r="N2018" t="n">
        <v>0.0588</v>
      </c>
      <c r="O2018" t="n">
        <v>0.1527</v>
      </c>
    </row>
    <row r="2019">
      <c r="A2019" t="inlineStr">
        <is>
          <t>storm</t>
        </is>
      </c>
      <c r="B2019" t="inlineStr">
        <is>
          <t>storm-client/test/jvm/org/apache/storm/testing/IntegrationTest.java</t>
        </is>
      </c>
      <c r="C2019">
        <f>HYPERLINK("https://github.com/apache/storm/blob/master/storm-client/test/jvm/org/apache/storm/testing/IntegrationTest.java")</f>
        <v/>
      </c>
      <c r="D2019" t="inlineStr">
        <is>
          <t>This Java package `org.apache.storm.testing` contains classes related to testing Storm applications. It includes annotations used for unit testing and integration testing, as well as other utilities for testing purposes. The package also contains a README file that describes the purpose of the repository and its contents.</t>
        </is>
      </c>
      <c r="E2019" t="n">
        <v>0.0048</v>
      </c>
      <c r="F2019" t="n">
        <v>0.0702</v>
      </c>
      <c r="G2019" t="n">
        <v>0.1271</v>
      </c>
      <c r="H2019" t="inlineStr">
        <is>
          <t>This code defines a Java annotation called `StormTesting` that can be used to mark classes or methods as being part of the Apache Storm testing framework. It includes several fields and methods related to the annotation's behavior, including its name, description, and inheritance status. The annotation is defined using the `@interface` keyword and is marked with the `@Inherited` and `@Ret</t>
        </is>
      </c>
      <c r="I2019" t="n">
        <v>0.0036</v>
      </c>
      <c r="J2019" t="n">
        <v>0.058</v>
      </c>
      <c r="K2019" t="n">
        <v>0.1136</v>
      </c>
      <c r="L2019" t="inlineStr">
        <is>
          <t>This code defines a custom annotation named `Testing` that can be used to mark test methods in Java classes. It specifies that these methods should only be executed during testing and provides some metadata about the tests, such as their name and whether they are expected to fail. The annotation is defined using the `@Target`, `@Retention`, and `@Inherited` annotations from the `java</t>
        </is>
      </c>
      <c r="M2019" t="n">
        <v>0.0035</v>
      </c>
      <c r="N2019" t="n">
        <v>0.0571</v>
      </c>
      <c r="O2019" t="n">
        <v>0.1119</v>
      </c>
    </row>
    <row r="2020">
      <c r="A2020" t="inlineStr">
        <is>
          <t>storm</t>
        </is>
      </c>
      <c r="B2020" t="inlineStr">
        <is>
          <t>storm-client/test/jvm/org/apache/storm/testing/PerformanceTest.java</t>
        </is>
      </c>
      <c r="C2020">
        <f>HYPERLINK("https://github.com/apache/storm/blob/master/storm-client/test/jvm/org/apache/storm/testing/PerformanceTest.java")</f>
        <v/>
      </c>
      <c r="D2020" t="inlineStr">
        <is>
          <t>This code defines a Java annotation called `Testing` that can be used to mark methods as testable. It is part of the Storm testing framework and is used to indicate that a method should be executed during testing. The annotation has no parameters and is marked with the `@Inherited` and `@Retention` annotations to ensure it is inherited and retained at runtime.</t>
        </is>
      </c>
      <c r="E2020" t="n">
        <v>0.0036</v>
      </c>
      <c r="F2020" t="n">
        <v>0.058</v>
      </c>
      <c r="G2020" t="n">
        <v>0.1128</v>
      </c>
      <c r="H2020" t="inlineStr">
        <is>
          <t>This code defines a Java annotation named `StormTesting` that can be used to mark classes or methods as being part of the Apache Storm testing framework. It includes documentation about the license and copyright ownership, as well as some basic comments describing the purpose of the annotation and its usage. The actual implementation of the annotation is not shown in the snippet provided.</t>
        </is>
      </c>
      <c r="I2020" t="n">
        <v>0.0034</v>
      </c>
      <c r="J2020" t="n">
        <v>0.0563</v>
      </c>
      <c r="K2020" t="n">
        <v>0.1481</v>
      </c>
      <c r="L2020" t="inlineStr">
        <is>
          <t>The provided code defines an annotation called `Test` that can be used to mark test methods within a Java class. The annotation has no parameters and is marked as inherited, meaning that subclasses will inherit the annotation from their superclass. The annotation is defined using the `@Inherited` and `@Retention` annotations, which indicate that the annotation should be inherited and retained during runtime, respectively</t>
        </is>
      </c>
      <c r="M2020" t="n">
        <v>0.0029</v>
      </c>
      <c r="N2020" t="n">
        <v>0.0282</v>
      </c>
      <c r="O2020" t="n">
        <v>0.0741</v>
      </c>
    </row>
    <row r="2021">
      <c r="A2021" t="inlineStr">
        <is>
          <t>storm</t>
        </is>
      </c>
      <c r="B2021" t="inlineStr">
        <is>
          <t>storm-client/test/jvm/org/apache/storm/security/serialization/BlowfishTupleSerializerTest.java</t>
        </is>
      </c>
      <c r="C2021">
        <f>HYPERLINK("https://github.com/apache/storm/blob/master/storm-client/test/jvm/org/apache/storm/security/serialization/BlowfishTupleSerializerTest.java")</f>
        <v/>
      </c>
      <c r="D2021" t="inlineStr">
        <is>
          <t>This code appears to be part of a Java library for serializing and deserializing data using the Kryo library. It defines a class called `KryoSerialization` that provides methods for serializing and deserializing objects using the Kryo library. The class also includes some utility methods for working with arrays and collections.
The `serialize()` method takes an</t>
        </is>
      </c>
      <c r="E2021" t="n">
        <v>0.004</v>
      </c>
      <c r="F2021" t="n">
        <v>0.0635</v>
      </c>
      <c r="G2021" t="n">
        <v>0.1181</v>
      </c>
      <c r="H2021" t="inlineStr">
        <is>
          <t>This code defines a Java class that implements a serializer for Storm's data model using the Kryo library. It provides methods for serializing and deserializing objects of type `T` into bytes. The class also includes a constructor that takes a single argument of type `Class&lt;T&gt;`, which specifies the type of object being serialized. The `serialize()` method</t>
        </is>
      </c>
      <c r="I2021" t="n">
        <v>0.0043</v>
      </c>
      <c r="J2021" t="n">
        <v>0.09089999999999999</v>
      </c>
      <c r="K2021" t="n">
        <v>0.1563</v>
      </c>
      <c r="L2021" t="inlineStr">
        <is>
          <t>This Java class implements serialization and deserialization methods using the Kryo library for Storm security purposes. It provides two methods, `serialize` and `deserialize`, which take in a `byte[]` array as input and return a `byte[]` array as output. These methods allow for the serialization and deserialization of objects that implement the `Serializable`</t>
        </is>
      </c>
      <c r="M2021" t="n">
        <v>0.0046</v>
      </c>
      <c r="N2021" t="n">
        <v>0.1</v>
      </c>
      <c r="O2021" t="n">
        <v>0.1613</v>
      </c>
    </row>
    <row r="2022">
      <c r="A2022" t="inlineStr">
        <is>
          <t>storm</t>
        </is>
      </c>
      <c r="B2022" t="inlineStr">
        <is>
          <t>storm-client/test/jvm/org/apache/storm/security/auth/ThriftClientTest.java</t>
        </is>
      </c>
      <c r="C2022">
        <f>HYPERLINK("https://github.com/apache/storm/blob/master/storm-client/test/jvm/org/apache/storm/security/auth/ThriftClientTest.java")</f>
        <v/>
      </c>
      <c r="D2022" t="inlineStr">
        <is>
          <t>This code appears to be part of an open source project called Storm, which is a distributed real-time computation system. It implements authentication and authorization for Storm clusters using JAAS (Java Authentication and Authorization Service). The code defines several classes related to authentication and authorization, including `JaasAuthenticator`, `SimplePrincipalToLocal` and `StormServer`. These classes</t>
        </is>
      </c>
      <c r="E2022" t="n">
        <v>0.0046</v>
      </c>
      <c r="F2022" t="n">
        <v>0.0984</v>
      </c>
      <c r="G2022" t="n">
        <v>0.1613</v>
      </c>
      <c r="H2022" t="inlineStr">
        <is>
          <t>This Java package `org.apache.storm.security.auth` contains classes related to authentication and authorization for Storm, which is an open-source distributed real-time computation system. The package includes several classes that implement various authentication mechanisms, such as Kerberos and Simple Authentication and Security Layer (SASL). It also provides utility functions for working with credentials and configuration options</t>
        </is>
      </c>
      <c r="I2022" t="n">
        <v>0.0041</v>
      </c>
      <c r="J2022" t="n">
        <v>0.1194</v>
      </c>
      <c r="K2022" t="n">
        <v>0.16</v>
      </c>
      <c r="L2022" t="inlineStr">
        <is>
          <t>This Java class implements the `IAuthPlugin` interface from the Storm project's security module. It provides authentication capabilities for Storm clusters using JWT tokens. The class takes a map of configuration options as input and uses these options to initialize the plugin. It also defines two methods, `validateUser()` and `getCredentials()`, which are used to authenticate users and retrieve their credentials, respectively</t>
        </is>
      </c>
      <c r="M2022" t="n">
        <v>0.004</v>
      </c>
      <c r="N2022" t="n">
        <v>0.08699999999999999</v>
      </c>
      <c r="O2022" t="n">
        <v>0.1515</v>
      </c>
    </row>
    <row r="2023">
      <c r="A2023" t="inlineStr">
        <is>
          <t>storm</t>
        </is>
      </c>
      <c r="B2023" t="inlineStr">
        <is>
          <t>storm-client/test/jvm/org/apache/storm/security/auth/ReqContextTest.java</t>
        </is>
      </c>
      <c r="C2023">
        <f>HYPERLINK("https://github.com/apache/storm/blob/master/storm-client/test/jvm/org/apache/storm/security/auth/ReqContextTest.java")</f>
        <v/>
      </c>
      <c r="D2023" t="inlineStr">
        <is>
          <t>This Java code appears to be part of a Storm project, which is a distributed real-time computation system. It defines a class called `Backend` that implements the `IAuthenticator` interface from the `javax.security.auth` package.
The `Backend` class has several methods that define how it authenticates users and checks their access rights. These methods include</t>
        </is>
      </c>
      <c r="E2023" t="n">
        <v>0.0045</v>
      </c>
      <c r="F2023" t="n">
        <v>0.09379999999999999</v>
      </c>
      <c r="G2023" t="n">
        <v>0.16</v>
      </c>
      <c r="H2023" t="inlineStr">
        <is>
          <t>This Java package `org.apache.storm.security.auth` contains classes related to authentication and authorization for Storm, which is an open-source data processing system. The package includes several classes that implement various security protocols and mechanisms, such as Kerberos, SSL/TLS, and JAAS. It also provides a set of interfaces and abstract classes for implementing custom</t>
        </is>
      </c>
      <c r="I2023" t="n">
        <v>0.0043</v>
      </c>
      <c r="J2023" t="n">
        <v>0.09229999999999999</v>
      </c>
      <c r="K2023" t="n">
        <v>0.122</v>
      </c>
      <c r="L2023" t="inlineStr">
        <is>
          <t>The provided code defines a class named `SimpleTransportPlugin` that implements the `IAuthPlugin` interface from the Storm security framework. It provides authentication for transport layer communication between Storm nodes. The class has several methods that perform various tasks related to authentication, including creating a principal object based on the client's IP address, checking if a given principal is authorized to access a resource, and</t>
        </is>
      </c>
      <c r="M2023" t="n">
        <v>0.0034</v>
      </c>
      <c r="N2023" t="n">
        <v>0.0556</v>
      </c>
      <c r="O2023" t="n">
        <v>0.0741</v>
      </c>
    </row>
    <row r="2024">
      <c r="A2024" t="inlineStr">
        <is>
          <t>storm</t>
        </is>
      </c>
      <c r="B2024" t="inlineStr">
        <is>
          <t>storm-client/test/jvm/org/apache/storm/security/auth/TlsTransportPluginTest.java</t>
        </is>
      </c>
      <c r="C2024">
        <f>HYPERLINK("https://github.com/apache/storm/blob/master/storm-client/test/jvm/org/apache/storm/security/auth/TlsTransportPluginTest.java")</f>
        <v/>
      </c>
      <c r="D2024" t="inlineStr">
        <is>
          <t>This code appears to be part of a Java project that implements authentication for Storm, which is an open-source distributed real-time computation system. It defines several classes related to authentication, including `AuthUtils`, `ThriftClient`, and `ThriftServer`.
The `AuthUtils` class provides utility methods for working with authentication credentials, such as loading them from configuration files</t>
        </is>
      </c>
      <c r="E2024" t="n">
        <v>0.0045</v>
      </c>
      <c r="F2024" t="n">
        <v>0.09520000000000001</v>
      </c>
      <c r="G2024" t="n">
        <v>0.16</v>
      </c>
      <c r="H2024" t="inlineStr">
        <is>
          <t>This code appears to be part of a Java project that provides authentication and authorization services for Storm, which is a distributed real-time computation system. The code defines several classes related to authentication and authorization, including `AuthUtils`, `ThriftClient`, and `TLS`. It also includes a README file that describes the purpose of the project and its dependencies.
The `</t>
        </is>
      </c>
      <c r="I2024" t="n">
        <v>0.0037</v>
      </c>
      <c r="J2024" t="n">
        <v>0.0606</v>
      </c>
      <c r="K2024" t="n">
        <v>0.1154</v>
      </c>
      <c r="L2024" t="inlineStr">
        <is>
          <t>This Java class implements the `IAuthPlugin` interface from the Storm project's security module. It provides authentication and authorization services for Storm topologies using TLS encryption.
The class takes a configuration map as input and uses it to initialize various properties such as the trust store location, keystore password, and client certificate alias. It then creates a new instance of the `TLS</t>
        </is>
      </c>
      <c r="M2024" t="n">
        <v>0.0039</v>
      </c>
      <c r="N2024" t="n">
        <v>0.0857</v>
      </c>
      <c r="O2024" t="n">
        <v>0.1504</v>
      </c>
    </row>
    <row r="2025">
      <c r="A2025" t="inlineStr">
        <is>
          <t>storm</t>
        </is>
      </c>
      <c r="B2025" t="inlineStr">
        <is>
          <t>storm-client/test/jvm/org/apache/storm/security/auth/SubjectCompatTest.java</t>
        </is>
      </c>
      <c r="C2025">
        <f>HYPERLINK("https://github.com/apache/storm/blob/master/storm-client/test/jvm/org/apache/storm/security/auth/SubjectCompatTest.java")</f>
        <v/>
      </c>
      <c r="D2025" t="inlineStr">
        <is>
          <t>This code implements authentication and authorization mechanisms for Storm, which is a real-time processing system. It uses Java's JAAS framework to provide secure access control to various resources within the system. The code includes unit tests to ensure that the implementation meets certain requirements.</t>
        </is>
      </c>
      <c r="E2025" t="n">
        <v>0.0055</v>
      </c>
      <c r="F2025" t="n">
        <v>0.1111</v>
      </c>
      <c r="G2025" t="n">
        <v>0.1724</v>
      </c>
      <c r="H2025" t="inlineStr">
        <is>
          <t>This Java package `org.apache.storm.security.auth` implements authentication and authorization mechanisms for Storm, a real-time computation system. It provides classes and methods for managing user identities, roles, and privileges, as well as for authenticating and authorizing requests. The package includes unit tests that demonstrate the correctness and performance of its functions.</t>
        </is>
      </c>
      <c r="I2025" t="n">
        <v>0.0049</v>
      </c>
      <c r="J2025" t="n">
        <v>0.0968</v>
      </c>
      <c r="K2025" t="n">
        <v>0.124</v>
      </c>
      <c r="L2025" t="inlineStr">
        <is>
          <t>This Java package `org.apache.storm.security.auth` provides classes related to authentication and authorization for Apache Storm, a distributed real-time computation system. The package includes a class called `SimpleTransportPlugin`, which implements the `IAuthPlugin` interface from the `org.apache.storm.security.auth` package. The `SimpleTransportPlugin` class is used</t>
        </is>
      </c>
      <c r="M2025" t="n">
        <v>0.0061</v>
      </c>
      <c r="N2025" t="n">
        <v>0.0702</v>
      </c>
      <c r="O2025" t="n">
        <v>0.1786</v>
      </c>
    </row>
    <row r="2026">
      <c r="A2026" t="inlineStr">
        <is>
          <t>storm</t>
        </is>
      </c>
      <c r="B2026" t="inlineStr">
        <is>
          <t>storm-client/test/jvm/org/apache/storm/security/auth/SaslTransportPluginTest.java</t>
        </is>
      </c>
      <c r="C2026">
        <f>HYPERLINK("https://github.com/apache/storm/blob/master/storm-client/test/jvm/org/apache/storm/security/auth/SaslTransportPluginTest.java")</f>
        <v/>
      </c>
      <c r="D2026" t="inlineStr">
        <is>
          <t>This code appears to be part of a Java project that implements authentication and authorization mechanisms using SASL (Simple Authentication and Security Layer). It defines a class called `SaslTransportPlugin` that provides a transport plugin for SASL communication. The class has a single method named `getAuthenticator()` that returns an instance of a custom `Authenticator` interface.</t>
        </is>
      </c>
      <c r="E2026" t="n">
        <v>0.0045</v>
      </c>
      <c r="F2026" t="n">
        <v>0.0968</v>
      </c>
      <c r="G2026" t="n">
        <v>0.1587</v>
      </c>
      <c r="H2026" t="inlineStr">
        <is>
          <t>This code defines a class called `AuthUtils` that provides various utility methods for authentication and authorization purposes. It imports several other classes from the `org.apache.storm.security.auth` package and uses JUnit testing framework to test its methods. The README file describes the purpose of the project as being related to backend software components and mentions that it has a complexity of O</t>
        </is>
      </c>
      <c r="I2026" t="n">
        <v>0.004</v>
      </c>
      <c r="J2026" t="n">
        <v>0.0833</v>
      </c>
      <c r="K2026" t="n">
        <v>0.1515</v>
      </c>
      <c r="L2026" t="inlineStr">
        <is>
          <t>The code defines a class named `AuthUtils` that provides utility methods for authentication and authorization in Apache Storm. It imports several classes from the `org.apache.storm.security.auth` package and extends the `SaslTransportPlugin` class. The class has a single method called `getPrincipal()` that returns a string representing the principal name based on the current user'</t>
        </is>
      </c>
      <c r="M2026" t="n">
        <v>0.0035</v>
      </c>
      <c r="N2026" t="n">
        <v>0.0312</v>
      </c>
      <c r="O2026" t="n">
        <v>0.0403</v>
      </c>
    </row>
    <row r="2027">
      <c r="A2027" t="inlineStr">
        <is>
          <t>storm</t>
        </is>
      </c>
      <c r="B2027" t="inlineStr">
        <is>
          <t>storm-client/test/jvm/org/apache/storm/security/auth/TestingITransportPlugin.java</t>
        </is>
      </c>
      <c r="C2027">
        <f>HYPERLINK("https://github.com/apache/storm/blob/master/storm-client/test/jvm/org/apache/storm/security/auth/TestingITransportPlugin.java")</f>
        <v/>
      </c>
      <c r="D2027" t="inlineStr">
        <is>
          <t>This code appears to be part of an Apache Storm project, specifically related to authentication and authorization. It defines a `TProcessor` class that implements the `IAuthenticator` interface from the Storm API. The `TProcessor` class takes a map of configuration options as input during initialization, and it uses these options to configure the authentication mechanism used by the server.
The `T</t>
        </is>
      </c>
      <c r="E2027" t="n">
        <v>0.004</v>
      </c>
      <c r="F2027" t="n">
        <v>0.0882</v>
      </c>
      <c r="G2027" t="n">
        <v>0.1515</v>
      </c>
      <c r="H2027" t="inlineStr">
        <is>
          <t>This code appears to be part of an Apache Storm project, specifically the authentication module. It defines a class named `Backend` that implements the `TProcessor` interface from Thrift. The `Backend` class has a single method called `process`, which takes a `Map&lt;String, Object&gt;` as input and returns a `Boolean`. The method appears to perform some kind of authentication</t>
        </is>
      </c>
      <c r="I2027" t="n">
        <v>0.0042</v>
      </c>
      <c r="J2027" t="n">
        <v>0.1212</v>
      </c>
      <c r="K2027" t="n">
        <v>0.155</v>
      </c>
      <c r="L2027" t="inlineStr">
        <is>
          <t>The code defines a class called `SimpleAuthPlugin` that implements the `IAuthPlugin` interface from Storm's Thrift API. It provides authentication support for Storm servers using a simple username and password mechanism.
The class takes two parameters in its constructor: a `Map` object containing configuration options and a `TProcessor` object representing the server's Thrift processor. It</t>
        </is>
      </c>
      <c r="M2027" t="n">
        <v>0.004</v>
      </c>
      <c r="N2027" t="n">
        <v>0.0625</v>
      </c>
      <c r="O2027" t="n">
        <v>0.119</v>
      </c>
    </row>
    <row r="2028">
      <c r="A2028" t="inlineStr">
        <is>
          <t>storm</t>
        </is>
      </c>
      <c r="B2028" t="inlineStr">
        <is>
          <t>storm-client/test/jvm/org/apache/storm/security/auth/AutoSSLTest.java</t>
        </is>
      </c>
      <c r="C2028">
        <f>HYPERLINK("https://github.com/apache/storm/blob/master/storm-client/test/jvm/org/apache/storm/security/auth/AutoSSLTest.java")</f>
        <v/>
      </c>
      <c r="D2028" t="inlineStr">
        <is>
          <t>This code appears to be part of a Java project that implements authentication mechanisms for Storm, an open-source real-time computation system. It defines several classes related to authentication, including `AuthUtils`, which provides utility methods for working with authentication data, and `SimpleTransportPlugin`, which is a plugin for Storm's transport layer that handles authentication.
The code also includes some unit</t>
        </is>
      </c>
      <c r="E2028" t="n">
        <v>0.0041</v>
      </c>
      <c r="F2028" t="n">
        <v>0.08699999999999999</v>
      </c>
      <c r="G2028" t="n">
        <v>0.1538</v>
      </c>
      <c r="H2028" t="inlineStr">
        <is>
          <t>This code implements a backend system that uses authentication and authorization mechanisms to ensure secure access to resources. It includes several Java classes and interfaces related to security, such as `Authenticator`, `Authorizer`, and `IPrincipal`. The code also includes a `NOTICE` file that provides information about the license used for the project.
The main class, `BackendSystem</t>
        </is>
      </c>
      <c r="I2028" t="n">
        <v>0.0044</v>
      </c>
      <c r="J2028" t="n">
        <v>0.09520000000000001</v>
      </c>
      <c r="K2028" t="n">
        <v>0.1575</v>
      </c>
      <c r="L2028" t="inlineStr">
        <is>
          <t>This code defines a class called `AuthUtils` that provides various utility methods related to authentication. It has several static methods that perform tasks such as reading files, generating random strings, and checking if a user is authorized to access certain resources. The class also has a constructor that takes a configuration object as input. Overall, this code appears to be a collection of useful functions for implementing authentication</t>
        </is>
      </c>
      <c r="M2028" t="n">
        <v>0.0032</v>
      </c>
      <c r="N2028" t="n">
        <v>0.0526</v>
      </c>
      <c r="O2028" t="n">
        <v>0.1429</v>
      </c>
    </row>
    <row r="2029">
      <c r="A2029" t="inlineStr">
        <is>
          <t>storm</t>
        </is>
      </c>
      <c r="B2029" t="inlineStr">
        <is>
          <t>storm-client/test/jvm/org/apache/storm/security/auth/AuthUtilsTestMock.java</t>
        </is>
      </c>
      <c r="C2029">
        <f>HYPERLINK("https://github.com/apache/storm/blob/master/storm-client/test/jvm/org/apache/storm/security/auth/AuthUtilsTestMock.java")</f>
        <v/>
      </c>
      <c r="D2029" t="inlineStr">
        <is>
          <t>This Java class implements the `INimbusCredentialPlugin` interface from the Storm project's security package. It provides methods for retrieving credentials for Nimbus nodes when using secure communication protocols such as SSL/TLS. The class has several methods that perform various tasks related to authentication and authorization, including getting a set of all users who have access to a given resource, checking</t>
        </is>
      </c>
      <c r="E2029" t="n">
        <v>0.0041</v>
      </c>
      <c r="F2029" t="n">
        <v>0.08699999999999999</v>
      </c>
      <c r="G2029" t="n">
        <v>0.1527</v>
      </c>
      <c r="H2029" t="inlineStr">
        <is>
          <t>This Java package `org.apache.storm.security.auth` implements authentication and authorization mechanisms for Storm, which is a real-time computation system. It provides a set of classes that implement the `INimbusCredentialPlugin` interface, which allows users to authenticate and authorize clients using various methods such as Kerberos, LDAP, and JAAS</t>
        </is>
      </c>
      <c r="I2029" t="n">
        <v>0.0054</v>
      </c>
      <c r="J2029" t="n">
        <v>0.1034</v>
      </c>
      <c r="K2029" t="n">
        <v>0.1709</v>
      </c>
      <c r="L2029" t="inlineStr">
        <is>
          <t>This code defines a class that implements the INimbusCredentialPlugin interface from the Storm security framework. It provides methods for authenticating and authorizing clients using Kerberos credentials. The class takes a set of configuration options as input and uses them to initialize its internal state. When called, the `getCredentials` method returns a Subject object containing the client's Kerberos credentials</t>
        </is>
      </c>
      <c r="M2029" t="n">
        <v>0.0041</v>
      </c>
      <c r="N2029" t="n">
        <v>0.0896</v>
      </c>
      <c r="O2029" t="n">
        <v>0.1538</v>
      </c>
    </row>
    <row r="2030">
      <c r="A2030" t="inlineStr">
        <is>
          <t>storm</t>
        </is>
      </c>
      <c r="B2030" t="inlineStr">
        <is>
          <t>storm-client/test/jvm/org/apache/storm/security/auth/X509CertPrincipalToLocalTest.java</t>
        </is>
      </c>
      <c r="C2030">
        <f>HYPERLINK("https://github.com/apache/storm/blob/master/storm-client/test/jvm/org/apache/storm/security/auth/X509CertPrincipalToLocalTest.java")</f>
        <v/>
      </c>
      <c r="D2030" t="inlineStr">
        <is>
          <t>This code is part of the Apache Storm project's security authentication system. It defines a class called `SimpleAuthenticator` that implements the `IAuthenticator` interface from the `org.apache.storm.security.auth` package. The class provides a simple implementation of authentication based on a map of usernames and passwords.
The `SimpleAuthenticator</t>
        </is>
      </c>
      <c r="E2030" t="n">
        <v>0.0054</v>
      </c>
      <c r="F2030" t="n">
        <v>0.1034</v>
      </c>
      <c r="G2030" t="n">
        <v>0.1709</v>
      </c>
      <c r="H2030" t="inlineStr">
        <is>
          <t>This code appears to be part of an open source project called Apache Storm. It is a Java package that provides authentication and authorization services for Storm applications. The package includes several classes and interfaces related to user management, access control, and security.
The `AuthUtils` class is the main entry point for authentication and authorization in Storm. It provides methods for creating and managing users, as</t>
        </is>
      </c>
      <c r="I2030" t="n">
        <v>0.0033</v>
      </c>
      <c r="J2030" t="n">
        <v>0.0541</v>
      </c>
      <c r="K2030" t="n">
        <v>0.1087</v>
      </c>
      <c r="L2030" t="inlineStr">
        <is>
          <t>The code provides an implementation of a custom authentication mechanism for Apache Storm. It defines a class called `CustomAuthenticator` that implements the `IAuthenticator` interface from Storm's security package. The class takes a configuration object as input during initialization and uses it to authenticate clients based on their credentials. If the client's credentials are valid, the method returns a map containing</t>
        </is>
      </c>
      <c r="M2030" t="n">
        <v>0.0036</v>
      </c>
      <c r="N2030" t="n">
        <v>0.0571</v>
      </c>
      <c r="O2030" t="n">
        <v>0.1136</v>
      </c>
    </row>
    <row r="2031">
      <c r="A2031" t="inlineStr">
        <is>
          <t>storm</t>
        </is>
      </c>
      <c r="B2031" t="inlineStr">
        <is>
          <t>storm-client/test/jvm/org/apache/storm/security/auth/ClientAuthUtilsTest.java</t>
        </is>
      </c>
      <c r="C2031">
        <f>HYPERLINK("https://github.com/apache/storm/blob/master/storm-client/test/jvm/org/apache/storm/security/auth/ClientAuthUtilsTest.java")</f>
        <v/>
      </c>
      <c r="D2031" t="inlineStr">
        <is>
          <t>This code appears to be part of a Java project that implements authentication for Storm, a distributed real-time computation system. It defines several classes related to authentication, including `AuthUtils`, which provides utility methods for working with authentication credentials, and `SimpleTransportPlugin`, which provides a simple implementation of a transport plugin for authenticating clients. The code also includes some unit tests and documentation comments.</t>
        </is>
      </c>
      <c r="E2031" t="n">
        <v>0.0039</v>
      </c>
      <c r="F2031" t="n">
        <v>0.08450000000000001</v>
      </c>
      <c r="G2031" t="n">
        <v>0.1493</v>
      </c>
      <c r="H2031" t="inlineStr">
        <is>
          <t>This code appears to be part of an open source project called Apache Storm, which is a distributed real-time computation system. It is written in Java and defines a class named `Backend` that implements various methods related to authentication and authorization.
The `Backend` class has several dependencies, including `java.io`, `java.util`, and `org.apache.st</t>
        </is>
      </c>
      <c r="I2031" t="n">
        <v>0.0046</v>
      </c>
      <c r="J2031" t="n">
        <v>0.09229999999999999</v>
      </c>
      <c r="K2031" t="n">
        <v>0.1613</v>
      </c>
      <c r="L2031" t="inlineStr">
        <is>
          <t>This Java package `org.apache.storm.security.auth` provides authentication support for Storm, which is a real-time computation system. It includes classes related to user authentication, authorization, and credential management. The package uses JAAS (Java Authentication and Authorization Service) framework to provide pluggable authentication mechanisms.
The `AuthUtils` class is responsible</t>
        </is>
      </c>
      <c r="M2031" t="n">
        <v>0.0048</v>
      </c>
      <c r="N2031" t="n">
        <v>0.0678</v>
      </c>
      <c r="O2031" t="n">
        <v>0.1271</v>
      </c>
    </row>
    <row r="2032">
      <c r="A2032" t="inlineStr">
        <is>
          <t>storm</t>
        </is>
      </c>
      <c r="B2032" t="inlineStr">
        <is>
          <t>storm-client/test/jvm/org/apache/storm/security/auth/MultiThriftServerTest.java</t>
        </is>
      </c>
      <c r="C2032">
        <f>HYPERLINK("https://github.com/apache/storm/blob/master/storm-client/test/jvm/org/apache/storm/security/auth/MultiThriftServerTest.java")</f>
        <v/>
      </c>
      <c r="D2032" t="inlineStr">
        <is>
          <t>This code appears to be a Java implementation of a Storm authentication system using JWT tokens. It defines several classes related to authentication, including `JwtAuthenticationHandler`, which handles the authentication process, and `JwtTokenValidator`, which validates the authenticity of the token. Additionally, it includes unit tests for the `JwtAuthenticationHandler` class.</t>
        </is>
      </c>
      <c r="E2032" t="n">
        <v>0.0045</v>
      </c>
      <c r="F2032" t="n">
        <v>0.1071</v>
      </c>
      <c r="G2032" t="n">
        <v>0.1667</v>
      </c>
      <c r="H2032" t="inlineStr">
        <is>
          <t>This code defines a Java package called `org.apache.storm.security.auth` that provides authentication and authorization functionality for Storm, an open-source data processing system. The package includes several classes and interfaces, including `AuthUtils`, which provides utility methods for working with authentication and authorization, and `SimpleTransportPlugin`, which implements a transport plugin for Storm's secure communication protocol.</t>
        </is>
      </c>
      <c r="I2032" t="n">
        <v>0.005</v>
      </c>
      <c r="J2032" t="n">
        <v>0.09089999999999999</v>
      </c>
      <c r="K2032" t="n">
        <v>0.1613</v>
      </c>
      <c r="L2032" t="inlineStr">
        <is>
          <t>The provided code defines a class named `SimpleTransportPlugin` that implements the `IAuthPlugin` interface from the Storm project's security module. It provides authentication and authorization mechanisms for Storm clients using a simple transport plugin mechanism.
The class has several methods, including `init`, which initializes the plugin instance based on configuration data, `getSubject`, which returns a subject representing</t>
        </is>
      </c>
      <c r="M2032" t="n">
        <v>0.0039</v>
      </c>
      <c r="N2032" t="n">
        <v>0.0615</v>
      </c>
      <c r="O2032" t="n">
        <v>0.1172</v>
      </c>
    </row>
    <row r="2033">
      <c r="A2033" t="inlineStr">
        <is>
          <t>storm</t>
        </is>
      </c>
      <c r="B2033" t="inlineStr">
        <is>
          <t>storm-client/test/jvm/org/apache/storm/security/auth/ShellBasedGroupsMappingTest.java</t>
        </is>
      </c>
      <c r="C2033">
        <f>HYPERLINK("https://github.com/apache/storm/blob/master/storm-client/test/jvm/org/apache/storm/security/auth/ShellBasedGroupsMappingTest.java")</f>
        <v/>
      </c>
      <c r="D2033" t="inlineStr">
        <is>
          <t>This Java package `org.apache.storm.security.auth` provides classes related to authentication and authorization in Storm. It includes several files that define interfaces, abstract classes, and concrete implementations of these interfaces. Some of the key features of this package include:
* A `LoginHandler` interface that defines methods for authenticating users and checking their permissions.
* An `Auth</t>
        </is>
      </c>
      <c r="E2033" t="n">
        <v>0.004</v>
      </c>
      <c r="F2033" t="n">
        <v>0.09379999999999999</v>
      </c>
      <c r="G2033" t="n">
        <v>0.119</v>
      </c>
      <c r="H2033" t="inlineStr">
        <is>
          <t>This Java package `org.apache.storm.security.auth` provides authentication and authorization functionality for Storm, a real-time computation system. It includes several classes that implement different authentication mechanisms, such as password-based authentication and Kerberos authentication. The package also includes a class called `AuthUtils`, which provides utility methods for working with authentication credentials.
The READ</t>
        </is>
      </c>
      <c r="I2033" t="n">
        <v>0.0048</v>
      </c>
      <c r="J2033" t="n">
        <v>0.09379999999999999</v>
      </c>
      <c r="K2033" t="n">
        <v>0.1639</v>
      </c>
      <c r="L2033" t="inlineStr">
        <is>
          <t>This code implements a custom authentication mechanism for Storm, which allows users to authenticate using their Linux user accounts. It uses the `java.lang.System` class to retrieve the current user's username and checks if that user has access to the requested resource. If the user does not have access, the method returns false. Otherwise, it returns true.
The code also includes some</t>
        </is>
      </c>
      <c r="M2033" t="n">
        <v>0.0039</v>
      </c>
      <c r="N2033" t="n">
        <v>0.0833</v>
      </c>
      <c r="O2033" t="n">
        <v>0.1504</v>
      </c>
    </row>
    <row r="2034">
      <c r="A2034" t="inlineStr">
        <is>
          <t>storm</t>
        </is>
      </c>
      <c r="B2034" t="inlineStr">
        <is>
          <t>storm-client/test/jvm/org/apache/storm/security/auth/kerberos/AutoLoginModuleTest.java</t>
        </is>
      </c>
      <c r="C2034">
        <f>HYPERLINK("https://github.com/apache/storm/blob/master/storm-client/test/jvm/org/apache/storm/security/auth/kerberos/AutoLoginModuleTest.java")</f>
        <v/>
      </c>
      <c r="D2034" t="inlineStr">
        <is>
          <t>This code appears to be part of a Java project that implements a Kerberos authentication mechanism using the `javax.security.auth` package. It defines several classes related to Kerberos authentication, including `AutoTGTKrb5LoginModule`, which provides automatic ticket-granting tickets (TGTs) for clients, and `KerberosPrincipal`, which</t>
        </is>
      </c>
      <c r="E2034" t="n">
        <v>0.0059</v>
      </c>
      <c r="F2034" t="n">
        <v>0.1154</v>
      </c>
      <c r="G2034" t="n">
        <v>0.177</v>
      </c>
      <c r="H2034" t="inlineStr">
        <is>
          <t>This code appears to be part of a Java project that implements various authentication mechanisms using Kerberos protocol. It includes classes related to the `org.apache.storm.security.auth.kerberos` package, which provides support for authenticating users using Kerberos credentials.
The main class in this repository seems to be `AutoTGTKrb5LoginModule</t>
        </is>
      </c>
      <c r="I2034" t="n">
        <v>0.0049</v>
      </c>
      <c r="J2034" t="n">
        <v>0.06900000000000001</v>
      </c>
      <c r="K2034" t="n">
        <v>0.1282</v>
      </c>
      <c r="L2034" t="inlineStr">
        <is>
          <t>The provided code implements a custom login module for Kerberos authentication in Storm, specifically the `AutoTGTKrb5LoginModule` class. It extends the default JDK `Krb5LoginModule` and adds additional features such as automatic ticket renewal and support for multiple realms. The module uses the `javax.security.auth.login` framework to manage user credentials and</t>
        </is>
      </c>
      <c r="M2034" t="n">
        <v>0.005</v>
      </c>
      <c r="N2034" t="n">
        <v>0.0678</v>
      </c>
      <c r="O2034" t="n">
        <v>0.1667</v>
      </c>
    </row>
    <row r="2035">
      <c r="A2035" t="inlineStr">
        <is>
          <t>storm</t>
        </is>
      </c>
      <c r="B2035" t="inlineStr">
        <is>
          <t>storm-client/test/jvm/org/apache/storm/security/auth/authorizer/DRPCSimpleACLAuthorizerTest.java</t>
        </is>
      </c>
      <c r="C2035">
        <f>HYPERLINK("https://github.com/apache/storm/blob/master/storm-client/test/jvm/org/apache/storm/security/auth/authorizer/DRPCSimpleACLAuthorizerTest.java")</f>
        <v/>
      </c>
      <c r="D2035" t="inlineStr">
        <is>
          <t>This code appears to be part of a Java project that implements an authorization system for Apache Storm, a real-time computation framework. It defines several classes related to authorization, including `Authorizer`, which provides methods for checking access control rules based on user credentials and request context. Additionally, it includes a class called `SimpleAclAuthorizer` that extends `Authorizer` and provides a simple</t>
        </is>
      </c>
      <c r="E2035" t="n">
        <v>0.004</v>
      </c>
      <c r="F2035" t="n">
        <v>0.08699999999999999</v>
      </c>
      <c r="G2035" t="n">
        <v>0.1515</v>
      </c>
      <c r="H2035" t="inlineStr">
        <is>
          <t>This code appears to be part of a Java project that implements a custom authorization system for Apache Storm. It defines several classes related to authentication and authorization, including an `Authorizer` interface and its implementations, as well as some utility classes for working with files and directories.
The main class of interest seems to be the `DefaultAuthorizer`, which extends the `Authorizer` interface and</t>
        </is>
      </c>
      <c r="I2035" t="n">
        <v>0.0038</v>
      </c>
      <c r="J2035" t="n">
        <v>0.08450000000000001</v>
      </c>
      <c r="K2035" t="n">
        <v>0.1481</v>
      </c>
      <c r="L2035" t="inlineStr">
        <is>
          <t>This Java class implements an authorizer for Apache Storm that grants access based on user credentials stored in a local file. It uses the `java.io` package to read and write files, as well as the `java.util` package to store and retrieve data from a hash map. The class has a constructor that takes two arguments: a path to the file containing the users' credentials</t>
        </is>
      </c>
      <c r="M2035" t="n">
        <v>0.0037</v>
      </c>
      <c r="N2035" t="n">
        <v>0.08110000000000001</v>
      </c>
      <c r="O2035" t="n">
        <v>0.1471</v>
      </c>
    </row>
    <row r="2036">
      <c r="A2036" t="inlineStr">
        <is>
          <t>storm</t>
        </is>
      </c>
      <c r="B2036" t="inlineStr">
        <is>
          <t>storm-client/test/jvm/org/apache/storm/security/auth/authorizer/SimpleACLAuthorizerTest.java</t>
        </is>
      </c>
      <c r="C2036">
        <f>HYPERLINK("https://github.com/apache/storm/blob/master/storm-client/test/jvm/org/apache/storm/security/auth/authorizer/SimpleACLAuthorizerTest.java")</f>
        <v/>
      </c>
      <c r="D2036" t="inlineStr">
        <is>
          <t>This code implements an authorization module for Storm, which allows users to define access control policies based on user groups. It provides an interface for defining group mappings and implementing custom authorizers. The code also includes documentation and comments explaining the purpose and usage of the module.</t>
        </is>
      </c>
      <c r="E2036" t="n">
        <v>0.0055</v>
      </c>
      <c r="F2036" t="n">
        <v>0.1455</v>
      </c>
      <c r="G2036" t="n">
        <v>0.2101</v>
      </c>
      <c r="H2036" t="inlineStr">
        <is>
          <t>This code defines a class that implements the IAuthorizer interface from the Apache Storm project's security module. It provides methods for checking access control policies based on user groups and resources. The implementation uses an instance of the IGroupMappingServiceProvider interface to map users to their corresponding group memberships. The complexity of the code is O(N), where N is the number of users being checked</t>
        </is>
      </c>
      <c r="I2036" t="n">
        <v>0.0037</v>
      </c>
      <c r="J2036" t="n">
        <v>0.08110000000000001</v>
      </c>
      <c r="K2036" t="n">
        <v>0.1471</v>
      </c>
      <c r="L2036" t="inlineStr">
        <is>
          <t>This Java class implements the `IAuthorizer` interface from Storm's security module. It provides authorization services based on user groups and their associated roles. The class takes two dependencies as constructor arguments: `Config` and `IGroupMappingServiceProvider`. These objects provide access to configuration settings and group mapping data, respectively.
The class has several methods that implement various aspects of the `</t>
        </is>
      </c>
      <c r="M2036" t="n">
        <v>0.0041</v>
      </c>
      <c r="N2036" t="n">
        <v>0.09089999999999999</v>
      </c>
      <c r="O2036" t="n">
        <v>0.1538</v>
      </c>
    </row>
    <row r="2037">
      <c r="A2037" t="inlineStr">
        <is>
          <t>storm</t>
        </is>
      </c>
      <c r="B2037" t="inlineStr">
        <is>
          <t>storm-client/test/jvm/org/apache/storm/messaging/DeserializingConnectionCallbackTest.java</t>
        </is>
      </c>
      <c r="C2037">
        <f>HYPERLINK("https://github.com/apache/storm/blob/master/storm-client/test/jvm/org/apache/storm/messaging/DeserializingConnectionCallbackTest.java")</f>
        <v/>
      </c>
      <c r="D2037" t="inlineStr">
        <is>
          <t>This code appears to be part of a Storm project, which is an open-source distributed real-time computation system. It defines a class called `Backend` that implements various methods related to message passing between tasks in a Storm topology.
The `Backend` class has several responsibilities, including:
* Creating a messaging layer for communication between tasks in a Storm</t>
        </is>
      </c>
      <c r="E2037" t="n">
        <v>0.0038</v>
      </c>
      <c r="F2037" t="n">
        <v>0.0606</v>
      </c>
      <c r="G2037" t="n">
        <v>0.1163</v>
      </c>
      <c r="H2037" t="inlineStr">
        <is>
          <t>This code appears to be part of a Java library for implementing messaging systems used in Apache Storm, a distributed real-time computation system. It defines a class called `Messaging` that provides methods for sending and receiving messages between tasks in a Storm topology. The class takes a `WorkerState` object as input, which represents the state of the worker node running the task, and a `</t>
        </is>
      </c>
      <c r="I2037" t="n">
        <v>0.0033</v>
      </c>
      <c r="J2037" t="n">
        <v>0.0822</v>
      </c>
      <c r="K2037" t="n">
        <v>0.146</v>
      </c>
      <c r="L2037" t="inlineStr">
        <is>
          <t>The code defines a class that implements the `IConnection` interface from Storm's messaging library. It provides methods for sending and receiving messages between tasks within a worker process. The class uses a map to store connections to other workers, and it initializes the connections when the worker starts up based on configuration settings. It also has a method for shutting down the connections when the worker sh</t>
        </is>
      </c>
      <c r="M2037" t="n">
        <v>0.0032</v>
      </c>
      <c r="N2037" t="n">
        <v>0.0526</v>
      </c>
      <c r="O2037" t="n">
        <v>0.1079</v>
      </c>
    </row>
    <row r="2038">
      <c r="A2038" t="inlineStr">
        <is>
          <t>storm</t>
        </is>
      </c>
      <c r="B2038" t="inlineStr">
        <is>
          <t>storm-client/test/jvm/org/apache/storm/dependency/DependencyPropertiesParserTest.java</t>
        </is>
      </c>
      <c r="C2038">
        <f>HYPERLINK("https://github.com/apache/storm/blob/master/storm-client/test/jvm/org/apache/storm/dependency/DependencyPropertiesParserTest.java")</f>
        <v/>
      </c>
      <c r="D2038" t="inlineStr">
        <is>
          <t>This Java package `org.apache.storm.dependency` contains classes related to dependency management. It appears to be part of a larger project that involves implementing complex algorithms, possibly related to machine learning or data processing. The package includes several classes, including `Dependency`, which represents a dependency between two entities, and `DependencyGraph`, which manages a graph of dependencies. There is</t>
        </is>
      </c>
      <c r="E2038" t="n">
        <v>0.0039</v>
      </c>
      <c r="F2038" t="n">
        <v>0.0896</v>
      </c>
      <c r="G2038" t="n">
        <v>0.1563</v>
      </c>
      <c r="H2038" t="inlineStr">
        <is>
          <t>This code appears to be part of a Java project that implements some kind of dependency management system using JSON data structures. It includes several classes and interfaces related to parsing and processing JSON files, as well as a JUnit test suite for testing the functionality of the code. The code also includes a comment block at the top that provides copyright and license information for the code. Overall, it seems</t>
        </is>
      </c>
      <c r="I2038" t="n">
        <v>0.0036</v>
      </c>
      <c r="J2038" t="n">
        <v>0.1013</v>
      </c>
      <c r="K2038" t="n">
        <v>0.1399</v>
      </c>
      <c r="L2038" t="inlineStr">
        <is>
          <t>This Java package named `org.apache.storm.dependency` contains classes related to dependency management for Apache Storm. It includes a class called `DependencyManager`, which manages dependencies between different components of a Storm topology. The class also has methods for reading and writing dependency files in JSON format. Additionally, there is a JUnit test case that tests the functionality of the `Dependency</t>
        </is>
      </c>
      <c r="M2038" t="n">
        <v>0.0041</v>
      </c>
      <c r="N2038" t="n">
        <v>0.058</v>
      </c>
      <c r="O2038" t="n">
        <v>0.1154</v>
      </c>
    </row>
    <row r="2039">
      <c r="A2039" t="inlineStr">
        <is>
          <t>storm</t>
        </is>
      </c>
      <c r="B2039" t="inlineStr">
        <is>
          <t>storm-client/test/jvm/org/apache/storm/dependency/DependencyUploaderTest.java</t>
        </is>
      </c>
      <c r="C2039">
        <f>HYPERLINK("https://github.com/apache/storm/blob/master/storm-client/test/jvm/org/apache/storm/dependency/DependencyUploaderTest.java")</f>
        <v/>
      </c>
      <c r="D2039" t="inlineStr">
        <is>
          <t>This is Java code that implements a dependency resolver for a package manager. It takes in a list of packages as input and returns a list of dependencies for each package. The implementation uses a LinkedHashSet to keep track of visited packages and avoid cycles in the graph. The algorithm traverses the graph using a breadth-first search strategy, visiting each node once before moving on to its</t>
        </is>
      </c>
      <c r="E2039" t="n">
        <v>0.0036</v>
      </c>
      <c r="F2039" t="n">
        <v>0.0789</v>
      </c>
      <c r="G2039" t="n">
        <v>0.1439</v>
      </c>
      <c r="H2039" t="inlineStr">
        <is>
          <t>This code appears to be part of a Java project that implements a dependency management system for a web application. It includes several classes and interfaces related to dependency resolution and management, as well as some utility methods for working with files and directories.
The main class, `Dependency`, seems to be responsible for managing dependencies between different components of the application. It has a method called `resolve</t>
        </is>
      </c>
      <c r="I2039" t="n">
        <v>0.0036</v>
      </c>
      <c r="J2039" t="n">
        <v>0.08</v>
      </c>
      <c r="K2039" t="n">
        <v>0.1439</v>
      </c>
      <c r="L2039" t="inlineStr">
        <is>
          <t>The provided code implements a dependency analysis tool for Java projects using the Apache Storm library. It takes as input a list of files and directories representing the project's sources, and generates a report containing information about the dependencies between those files. The report includes a list of all classes and interfaces that are used by each file, as well as a graphical representation of the dependency relationships between them. The</t>
        </is>
      </c>
      <c r="M2039" t="n">
        <v>0.003</v>
      </c>
      <c r="N2039" t="n">
        <v>0.05</v>
      </c>
      <c r="O2039" t="n">
        <v>0.1049</v>
      </c>
    </row>
    <row r="2040">
      <c r="A2040" t="inlineStr">
        <is>
          <t>storm</t>
        </is>
      </c>
      <c r="B2040" t="inlineStr">
        <is>
          <t>storm-client/test/jvm/org/apache/storm/metrics2/RollingAverageGaugeTest.java</t>
        </is>
      </c>
      <c r="C2040">
        <f>HYPERLINK("https://github.com/apache/storm/blob/master/storm-client/test/jvm/org/apache/storm/metrics2/RollingAverageGaugeTest.java")</f>
        <v/>
      </c>
      <c r="D2040" t="inlineStr">
        <is>
          <t>This code implements a rolling average gauge metric that calculates the average value over a given time window. It uses JUnit testing framework to verify the correctness of the implementation. The code is written in Java and follows the Apache coding style guidelines.</t>
        </is>
      </c>
      <c r="E2040" t="n">
        <v>0.0056</v>
      </c>
      <c r="F2040" t="n">
        <v>0.1176</v>
      </c>
      <c r="G2040" t="n">
        <v>0.1739</v>
      </c>
      <c r="H2040" t="inlineStr">
        <is>
          <t>This code implements a rolling average gauge metric that calculates the average value over a fixed window size. It uses JUnit tests to verify its functionality. The code has been optimized for performance using techniques such as caching and lazy initialization. The README provides an overview of the project's purpose and structure, while the comments provide detailed explanations of the implementation. The complexity of the code</t>
        </is>
      </c>
      <c r="I2040" t="n">
        <v>0.0036</v>
      </c>
      <c r="J2040" t="n">
        <v>0.1067</v>
      </c>
      <c r="K2040" t="n">
        <v>0.1449</v>
      </c>
      <c r="L2040" t="inlineStr">
        <is>
          <t>This code implements a rolling average gauge that calculates the average value over a given time window. It uses JUnit for testing purposes.</t>
        </is>
      </c>
      <c r="M2040" t="n">
        <v>0.0098</v>
      </c>
      <c r="N2040" t="n">
        <v>0.129</v>
      </c>
      <c r="O2040" t="n">
        <v>0.1579</v>
      </c>
    </row>
    <row r="2041">
      <c r="A2041" t="inlineStr">
        <is>
          <t>storm</t>
        </is>
      </c>
      <c r="B2041" t="inlineStr">
        <is>
          <t>storm-client/test/jvm/org/apache/storm/metric/FileBasedEventLoggerTest.java</t>
        </is>
      </c>
      <c r="C2041">
        <f>HYPERLINK("https://github.com/apache/storm/blob/master/storm-client/test/jvm/org/apache/storm/metric/FileBasedEventLoggerTest.java")</f>
        <v/>
      </c>
      <c r="D2041" t="inlineStr">
        <is>
          <t>This Java code appears to be part of a Storm metric system. It defines several classes related to metrics collection and processing, including `Metric`, `MetricsInfo`, and `MetricsConsumer`. These classes provide functionality for collecting and consuming metrics data from various sources, such as JMX, log files, and other custom sources.
The `Metric` class</t>
        </is>
      </c>
      <c r="E2041" t="n">
        <v>0.0046</v>
      </c>
      <c r="F2041" t="n">
        <v>0.1</v>
      </c>
      <c r="G2041" t="n">
        <v>0.121</v>
      </c>
      <c r="H2041" t="inlineStr">
        <is>
          <t>This code appears to be part of a Java project that implements various metrics for a Storm application. It defines several classes and interfaces related to metrics collection and processing, including `Metric`, `MetricsCollector`, and `MetricsProcessor`. The code also includes comments describing the purpose of each class and method, as well as a notice about the Apache License and a reference to the Apache Storm</t>
        </is>
      </c>
      <c r="I2041" t="n">
        <v>0.0037</v>
      </c>
      <c r="J2041" t="n">
        <v>0.0833</v>
      </c>
      <c r="K2041" t="n">
        <v>0.1471</v>
      </c>
      <c r="L2041" t="inlineStr">
        <is>
          <t>The provided code implements a metric system for Apache Storm, which allows users to track various metrics such as latency, throughput, and error rates. It provides methods for registering new metrics, updating their values, and retrieving them. Additionally, it includes support for storing metrics in files and providing visualizations using tools like Grafana.</t>
        </is>
      </c>
      <c r="M2041" t="n">
        <v>0.0041</v>
      </c>
      <c r="N2041" t="n">
        <v>0.06560000000000001</v>
      </c>
      <c r="O2041" t="n">
        <v>0.12</v>
      </c>
    </row>
    <row r="2042">
      <c r="A2042" t="inlineStr">
        <is>
          <t>storm</t>
        </is>
      </c>
      <c r="B2042" t="inlineStr">
        <is>
          <t>storm-client/test/jvm/org/apache/storm/metric/filter/FilterByMetricNameTest.java</t>
        </is>
      </c>
      <c r="C2042">
        <f>HYPERLINK("https://github.com/apache/storm/blob/master/storm-client/test/jvm/org/apache/storm/metric/filter/FilterByMetricNameTest.java")</f>
        <v/>
      </c>
      <c r="D2042" t="inlineStr">
        <is>
          <t>This code defines a Java class that implements the `IMetricsConsumer` interface from the Storm project's metric system. It provides a list of metrics consumers, which are used to consume metrics data from Storm topologies. The class also includes some comments describing its purpose and complexity.</t>
        </is>
      </c>
      <c r="E2042" t="n">
        <v>0.0054</v>
      </c>
      <c r="F2042" t="n">
        <v>0.1111</v>
      </c>
      <c r="G2042" t="n">
        <v>0.1709</v>
      </c>
      <c r="H2042" t="inlineStr">
        <is>
          <t>This code appears to be part of an open source project called Storm, which is a distributed real-time computation system. It defines a class that implements the `IMetricsConsumer` interface from the `org.apache.storm.metric.api` package. The class is responsible for consuming metrics data from other parts of the system and processing it according to certain rules.</t>
        </is>
      </c>
      <c r="I2042" t="n">
        <v>0.0045</v>
      </c>
      <c r="J2042" t="n">
        <v>0.0896</v>
      </c>
      <c r="K2042" t="n">
        <v>0.1587</v>
      </c>
      <c r="L2042" t="inlineStr">
        <is>
          <t>This Java class implements the IMetricsConsumer interface from the Apache Storm project. It provides a way to consume metrics data from other components within the system. The class uses the Google Guava library's Lists class to create a list of metric names, which are then used to filter out metrics that should be ignored when consuming metrics data. The class also defines a method called "</t>
        </is>
      </c>
      <c r="M2042" t="n">
        <v>0.0033</v>
      </c>
      <c r="N2042" t="n">
        <v>0.0541</v>
      </c>
      <c r="O2042" t="n">
        <v>0.1087</v>
      </c>
    </row>
    <row r="2043">
      <c r="A2043" t="inlineStr">
        <is>
          <t>storm</t>
        </is>
      </c>
      <c r="B2043" t="inlineStr">
        <is>
          <t>storm-client/test/jvm/org/apache/storm/metric/internal/CountStatTest.java</t>
        </is>
      </c>
      <c r="C2043">
        <f>HYPERLINK("https://github.com/apache/storm/blob/master/storm-client/test/jvm/org/apache/storm/metric/internal/CountStatTest.java")</f>
        <v/>
      </c>
      <c r="D2043" t="inlineStr">
        <is>
          <t>This Java code implements unit tests for a class called `MetricRegistry`. It uses JUnit 5 as its testing framework and provides test cases for various methods of the `MetricRegistry` class.
The `MetricRegistry` class is used to register and track metrics for Storm topologies. It maintains a map of metric names to their values, which can be updated using</t>
        </is>
      </c>
      <c r="E2043" t="n">
        <v>0.0041</v>
      </c>
      <c r="F2043" t="n">
        <v>0.09089999999999999</v>
      </c>
      <c r="G2043" t="n">
        <v>0.1538</v>
      </c>
      <c r="H2043" t="inlineStr">
        <is>
          <t>This code defines a unit test class named `MetricRegistryTest` that tests the functionality of the `MetricRegistry` class from the Apache Storm project. The `MetricRegistry` class is responsible for managing metrics for Storm topologies.
The test case uses JUnit's `@Test` annotation to indicate that it is a test method. It creates a new instance of</t>
        </is>
      </c>
      <c r="I2043" t="n">
        <v>0.004</v>
      </c>
      <c r="J2043" t="n">
        <v>0.0635</v>
      </c>
      <c r="K2043" t="n">
        <v>0.0794</v>
      </c>
      <c r="L2043" t="inlineStr">
        <is>
          <t>This code defines a unit test for the `MetricRegistry` class, which is part of the Apache Storm project's metrics system. The `MetricRegistry` class provides methods for registering and retrieving metrics, as well as managing their lifecycle.
The unit test verifies that the `MetricRegistry` correctly registers and retrieves metrics, and that it properly</t>
        </is>
      </c>
      <c r="M2043" t="n">
        <v>0.0042</v>
      </c>
      <c r="N2043" t="n">
        <v>0.06560000000000001</v>
      </c>
      <c r="O2043" t="n">
        <v>0.121</v>
      </c>
    </row>
    <row r="2044">
      <c r="A2044" t="inlineStr">
        <is>
          <t>storm</t>
        </is>
      </c>
      <c r="B2044" t="inlineStr">
        <is>
          <t>storm-client/test/jvm/org/apache/storm/metric/internal/RateTrackerTest.java</t>
        </is>
      </c>
      <c r="C2044">
        <f>HYPERLINK("https://github.com/apache/storm/blob/master/storm-client/test/jvm/org/apache/storm/metric/internal/RateTrackerTest.java")</f>
        <v/>
      </c>
      <c r="D2044" t="inlineStr">
        <is>
          <t>This code implements a rate tracker that tracks the rate at which events occur over time. It uses a sliding window approach to calculate the rate, where each event is added to a queue and removed from the front of the queue when it falls outside of the current time window. The rate is calculated as the number of events in the window divided by the duration of the window.
The</t>
        </is>
      </c>
      <c r="E2044" t="n">
        <v>0.0034</v>
      </c>
      <c r="F2044" t="n">
        <v>0.0759</v>
      </c>
      <c r="G2044" t="n">
        <v>0.1399</v>
      </c>
      <c r="H2044" t="inlineStr">
        <is>
          <t>This code implements a rate tracker that tracks the rate at which events occur over time. It uses a sliding window approach to track the number of events within a given time period and calculates the average rate per second. The code also provides methods for resetting the tracker and getting the current rate.</t>
        </is>
      </c>
      <c r="I2044" t="n">
        <v>0.0045</v>
      </c>
      <c r="J2044" t="n">
        <v>0.0968</v>
      </c>
      <c r="K2044" t="n">
        <v>0.1587</v>
      </c>
      <c r="L2044" t="inlineStr">
        <is>
          <t>The provided code is part of a unit test for the `RateTracker` class, which is used to track rates of events over time. It appears to be testing the correctness of the `RateTracker` implementation by comparing the expected output with the actual output generated by the class' methods.</t>
        </is>
      </c>
      <c r="M2044" t="n">
        <v>0</v>
      </c>
      <c r="N2044" t="n">
        <v>0.0357</v>
      </c>
      <c r="O2044" t="n">
        <v>0.0833</v>
      </c>
    </row>
    <row r="2045">
      <c r="A2045" t="inlineStr">
        <is>
          <t>storm</t>
        </is>
      </c>
      <c r="B2045" t="inlineStr">
        <is>
          <t>storm-client/test/jvm/org/apache/storm/metric/internal/LatencyStatTest.java</t>
        </is>
      </c>
      <c r="C2045">
        <f>HYPERLINK("https://github.com/apache/storm/blob/master/storm-client/test/jvm/org/apache/storm/metric/internal/LatencyStatTest.java")</f>
        <v/>
      </c>
      <c r="D2045" t="inlineStr">
        <is>
          <t>This code appears to be part of a Java project that implements a unit test for a class called `LatencyStat`. The `LatencyStat` class is used to measure latencies of certain events in a system. The `LatencyStat` class has a method called `update()` which takes two parameters - a timestamp representing when the event occurred, and a duration representing how</t>
        </is>
      </c>
      <c r="E2045" t="n">
        <v>0.0041</v>
      </c>
      <c r="F2045" t="n">
        <v>0.09089999999999999</v>
      </c>
      <c r="G2045" t="n">
        <v>0.1527</v>
      </c>
      <c r="H2045" t="inlineStr">
        <is>
          <t>This code appears to be part of a Java project that implements a unit test for a class called `LatencyStat`. It defines a method called `test` that takes no arguments and returns void. The method is annotated with `@Test`, indicating that it is a unit test.
The method does not contain any executable statements, but it does have some comments and documentation. These</t>
        </is>
      </c>
      <c r="I2045" t="n">
        <v>0.0038</v>
      </c>
      <c r="J2045" t="n">
        <v>0.08450000000000001</v>
      </c>
      <c r="K2045" t="n">
        <v>0.1481</v>
      </c>
      <c r="L2045" t="inlineStr">
        <is>
          <t>The provided code defines a unit test class for `LatencyStat`, which is part of the Apache Storm project's metrics implementation. The test case verifies that the `LatencyStat` object correctly calculates the average latency over time based on incoming data points.
The test method `testCalculate()` takes two arguments: `expectedAverage` and `num</t>
        </is>
      </c>
      <c r="M2045" t="n">
        <v>0.0037</v>
      </c>
      <c r="N2045" t="n">
        <v>0.0678</v>
      </c>
      <c r="O2045" t="n">
        <v>0.082</v>
      </c>
    </row>
    <row r="2046">
      <c r="A2046" t="inlineStr">
        <is>
          <t>storm</t>
        </is>
      </c>
      <c r="B2046" t="inlineStr">
        <is>
          <t>storm-client/test/jvm/org/apache/storm/metric/util/DataPointExpanderTest.java</t>
        </is>
      </c>
      <c r="C2046">
        <f>HYPERLINK("https://github.com/apache/storm/blob/master/storm-client/test/jvm/org/apache/storm/metric/util/DataPointExpanderTest.java")</f>
        <v/>
      </c>
      <c r="D2046" t="inlineStr">
        <is>
          <t>This code appears to be part of a Java project that implements various metrics consumers for Apache Storm. It defines several classes related to metrics consumption, including `MetricUtils`, which provides utility methods for working with metrics data, and `MetricsConsumers`, which is a collection of implementations of the `IMetricsConsumer` interface.
The main class in this package,</t>
        </is>
      </c>
      <c r="E2046" t="n">
        <v>0.0044</v>
      </c>
      <c r="F2046" t="n">
        <v>0.09520000000000001</v>
      </c>
      <c r="G2046" t="n">
        <v>0.1575</v>
      </c>
      <c r="H2046" t="inlineStr">
        <is>
          <t>This code defines a class called `MetricUtils` that provides various utility methods for working with metrics in Storm. It implements the `IMetricsConsumer` interface, which allows it to consume metrics from other parts of the system.
The `add()` method takes two arguments, `a` and `b`, and returns their sum.
The `multiply()` method</t>
        </is>
      </c>
      <c r="I2046" t="n">
        <v>0.0047</v>
      </c>
      <c r="J2046" t="n">
        <v>0.1017</v>
      </c>
      <c r="K2046" t="n">
        <v>0.1626</v>
      </c>
      <c r="L2046" t="inlineStr">
        <is>
          <t>This code defines a class named `MetricUtils` that provides utility methods for working with metrics in Apache Storm. It implements the `IMetricsConsumer` interface, which allows it to consume metric data from other parts of the system.
The `getMetrics()` method returns a map of metrics, where each entry consists of a metric name and its value. The `get</t>
        </is>
      </c>
      <c r="M2046" t="n">
        <v>0.0042</v>
      </c>
      <c r="N2046" t="n">
        <v>0.09229999999999999</v>
      </c>
      <c r="O2046" t="n">
        <v>0.155</v>
      </c>
    </row>
    <row r="2047">
      <c r="A2047" t="inlineStr">
        <is>
          <t>storm</t>
        </is>
      </c>
      <c r="B2047" t="inlineStr">
        <is>
          <t>storm-client/test/jvm/org/apache/storm/nimbus/NimbusInfoTest.java</t>
        </is>
      </c>
      <c r="C2047">
        <f>HYPERLINK("https://github.com/apache/storm/blob/master/storm-client/test/jvm/org/apache/storm/nimbus/NimbusInfoTest.java")</f>
        <v/>
      </c>
      <c r="D2047" t="inlineStr">
        <is>
          <t>This code appears to be part of a Java project that implements the Nimbus component of Apache Storm, which is a real-time computation system. It defines a class called `TopologyValidator` that has several methods related to validating topologies before they can be submitted to the cluster for execution.
The `validateTopology` method takes a topology object as input and performs various</t>
        </is>
      </c>
      <c r="E2047" t="n">
        <v>0.004</v>
      </c>
      <c r="F2047" t="n">
        <v>0.08699999999999999</v>
      </c>
      <c r="G2047" t="n">
        <v>0.1515</v>
      </c>
      <c r="H2047" t="inlineStr">
        <is>
          <t>This code defines a package called `org.apache.storm.nimbus` that contains classes related to the Storm Nimbus server component. It includes a single class called `StormNimbusServer` that extends the `AbstractServer` class from the `org.apache.storm.daemon` package. The `StormNimbusServer` class has a</t>
        </is>
      </c>
      <c r="I2047" t="n">
        <v>0.0049</v>
      </c>
      <c r="J2047" t="n">
        <v>0.0385</v>
      </c>
      <c r="K2047" t="n">
        <v>0.0455</v>
      </c>
      <c r="L2047" t="inlineStr">
        <is>
          <t>This code defines a test class for the Nimbus component of Apache Storm, which manages the assignment of tasks to nodes in a distributed cluster. It includes unit tests for various methods related to task assignment, such as `assign()` and `getAssignment()`. The code also includes comments explaining the purpose of each method and how they fit into the overall architecture of Storm.</t>
        </is>
      </c>
      <c r="M2047" t="n">
        <v>0.0035</v>
      </c>
      <c r="N2047" t="n">
        <v>0.0571</v>
      </c>
      <c r="O2047" t="n">
        <v>0.0746</v>
      </c>
    </row>
    <row r="2048">
      <c r="A2048" t="inlineStr">
        <is>
          <t>storm</t>
        </is>
      </c>
      <c r="B2048" t="inlineStr">
        <is>
          <t>storm-client/test/jvm/org/apache/storm/bolt/TestJoinBolt.java</t>
        </is>
      </c>
      <c r="C2048">
        <f>HYPERLINK("https://github.com/apache/storm/blob/master/storm-client/test/jvm/org/apache/storm/bolt/TestJoinBolt.java")</f>
        <v/>
      </c>
      <c r="D2048" t="inlineStr">
        <is>
          <t>This Java code defines a class named `Backend` that implements the `Bolt` interface from the Storm library. It has several methods that perform various tasks related to processing data, such as filtering, sorting, and grouping.
The main method of the class takes two arguments: a list of input values and a context object that provides access to the topology's configuration and other metadata</t>
        </is>
      </c>
      <c r="E2048" t="n">
        <v>0.0038</v>
      </c>
      <c r="F2048" t="n">
        <v>0.0833</v>
      </c>
      <c r="G2048" t="n">
        <v>0.1111</v>
      </c>
      <c r="H2048" t="inlineStr">
        <is>
          <t>This code defines a Java class that implements a bolt component for Apache Storm. It appears to be responsible for processing tuples emitted from other bolts and performing some computation on them. The class has several dependencies, including the `java.util` package, which provides basic data structures like lists and maps, as well as the `org.apache.storm` package, which pres</t>
        </is>
      </c>
      <c r="I2048" t="n">
        <v>0.0041</v>
      </c>
      <c r="J2048" t="n">
        <v>0.08699999999999999</v>
      </c>
      <c r="K2048" t="n">
        <v>0.1154</v>
      </c>
      <c r="L2048" t="inlineStr">
        <is>
          <t>This code defines a bolt that processes data from Storm streams. It takes in a collection of tuples as input and emits a list of strings as output. The bolt uses the `GeneralTopologyContext` class to access the topology's configuration and task IDs. It also uses the `java.util.ArrayList` and `java.util.HashMap` classes to store and</t>
        </is>
      </c>
      <c r="M2048" t="n">
        <v>0.0041</v>
      </c>
      <c r="N2048" t="n">
        <v>0.0606</v>
      </c>
      <c r="O2048" t="n">
        <v>0.12</v>
      </c>
    </row>
    <row r="2049">
      <c r="A2049" t="inlineStr">
        <is>
          <t>storm</t>
        </is>
      </c>
      <c r="B2049" t="inlineStr">
        <is>
          <t>storm-client/test/jvm/org/apache/storm/streams/ProcessorBoltTest.java</t>
        </is>
      </c>
      <c r="C2049">
        <f>HYPERLINK("https://github.com/apache/storm/blob/master/storm-client/test/jvm/org/apache/storm/streams/ProcessorBoltTest.java")</f>
        <v/>
      </c>
      <c r="D2049" t="inlineStr">
        <is>
          <t>This Java code defines a class called `Stream` that represents a stream of data. It has several methods for interacting with the stream, such as `get()` which returns the next item in the stream, `hasNext()` which checks if there are any items left in the stream, and `close()` which closes the stream. Additionally, it also implements the `Iterable` interface</t>
        </is>
      </c>
      <c r="E2049" t="n">
        <v>0.0041</v>
      </c>
      <c r="F2049" t="n">
        <v>0.0597</v>
      </c>
      <c r="G2049" t="n">
        <v>0.1145</v>
      </c>
      <c r="H2049" t="inlineStr">
        <is>
          <t>This code defines a Java package called `org.apache.storm.streams` that provides various classes and methods related to stream processing using Apache Storm. The package includes a class named `StreamBuilder` which is used to build streams, a class named `Grouping` which represents how tuples should be grouped, and several other utility classes. The README file describes the overall</t>
        </is>
      </c>
      <c r="I2049" t="n">
        <v>0.0039</v>
      </c>
      <c r="J2049" t="n">
        <v>0.0597</v>
      </c>
      <c r="K2049" t="n">
        <v>0.1172</v>
      </c>
      <c r="L2049" t="inlineStr">
        <is>
          <t>The provided Java code defines a class named `Stream` that represents a stream of data in Apache Storm. It has several methods for manipulating streams, such as `map`, `filter`, and `reduce`. The class also provides accessor methods for retrieving information about the stream's configuration and state. Overall, the code appears to be responsible for implementing the basic building blocks of a</t>
        </is>
      </c>
      <c r="M2049" t="n">
        <v>0.003</v>
      </c>
      <c r="N2049" t="n">
        <v>0.0286</v>
      </c>
      <c r="O2049" t="n">
        <v>0.0752</v>
      </c>
    </row>
    <row r="2050">
      <c r="A2050" t="inlineStr">
        <is>
          <t>storm</t>
        </is>
      </c>
      <c r="B2050" t="inlineStr">
        <is>
          <t>storm-client/test/jvm/org/apache/storm/streams/StatefulProcessorBoltTest.java</t>
        </is>
      </c>
      <c r="C2050">
        <f>HYPERLINK("https://github.com/apache/storm/blob/master/storm-client/test/jvm/org/apache/storm/streams/StatefulProcessorBoltTest.java")</f>
        <v/>
      </c>
      <c r="D2050" t="inlineStr">
        <is>
          <t>This code appears to be part of an open source project called Storm Streams, which is a library for implementing stream processing systems using Java. It defines several classes and interfaces related to data structures and algorithms used in stream processing, such as `Stream`, `WindowedStream`, `Grouping`, etc.
The code also includes some comments that describe the purpose of each class and its usage</t>
        </is>
      </c>
      <c r="E2050" t="n">
        <v>0.0034</v>
      </c>
      <c r="F2050" t="n">
        <v>0.08450000000000001</v>
      </c>
      <c r="G2050" t="n">
        <v>0.1481</v>
      </c>
      <c r="H2050" t="inlineStr">
        <is>
          <t>This code defines a package named `org.apache.storm.streams` that contains classes related to stream processing using Apache Storm. The package includes several files, including a README file, which provides an overview of the project's goals and objectives. Additionally, there are comments throughout the code that provide context and explain the implementation details of various methods and classes.</t>
        </is>
      </c>
      <c r="I2050" t="n">
        <v>0.0039</v>
      </c>
      <c r="J2050" t="n">
        <v>0.0882</v>
      </c>
      <c r="K2050" t="n">
        <v>0.1563</v>
      </c>
      <c r="L2050" t="inlineStr">
        <is>
          <t>The provided code defines a Java class named `Stream` that represents a stream of data. It implements the `Iterable` interface and provides methods for iterating over the elements in the stream. Additionally, it includes several utility functions for working with streams, such as `map`, `filter`, and `reduce`. The class also has a constructor that takes a collection of initial values and a function</t>
        </is>
      </c>
      <c r="M2050" t="n">
        <v>0.0034</v>
      </c>
      <c r="N2050" t="n">
        <v>0.08450000000000001</v>
      </c>
      <c r="O2050" t="n">
        <v>0.1111</v>
      </c>
    </row>
    <row r="2051">
      <c r="A2051" t="inlineStr">
        <is>
          <t>storm</t>
        </is>
      </c>
      <c r="B2051" t="inlineStr">
        <is>
          <t>storm-client/test/jvm/org/apache/storm/streams/WindowedProcessorBoltTest.java</t>
        </is>
      </c>
      <c r="C2051">
        <f>HYPERLINK("https://github.com/apache/storm/blob/master/storm-client/test/jvm/org/apache/storm/streams/WindowedProcessorBoltTest.java")</f>
        <v/>
      </c>
      <c r="D2051" t="inlineStr">
        <is>
          <t>This Java code appears to be part of a Storm stream processing framework. It defines several classes and methods related to data processing and analysis.
The `Stream` class represents a sequence of events that can be processed using various transformations and aggregations. It has methods for adding new events, removing old events, and performing operations such as filtering and mapping.
The `WindowedStream`</t>
        </is>
      </c>
      <c r="E2051" t="n">
        <v>0.0035</v>
      </c>
      <c r="F2051" t="n">
        <v>0.0571</v>
      </c>
      <c r="G2051" t="n">
        <v>0.1119</v>
      </c>
      <c r="H2051" t="inlineStr">
        <is>
          <t>This code appears to be part of an open-source project called Storm Streams, which is a Java library for implementing stream processing applications using Apache Storm as the underlying engine. The code defines several classes and interfaces related to the implementation of these algorithms, including a `Stream` class that represents a continuous sequence of data elements, a `Window` class that represents a sliding window over the stream</t>
        </is>
      </c>
      <c r="I2051" t="n">
        <v>0.0032</v>
      </c>
      <c r="J2051" t="n">
        <v>0.0789</v>
      </c>
      <c r="K2051" t="n">
        <v>0.1439</v>
      </c>
      <c r="L2051" t="inlineStr">
        <is>
          <t>This code implements a customized version of the Storm stream processing engine. It provides a way to process data streams using a combination of user-defined functions and built-in operators. The code includes several classes and methods that define the architecture of the system, including the `StreamBuilder` class, which is used to construct the stream pipeline, and the `Operator` interface, which defines the basic</t>
        </is>
      </c>
      <c r="M2051" t="n">
        <v>0.0038</v>
      </c>
      <c r="N2051" t="n">
        <v>0.1096</v>
      </c>
      <c r="O2051" t="n">
        <v>0.1481</v>
      </c>
    </row>
    <row r="2052">
      <c r="A2052" t="inlineStr">
        <is>
          <t>storm</t>
        </is>
      </c>
      <c r="B2052" t="inlineStr">
        <is>
          <t>storm-client/test/jvm/org/apache/storm/streams/StreamBuilderTest.java</t>
        </is>
      </c>
      <c r="C2052">
        <f>HYPERLINK("https://github.com/apache/storm/blob/master/storm-client/test/jvm/org/apache/storm/streams/StreamBuilderTest.java")</f>
        <v/>
      </c>
      <c r="D2052" t="inlineStr">
        <is>
          <t>This Java code defines a class named `StormStream` that extends the `Bolt` interface from the Storm library. It has several methods that define how data is processed within the bolt, including `execute`, `process`, and `ack`. These methods handle incoming tuples from other bolts and perform various operations on them before sending them to their final destinations.
The</t>
        </is>
      </c>
      <c r="E2052" t="n">
        <v>0.0038</v>
      </c>
      <c r="F2052" t="n">
        <v>0.0615</v>
      </c>
      <c r="G2052" t="n">
        <v>0.0775</v>
      </c>
      <c r="H2052" t="inlineStr">
        <is>
          <t>This code appears to be part of an open source project called Storm Streams. It defines a Java class that implements the `Bolt` interface from the Apache Storm API. The class takes in a map of global stream IDs as input and returns a map of output streams. The implementation of the `execute()` method appears to perform some sort of operation on the input data and then emit it to</t>
        </is>
      </c>
      <c r="I2052" t="n">
        <v>0.0034</v>
      </c>
      <c r="J2052" t="n">
        <v>0.0769</v>
      </c>
      <c r="K2052" t="n">
        <v>0.1408</v>
      </c>
      <c r="L2052" t="inlineStr">
        <is>
          <t>The code defines a class that implements the `Bolt` interface from Storm. It takes two parameters upon initialization: a map of global stream IDs to input streams, and a map of output fields to their corresponding stream IDs. The bolt's primary responsibility is to process tuples received from these input streams and emit new tuples to the specified output streams. The bolt also has a</t>
        </is>
      </c>
      <c r="M2052" t="n">
        <v>0.0033</v>
      </c>
      <c r="N2052" t="n">
        <v>0.0541</v>
      </c>
      <c r="O2052" t="n">
        <v>0.1095</v>
      </c>
    </row>
    <row r="2053">
      <c r="A2053" t="inlineStr">
        <is>
          <t>storm</t>
        </is>
      </c>
      <c r="B2053" t="inlineStr">
        <is>
          <t>storm-client/test/jvm/org/apache/storm/streams/processors/JoinProcessorTest.java</t>
        </is>
      </c>
      <c r="C2053">
        <f>HYPERLINK("https://github.com/apache/storm/blob/master/storm-client/test/jvm/org/apache/storm/streams/processors/JoinProcessorTest.java")</f>
        <v/>
      </c>
      <c r="D2053" t="inlineStr">
        <is>
          <t>This code appears to be part of a Java library for implementing stream processing using the Apache Storm framework. It defines several classes and interfaces related to data processing and management, including `Processor`, `StatefulProcessor`, `WindowedProcessor`, and `Event`. These classes and interfaces provide a way to process streams of events and manage state across multiple instances of the same processor. The code also includes some</t>
        </is>
      </c>
      <c r="E2053" t="n">
        <v>0.0034</v>
      </c>
      <c r="F2053" t="n">
        <v>0.0833</v>
      </c>
      <c r="G2053" t="n">
        <v>0.1471</v>
      </c>
      <c r="H2053" t="inlineStr">
        <is>
          <t>This code appears to be part of a Java library that provides various utilities for working with streams. The `StreamProcessor` class defines several methods for processing streams of data, including `map`, `filter`, `reduce`, and `flatMap`. These methods allow users to manipulate and transform streams of data in various ways, such as mapping each element of a stream to a new value or filtering</t>
        </is>
      </c>
      <c r="I2053" t="n">
        <v>0.0034</v>
      </c>
      <c r="J2053" t="n">
        <v>0.0563</v>
      </c>
      <c r="K2053" t="n">
        <v>0.1111</v>
      </c>
      <c r="L2053" t="inlineStr">
        <is>
          <t>The code defines a processor that takes a list of input tuples and returns a list of output tuples based on some processing logic. It uses the `Apache Storm` library to perform stream processing. The processor first filters out any duplicate tuples from the input list and then applies a set of rules to each tuple to determine whether it should be included in the output list. If a tuple</t>
        </is>
      </c>
      <c r="M2053" t="n">
        <v>0.0031</v>
      </c>
      <c r="N2053" t="n">
        <v>0.0513</v>
      </c>
      <c r="O2053" t="n">
        <v>0.1056</v>
      </c>
    </row>
    <row r="2054">
      <c r="A2054" t="inlineStr">
        <is>
          <t>storm</t>
        </is>
      </c>
      <c r="B2054" t="inlineStr">
        <is>
          <t>storm-client/test/jvm/org/apache/storm/streams/processors/CoGroupByKeyProcessorTest.java</t>
        </is>
      </c>
      <c r="C2054">
        <f>HYPERLINK("https://github.com/apache/storm/blob/master/storm-client/test/jvm/org/apache/storm/streams/processors/CoGroupByKeyProcessorTest.java")</f>
        <v/>
      </c>
      <c r="D2054" t="inlineStr">
        <is>
          <t>This Java package `org.apache.storm.streams.processors` contains classes that implement various stream processing algorithms, including data structures such as lists and sets, and methods for performing operations on them. The main class in this package is `Processor`, which provides a base implementation for processing streams of data. Other classes in the package include `BatchProcessor`, which processes batches of</t>
        </is>
      </c>
      <c r="E2054" t="n">
        <v>0.0039</v>
      </c>
      <c r="F2054" t="n">
        <v>0.0882</v>
      </c>
      <c r="G2054" t="n">
        <v>0.1172</v>
      </c>
      <c r="H2054" t="inlineStr">
        <is>
          <t>This code defines a Java package called `org.apache.storm.streams.processors` that implements various algorithms used in processing data streams. It includes a number of classes, each of which represents a different algorithm. Some of these classes have methods that take input parameters and produce output results, while others perform operations on internal state.
The `README` file provides a</t>
        </is>
      </c>
      <c r="I2054" t="n">
        <v>0.0043</v>
      </c>
      <c r="J2054" t="n">
        <v>0.0882</v>
      </c>
      <c r="K2054" t="n">
        <v>0.1563</v>
      </c>
      <c r="L2054" t="inlineStr">
        <is>
          <t>This Java class implements a processor that takes in a collection of input values and returns a list of output values based on some processing logic. The class uses the Apache Storm library and defines several methods, including `initialize`, `execute`, and `close`. The `initialize` method initializes the processor's state, while the `execute` method performs the actual processing on each input value. The</t>
        </is>
      </c>
      <c r="M2054" t="n">
        <v>0.0042</v>
      </c>
      <c r="N2054" t="n">
        <v>0.1127</v>
      </c>
      <c r="O2054" t="n">
        <v>0.1866</v>
      </c>
    </row>
    <row r="2055">
      <c r="A2055" t="inlineStr">
        <is>
          <t>storm</t>
        </is>
      </c>
      <c r="B2055" t="inlineStr">
        <is>
          <t>storm-client/test/jvm/org/apache/storm/windowing/WaterMarkEventGeneratorTest.java</t>
        </is>
      </c>
      <c r="C2055">
        <f>HYPERLINK("https://github.com/apache/storm/blob/master/storm-client/test/jvm/org/apache/storm/windowing/WaterMarkEventGeneratorTest.java")</f>
        <v/>
      </c>
      <c r="D2055" t="inlineStr">
        <is>
          <t>This code appears to be part of a Java project that implements various windowing algorithms used in data processing systems like Apache Storm. It defines several classes related to windowing, including `Window` and `TimeWindows`, which represent windows of time and their corresponding triggers. Additionally, it includes a class called `WindowManager` that manages the creation and processing of these windows.
The code</t>
        </is>
      </c>
      <c r="E2055" t="n">
        <v>0.0039</v>
      </c>
      <c r="F2055" t="n">
        <v>0.08699999999999999</v>
      </c>
      <c r="G2055" t="n">
        <v>0.1504</v>
      </c>
      <c r="H2055" t="inlineStr">
        <is>
          <t>This code defines a package named `org.apache.storm.windowing` that provides classes for implementing windowed processing in Storm. The package includes several classes, including `WindowManager`, which manages windows and their associated data streams, and `WindowFunction`, which applies a function to each element in a window. The `WindowManager` class uses a `HashMap` to store the</t>
        </is>
      </c>
      <c r="I2055" t="n">
        <v>0.0042</v>
      </c>
      <c r="J2055" t="n">
        <v>0.09520000000000001</v>
      </c>
      <c r="K2055" t="n">
        <v>0.1613</v>
      </c>
      <c r="L2055" t="inlineStr">
        <is>
          <t>The provided code defines a class that implements windowing functionality for Apache Storm. It takes in a list of tuples and returns a set of windows based on the specified window size and slide interval. The class uses the GlobalStreamId object from the storm generated package to identify the stream being processed. The method processes the input tuple list and creates a new window whenever the current time minus the slide interval</t>
        </is>
      </c>
      <c r="M2055" t="n">
        <v>0.0033</v>
      </c>
      <c r="N2055" t="n">
        <v>0.075</v>
      </c>
      <c r="O2055" t="n">
        <v>0.1042</v>
      </c>
    </row>
    <row r="2056">
      <c r="A2056" t="inlineStr">
        <is>
          <t>storm</t>
        </is>
      </c>
      <c r="B2056" t="inlineStr">
        <is>
          <t>storm-client/test/jvm/org/apache/storm/windowing/WindowManagerTest.java</t>
        </is>
      </c>
      <c r="C2056">
        <f>HYPERLINK("https://github.com/apache/storm/blob/master/storm-client/test/jvm/org/apache/storm/windowing/WindowManagerTest.java")</f>
        <v/>
      </c>
      <c r="D2056" t="inlineStr">
        <is>
          <t>This Java code appears to be part of a Storm project, specifically the windowing component. It defines several classes and methods related to windowing, including `SlidingWindow`, `TumblingWindow`, and `CountWindow`. These classes represent different types of windows that can be used to group tuples together based on their arrival time or other criteria. The code also includes a number of utility</t>
        </is>
      </c>
      <c r="E2056" t="n">
        <v>0.0036</v>
      </c>
      <c r="F2056" t="n">
        <v>0.0588</v>
      </c>
      <c r="G2056" t="n">
        <v>0.1136</v>
      </c>
      <c r="H2056" t="inlineStr">
        <is>
          <t>This code defines a package called `org.apache.storm.windowing` that provides classes and methods for implementing windowed processing in Storm. It includes several files such as `WindowManager`, `SlidingWindows`, `TumblingWindows`, etc. The package also includes a README file that describes the purpose of the project and its dependencies.
The code uses Java</t>
        </is>
      </c>
      <c r="I2056" t="n">
        <v>0.0045</v>
      </c>
      <c r="J2056" t="n">
        <v>0.1</v>
      </c>
      <c r="K2056" t="n">
        <v>0.1653</v>
      </c>
      <c r="L2056" t="inlineStr">
        <is>
          <t>The provided code defines a custom windowing function for Apache Storm that allows developers to process data based on time intervals. It takes in a list of tuples as input and returns a list of windows containing those tuples. The window size is determined by the user and can be configured using the `setWindowSize` method. Additionally, the function also supports specifying the slide interval, which determines</t>
        </is>
      </c>
      <c r="M2056" t="n">
        <v>0.0028</v>
      </c>
      <c r="N2056" t="n">
        <v>0.0541</v>
      </c>
      <c r="O2056" t="n">
        <v>0.0725</v>
      </c>
    </row>
    <row r="2057">
      <c r="A2057" t="inlineStr">
        <is>
          <t>storm</t>
        </is>
      </c>
      <c r="B2057" t="inlineStr">
        <is>
          <t>storm-client/test/jvm/org/apache/storm/windowing/persistence/WindowStateTest.java</t>
        </is>
      </c>
      <c r="C2057">
        <f>HYPERLINK("https://github.com/apache/storm/blob/master/storm-client/test/jvm/org/apache/storm/windowing/persistence/WindowStateTest.java")</f>
        <v/>
      </c>
      <c r="D2057" t="inlineStr">
        <is>
          <t>This code implements a data structure called a sliding window that stores elements in a fixed size buffer. It provides methods for adding new elements to the window, removing old elements from the window, and retrieving all elements currently stored in the window. The implementation uses a double ended queue (deque) as the underlying storage mechanism, which allows efficient addition and removal of elements from both ends of the</t>
        </is>
      </c>
      <c r="E2057" t="n">
        <v>0.0035</v>
      </c>
      <c r="F2057" t="n">
        <v>0.0779</v>
      </c>
      <c r="G2057" t="n">
        <v>0.1418</v>
      </c>
      <c r="H2057" t="inlineStr">
        <is>
          <t>This code defines a class called `PersistenceManager` that manages persisting data across different instances of a system. It uses a combination of Java collections and data structures to store and retrieve data efficiently.
The class has several methods, including `add`, `get`, and `remove`. These methods allow users to add new data to the manager, retrieve previously stored data, and remove</t>
        </is>
      </c>
      <c r="I2057" t="n">
        <v>0.0036</v>
      </c>
      <c r="J2057" t="n">
        <v>0.0588</v>
      </c>
      <c r="K2057" t="n">
        <v>0.1136</v>
      </c>
      <c r="L2057" t="inlineStr">
        <is>
          <t>This Java class implements a windowed persistence mechanism for Storm, which allows data to be stored and retrieved based on time windows. It provides methods for storing and retrieving data, as well as managing the size of the data store.
The class uses a HashMap to store the data, where each entry represents a single data point. Each entry has a timestamp associated with it, which</t>
        </is>
      </c>
      <c r="M2057" t="n">
        <v>0.0036</v>
      </c>
      <c r="N2057" t="n">
        <v>0.08110000000000001</v>
      </c>
      <c r="O2057" t="n">
        <v>0.1449</v>
      </c>
    </row>
    <row r="2058">
      <c r="A2058" t="inlineStr">
        <is>
          <t>storm</t>
        </is>
      </c>
      <c r="B2058" t="inlineStr">
        <is>
          <t>storm-client/test/jvm/org/apache/storm/topology/StatefulWindowedBoltExecutorTest.java</t>
        </is>
      </c>
      <c r="C2058">
        <f>HYPERLINK("https://github.com/apache/storm/blob/master/storm-client/test/jvm/org/apache/storm/topology/StatefulWindowedBoltExecutorTest.java")</f>
        <v/>
      </c>
      <c r="D2058" t="inlineStr">
        <is>
          <t>This code defines a Java class named `TopologyBuilder` that provides a way to build Storm topologies using a fluent API. It allows users to define spouts, bolts, and streams, as well as set configuration options for the topology. The code also includes a number of utility methods for working with maps and lists.</t>
        </is>
      </c>
      <c r="E2058" t="n">
        <v>0.0041</v>
      </c>
      <c r="F2058" t="n">
        <v>0.06560000000000001</v>
      </c>
      <c r="G2058" t="n">
        <v>0.2044</v>
      </c>
      <c r="H2058" t="inlineStr">
        <is>
          <t>This Java package `org.apache.storm.topology` provides a set of classes that implement the Storm topology API. The package includes several key classes such as `TopologyBuilder`, `SpoutSpec`, `BoltSpec`, and `Stream`. These classes provide a way to define the structure and behavior of a Storm topology, which is a collection of spouts and bolts</t>
        </is>
      </c>
      <c r="I2058" t="n">
        <v>0.0043</v>
      </c>
      <c r="J2058" t="n">
        <v>0.0968</v>
      </c>
      <c r="K2058" t="n">
        <v>0.122</v>
      </c>
      <c r="L2058" t="inlineStr">
        <is>
          <t>This Java package `org.apache.storm.topology` provides classes and interfaces for building and managing Storm topologies. It includes various features such as spouts, bolts, streams, and tuples, which enable developers to create scalable and fault-tolerant data processing pipelines. The package also supports configuration options through the `Config` class, allowing users to</t>
        </is>
      </c>
      <c r="M2058" t="n">
        <v>0.0045</v>
      </c>
      <c r="N2058" t="n">
        <v>0.06560000000000001</v>
      </c>
      <c r="O2058" t="n">
        <v>0.08260000000000001</v>
      </c>
    </row>
    <row r="2059">
      <c r="A2059" t="inlineStr">
        <is>
          <t>storm</t>
        </is>
      </c>
      <c r="B2059" t="inlineStr">
        <is>
          <t>storm-client/test/jvm/org/apache/storm/topology/SimpleWindowPartitionCacheTest.java</t>
        </is>
      </c>
      <c r="C2059">
        <f>HYPERLINK("https://github.com/apache/storm/blob/master/storm-client/test/jvm/org/apache/storm/topology/SimpleWindowPartitionCacheTest.java")</f>
        <v/>
      </c>
      <c r="D2059" t="inlineStr">
        <is>
          <t>This code appears to be part of a Java project that implements various algorithms related to data processing and analysis. It includes several classes and interfaces, each with its own set of methods and fields.
The `Topology` class is the main entry point for the application, and it defines the overall structure of the topology. It has a list of spouts (`Spout`) and bolts</t>
        </is>
      </c>
      <c r="E2059" t="n">
        <v>0.0037</v>
      </c>
      <c r="F2059" t="n">
        <v>0.0833</v>
      </c>
      <c r="G2059" t="n">
        <v>0.1471</v>
      </c>
      <c r="H2059" t="inlineStr">
        <is>
          <t>This code appears to be part of an open source project called Storm, which is a distributed real-time computation system. It defines a class named `Topology` that represents a topology of spouts and bolts, which are the building blocks of a Storm application. A topology consists of a set of spout tasks and a set of bolt tasks, where each task runs on a separate</t>
        </is>
      </c>
      <c r="I2059" t="n">
        <v>0.0033</v>
      </c>
      <c r="J2059" t="n">
        <v>0.0541</v>
      </c>
      <c r="K2059" t="n">
        <v>0.1095</v>
      </c>
      <c r="L2059" t="inlineStr">
        <is>
          <t>This Java class named `TopologyBuilder` belongs to the Apache Storm project. It provides a way to build topologies for processing data streams using the Storm API. Topologies consist of spouts that emit tuples (data packets), which are processed by bolts. Bolts can perform various tasks such as filtering, aggregating, or transforming the data. The `TopologyBuilder`</t>
        </is>
      </c>
      <c r="M2059" t="n">
        <v>0.0033</v>
      </c>
      <c r="N2059" t="n">
        <v>0.0317</v>
      </c>
      <c r="O2059" t="n">
        <v>0.07870000000000001</v>
      </c>
    </row>
    <row r="2060">
      <c r="A2060" t="inlineStr">
        <is>
          <t>storm</t>
        </is>
      </c>
      <c r="B2060" t="inlineStr">
        <is>
          <t>storm-client/test/jvm/org/apache/storm/topology/PersistentWindowedBoltExecutorTest.java</t>
        </is>
      </c>
      <c r="C2060">
        <f>HYPERLINK("https://github.com/apache/storm/blob/master/storm-client/test/jvm/org/apache/storm/topology/PersistentWindowedBoltExecutorTest.java")</f>
        <v/>
      </c>
      <c r="D2060" t="inlineStr">
        <is>
          <t>This code appears to be part of a Java project that implements various algorithms related to data structures and operations. It includes classes such as `Topology`, `Spout`, `Bolt`, `Tuple`, and `Fields`.
The `Topology` class represents a directed acyclic graph (DAG) of spouts and bolts, which are the building blocks of Storm</t>
        </is>
      </c>
      <c r="E2060" t="n">
        <v>0.0047</v>
      </c>
      <c r="F2060" t="n">
        <v>0.1017</v>
      </c>
      <c r="G2060" t="n">
        <v>0.1626</v>
      </c>
      <c r="H2060" t="inlineStr">
        <is>
          <t>This code defines a Java package named `org.apache.storm.topology` that provides classes and interfaces related to building and executing Storm topologies. The package includes several files, including a README file that describes the purpose of the package and its contents, as well as a LICENSE file that specifies the terms under which the code can be used.</t>
        </is>
      </c>
      <c r="I2060" t="n">
        <v>0.0039</v>
      </c>
      <c r="J2060" t="n">
        <v>0.0597</v>
      </c>
      <c r="K2060" t="n">
        <v>0.0781</v>
      </c>
      <c r="L2060" t="inlineStr">
        <is>
          <t>The provided code defines a class named `TopologyBuilder` that represents a builder for Storm topologies. It provides methods for creating and configuring topology components such as spouts, bolts, and streams. The `TopologyBuilder` also includes a method for building the topology into a `StormTopology` object.
The code uses Java's generics to define collections</t>
        </is>
      </c>
      <c r="M2060" t="n">
        <v>0.0035</v>
      </c>
      <c r="N2060" t="n">
        <v>0.0328</v>
      </c>
      <c r="O2060" t="n">
        <v>0.0806</v>
      </c>
    </row>
    <row r="2061">
      <c r="A2061" t="inlineStr">
        <is>
          <t>storm</t>
        </is>
      </c>
      <c r="B2061" t="inlineStr">
        <is>
          <t>storm-client/test/jvm/org/apache/storm/topology/TopologyBuilderTest.java</t>
        </is>
      </c>
      <c r="C2061">
        <f>HYPERLINK("https://github.com/apache/storm/blob/master/storm-client/test/jvm/org/apache/storm/topology/TopologyBuilderTest.java")</f>
        <v/>
      </c>
      <c r="D2061" t="inlineStr">
        <is>
          <t>This code defines a Java class called `TopologyBuilder` that represents a builder for Storm topologies. It provides methods for defining the structure of a topology, including the streams and bolts that make up the topology, as well as any configuration parameters. The `build()` method returns a `StormTopology` object that can be used to submit the topology to a Storm cluster.</t>
        </is>
      </c>
      <c r="E2061" t="n">
        <v>0.0036</v>
      </c>
      <c r="F2061" t="n">
        <v>0.0588</v>
      </c>
      <c r="G2061" t="n">
        <v>0.1136</v>
      </c>
      <c r="H2061" t="inlineStr">
        <is>
          <t>This code defines a Java package called `org.apache.storm.topology` that provides classes and interfaces related to building Storm topologies. The package includes several classes such as `Spout`, `Bolt`, `Stream`, and `Grouping`. These classes are used to define spouts, bolts, streams, and grouping strategies for Storm topologies. Additionally, the</t>
        </is>
      </c>
      <c r="I2061" t="n">
        <v>0.0046</v>
      </c>
      <c r="J2061" t="n">
        <v>0.06900000000000001</v>
      </c>
      <c r="K2061" t="n">
        <v>0.1261</v>
      </c>
      <c r="L2061" t="inlineStr">
        <is>
          <t>This Java class represents a Storm topology that processes data streams using spouts and bolts. It provides methods for declaring input streams, output streams, and stream transformations. The class also includes comments describing the Apache License and copyright notice.</t>
        </is>
      </c>
      <c r="M2061" t="n">
        <v>0.0056</v>
      </c>
      <c r="N2061" t="n">
        <v>0.0851</v>
      </c>
      <c r="O2061" t="n">
        <v>0.1351</v>
      </c>
    </row>
    <row r="2062">
      <c r="A2062" t="inlineStr">
        <is>
          <t>storm</t>
        </is>
      </c>
      <c r="B2062" t="inlineStr">
        <is>
          <t>storm-client/test/jvm/org/apache/storm/topology/WindowedBoltExecutorTest.java</t>
        </is>
      </c>
      <c r="C2062">
        <f>HYPERLINK("https://github.com/apache/storm/blob/master/storm-client/test/jvm/org/apache/storm/topology/WindowedBoltExecutorTest.java")</f>
        <v/>
      </c>
      <c r="D2062" t="inlineStr">
        <is>
          <t>This Java code defines a class named `Topology` that represents a topology of Storm components. It has several methods for creating and manipulating topologies, including `createSpout`, `createBolt`, `addEdge`, and `setState`. Additionally, it includes a `main` method that runs the topology.
The code imports several packages, including `java.util.*</t>
        </is>
      </c>
      <c r="E2062" t="n">
        <v>0.0046</v>
      </c>
      <c r="F2062" t="n">
        <v>0.07140000000000001</v>
      </c>
      <c r="G2062" t="n">
        <v>0.1261</v>
      </c>
      <c r="H2062" t="inlineStr">
        <is>
          <t>This code implements various data structures and algorithms used in Apache Storm's topology system. It includes a `Topology` class that represents a Storm topology, which consists of spouts, bolts, and streams. The `TopologyBuilder` class provides methods for building topologies using Java annotations. The `ComponentConfigurationDeclarer` interface defines how components should be configured. The `Sp</t>
        </is>
      </c>
      <c r="I2062" t="n">
        <v>0.0045</v>
      </c>
      <c r="J2062" t="n">
        <v>0.0968</v>
      </c>
      <c r="K2062" t="n">
        <v>0.16</v>
      </c>
      <c r="L2062" t="inlineStr">
        <is>
          <t>This Java package `org.apache.storm.topology` defines classes related to Storm topologies, which are used to represent the structure and execution of data processing pipelines. It includes several classes that provide various functionalities such as spout, bolt, topology builder, etc.
The package also includes comments that explain the purpose of each class and how they fit into the</t>
        </is>
      </c>
      <c r="M2062" t="n">
        <v>0.0039</v>
      </c>
      <c r="N2062" t="n">
        <v>0.0896</v>
      </c>
      <c r="O2062" t="n">
        <v>0.1172</v>
      </c>
    </row>
    <row r="2063">
      <c r="A2063" t="inlineStr">
        <is>
          <t>storm</t>
        </is>
      </c>
      <c r="B2063" t="inlineStr">
        <is>
          <t>storm-client/test/jvm/org/apache/storm/topology/StatefulBoltExecutorTest.java</t>
        </is>
      </c>
      <c r="C2063">
        <f>HYPERLINK("https://github.com/apache/storm/blob/master/storm-client/test/jvm/org/apache/storm/topology/StatefulBoltExecutorTest.java")</f>
        <v/>
      </c>
      <c r="D2063" t="inlineStr">
        <is>
          <t>This Java code defines a class called `TopologyBuilder` that provides a simple way to build Storm topologies using a fluent API. It allows users to define spouts and bolts, set their parallelism, and specify how they should be connected through streams. Additionally, it includes methods for setting global configuration options and adding metrics tracking.
The `TopologyBuilder` class has</t>
        </is>
      </c>
      <c r="E2063" t="n">
        <v>0.0037</v>
      </c>
      <c r="F2063" t="n">
        <v>0.0606</v>
      </c>
      <c r="G2063" t="n">
        <v>0.1154</v>
      </c>
      <c r="H2063" t="inlineStr">
        <is>
          <t>This code defines a Java package named `org.apache.storm.topology` that provides classes and interfaces for building Storm topologies. It includes several files and directories, including the main class `TopologyBuilder`, which is used to construct and configure Storm topologies. The package also includes other classes such as `BoltDeclarer`, `SpoutDeclarer`, and</t>
        </is>
      </c>
      <c r="I2063" t="n">
        <v>0.0045</v>
      </c>
      <c r="J2063" t="n">
        <v>0.0678</v>
      </c>
      <c r="K2063" t="n">
        <v>0.125</v>
      </c>
      <c r="L2063" t="inlineStr">
        <is>
          <t>The provided code defines a Java class that represents a Storm topology. It has several methods for configuring the topology's structure, including `setSpout()` for setting spouts, `setBolt()` for setting bolts, and `addStream()` for adding streams between spouts and bolts. Additionally, there are methods for specifying grouping options for each stream, such as `sh</t>
        </is>
      </c>
      <c r="M2063" t="n">
        <v>0.0035</v>
      </c>
      <c r="N2063" t="n">
        <v>0.0323</v>
      </c>
      <c r="O2063" t="n">
        <v>0.04</v>
      </c>
    </row>
    <row r="2064">
      <c r="A2064" t="inlineStr">
        <is>
          <t>storm</t>
        </is>
      </c>
      <c r="B2064" t="inlineStr">
        <is>
          <t>storm-client/test/jvm/org/apache/storm/cluster/StormClusterStateImplTest.java</t>
        </is>
      </c>
      <c r="C2064">
        <f>HYPERLINK("https://github.com/apache/storm/blob/master/storm-client/test/jvm/org/apache/storm/cluster/StormClusterStateImplTest.java")</f>
        <v/>
      </c>
      <c r="D2064" t="inlineStr">
        <is>
          <t>This code appears to be part of an Apache Storm project, specifically the `org.apache.storm.cluster` package. It defines several classes related to cluster management, including `LocalAssignmentsBackendFactory`, which creates instances of a class that implements the `IAssignmentBackend` interface, and `ZKStateChangedCallback`, which listens for changes to the state</t>
        </is>
      </c>
      <c r="E2064" t="n">
        <v>0.0054</v>
      </c>
      <c r="F2064" t="n">
        <v>0.1071</v>
      </c>
      <c r="G2064" t="n">
        <v>0.1709</v>
      </c>
      <c r="H2064" t="inlineStr">
        <is>
          <t>This code implements a LocalAssignmentsBackendFactory class that is used to create instances of the LocalAssignmentsBackend interface. It also includes JUnit test cases for testing the implementation.
The code imports packages from the Apache Storm project's assignments module and the Zookeeper library.
In the before each method, it sets up a mocked instance of</t>
        </is>
      </c>
      <c r="I2064" t="n">
        <v>0.0049</v>
      </c>
      <c r="J2064" t="n">
        <v>0.0968</v>
      </c>
      <c r="K2064" t="n">
        <v>0.2</v>
      </c>
      <c r="L2064" t="inlineStr">
        <is>
          <t>This code defines a class named `StormCluster` that implements the `ZKStateChangedCallback` interface from the `org.apache.storm.callback` package. It also uses classes from the `org.apache.storm.assignments` and `org.apache.storm.cluster` packages. The class has a single method named `onStateChanged`,</t>
        </is>
      </c>
      <c r="M2064" t="n">
        <v>0.0072</v>
      </c>
      <c r="N2064" t="n">
        <v>0.1176</v>
      </c>
      <c r="O2064" t="n">
        <v>0.1887</v>
      </c>
    </row>
    <row r="2065">
      <c r="A2065" t="inlineStr">
        <is>
          <t>storm</t>
        </is>
      </c>
      <c r="B2065" t="inlineStr">
        <is>
          <t>storm-client/test/jvm/org/apache/storm/cluster/DaemonTypeTest.java</t>
        </is>
      </c>
      <c r="C2065">
        <f>HYPERLINK("https://github.com/apache/storm/blob/master/storm-client/test/jvm/org/apache/storm/cluster/DaemonTypeTest.java")</f>
        <v/>
      </c>
      <c r="D2065" t="inlineStr">
        <is>
          <t>This code appears to be part of an Apache Storm project, specifically related to cluster management. It defines several classes and interfaces that are used to manage the topology of a Storm cluster, including configuring and managing the location of nodes within the cluster.
The `Cluster` class is responsible for maintaining the state of the cluster, including tracking the status of each node and the top</t>
        </is>
      </c>
      <c r="E2065" t="n">
        <v>0.0033</v>
      </c>
      <c r="F2065" t="n">
        <v>0.0541</v>
      </c>
      <c r="G2065" t="n">
        <v>0.1087</v>
      </c>
      <c r="H2065" t="inlineStr">
        <is>
          <t>This code implements the Storm cluster manager, which manages the execution of tasks on a distributed computing system. It includes several key functionalities such as task scheduling, resource management, and fault tolerance. The code also includes security features using the DefaultPrincipalToLocal class from the storm security package.</t>
        </is>
      </c>
      <c r="I2065" t="n">
        <v>0.0051</v>
      </c>
      <c r="J2065" t="n">
        <v>0.1455</v>
      </c>
      <c r="K2065" t="n">
        <v>0.1681</v>
      </c>
      <c r="L2065" t="inlineStr">
        <is>
          <t>The code defines a class named `StormClusterState` that provides methods for managing Storm cluster state. It uses the Java `Map` interface to store data and implements various methods for retrieving and modifying this data. The class also includes a constructor that takes a `Config` object as input and initializes some internal variables based on configuration settings. Additionally, the class imports several other</t>
        </is>
      </c>
      <c r="M2065" t="n">
        <v>0.0035</v>
      </c>
      <c r="N2065" t="n">
        <v>0.0571</v>
      </c>
      <c r="O2065" t="n">
        <v>0.1493</v>
      </c>
    </row>
    <row r="2066">
      <c r="A2066" t="inlineStr">
        <is>
          <t>storm</t>
        </is>
      </c>
      <c r="B2066" t="inlineStr">
        <is>
          <t>storm-client/test/jvm/org/apache/storm/grouping/ShuffleGroupingTest.java</t>
        </is>
      </c>
      <c r="C2066">
        <f>HYPERLINK("https://github.com/apache/storm/blob/master/storm-client/test/jvm/org/apache/storm/grouping/ShuffleGroupingTest.java")</f>
        <v/>
      </c>
      <c r="D2066" t="inlineStr">
        <is>
          <t>This Java code defines a class called `CustomGrouping` that implements the `IGrouping` interface from the Storm project's API. It provides a custom grouping algorithm that can be used to distribute tuples across tasks in a Storm topology.
The `customGrouping()` method takes two parameters: a list of available task IDs (`availableTaskIds`) and a tuple (`</t>
        </is>
      </c>
      <c r="E2066" t="n">
        <v>0.0045</v>
      </c>
      <c r="F2066" t="n">
        <v>0.0968</v>
      </c>
      <c r="G2066" t="n">
        <v>0.1587</v>
      </c>
      <c r="H2066" t="inlineStr">
        <is>
          <t>This code appears to be part of an open source project called Storm, which is a distributed real-time computation system. It is written in Java and defines a class called `Shuffling` that implements the `Grouping` interface. The purpose of this class is to provide a way to shuffle data across multiple nodes in a distributed system.
The class has several methods, including</t>
        </is>
      </c>
      <c r="I2066" t="n">
        <v>0.0039</v>
      </c>
      <c r="J2066" t="n">
        <v>0.0563</v>
      </c>
      <c r="K2066" t="n">
        <v>0.1493</v>
      </c>
      <c r="L2066" t="inlineStr">
        <is>
          <t>The provided code defines a custom implementation of the `Grouping` interface from Storm's API. It provides a way to group tuples based on their values, using a configurable strategy. The grouping function takes two parameters: a list of tuples and a partition index. It returns a list of lists, where each inner list represents a subset of the input tuples that should be assigned</t>
        </is>
      </c>
      <c r="M2066" t="n">
        <v>0.0028</v>
      </c>
      <c r="N2066" t="n">
        <v>0.0822</v>
      </c>
      <c r="O2066" t="n">
        <v>0.1103</v>
      </c>
    </row>
    <row r="2067">
      <c r="A2067" t="inlineStr">
        <is>
          <t>storm</t>
        </is>
      </c>
      <c r="B2067" t="inlineStr">
        <is>
          <t>storm-client/test/jvm/org/apache/storm/grouping/LoadAwareShuffleGroupingTest.java</t>
        </is>
      </c>
      <c r="C2067">
        <f>HYPERLINK("https://github.com/apache/storm/blob/master/storm-client/test/jvm/org/apache/storm/grouping/LoadAwareShuffleGroupingTest.java")</f>
        <v/>
      </c>
      <c r="D2067" t="inlineStr">
        <is>
          <t>This code defines a class called `CustomGrouping` that implements the `IGrouping` interface from Storm's API. It provides a custom way of grouping tuples based on their field values.
The `CustomGrouping` class has two main methods: `getGrouping()` and `prepare()`. The `getGrouping()` method takes a tuple as input and returns a</t>
        </is>
      </c>
      <c r="E2067" t="n">
        <v>0.0049</v>
      </c>
      <c r="F2067" t="n">
        <v>0.1034</v>
      </c>
      <c r="G2067" t="n">
        <v>0.124</v>
      </c>
      <c r="H2067" t="inlineStr">
        <is>
          <t>This code defines a package named `org.apache.storm.grouping` that provides various grouping algorithms used in Apache Storm, a real-time computation system. The package includes several classes that implement different grouping strategies, such as `AllGrouping`, `ShuffleGrouping`, and `FieldGrouping`. These classes define methods for partitioning tuples based on their values,</t>
        </is>
      </c>
      <c r="I2067" t="n">
        <v>0.0046</v>
      </c>
      <c r="J2067" t="n">
        <v>0.1017</v>
      </c>
      <c r="K2067" t="n">
        <v>0.1681</v>
      </c>
      <c r="L2067" t="inlineStr">
        <is>
          <t>This Java package named `org.apache.storm.grouping` implements various grouping strategies used in Storm, which is a real-time computation system. It provides several classes that define different grouping behaviors, such as `AllGrouping`, `ShuffleGrouping`, and `FieldGrouping`. These classes implement the `IGrouping` interface and provide methods for computing group</t>
        </is>
      </c>
      <c r="M2067" t="n">
        <v>0.0054</v>
      </c>
      <c r="N2067" t="n">
        <v>0.1053</v>
      </c>
      <c r="O2067" t="n">
        <v>0.1709</v>
      </c>
    </row>
    <row r="2068">
      <c r="A2068" t="inlineStr">
        <is>
          <t>storm</t>
        </is>
      </c>
      <c r="B2068" t="inlineStr">
        <is>
          <t>storm-client/test/jvm/org/apache/storm/grouping/partialKeyGrouping/PartialKeyGroupingTest.java</t>
        </is>
      </c>
      <c r="C2068">
        <f>HYPERLINK("https://github.com/apache/storm/blob/master/storm-client/test/jvm/org/apache/storm/grouping/partialKeyGrouping/PartialKeyGroupingTest.java")</f>
        <v/>
      </c>
      <c r="D2068" t="inlineStr">
        <is>
          <t>This code appears to be part of a Java project that implements a partial key grouping algorithm for Storm. It defines a class called `PartialKeyGrouping` that extends the `AbstractPartitionedDeclarer` class from the Storm library. The `PartialKeyGrouping` class overrides several methods related to partitioning and grouping data streams in Storm, such as `chooseTasks</t>
        </is>
      </c>
      <c r="E2068" t="n">
        <v>0.0046</v>
      </c>
      <c r="F2068" t="n">
        <v>0.1</v>
      </c>
      <c r="G2068" t="n">
        <v>0.1613</v>
      </c>
      <c r="H2068" t="inlineStr">
        <is>
          <t>This code defines a Java class that implements the `PartialKeyGrouping` interface from the Storm project's `org.apache.storm.grouping` package. It provides a partial key grouping implementation that allows for efficient processing of data streams based on a subset of their keys.
The class takes a list of global stream IDs as input and returns a new instance of itself</t>
        </is>
      </c>
      <c r="I2068" t="n">
        <v>0.0042</v>
      </c>
      <c r="J2068" t="n">
        <v>0.08699999999999999</v>
      </c>
      <c r="K2068" t="n">
        <v>0.1163</v>
      </c>
      <c r="L2068" t="inlineStr">
        <is>
          <t>The provided code defines a custom implementation of the `PartialKeyGrouping` class from Apache Storm. It groups tuples based on a partial key, which is a subset of the tuple's fields that uniquely identify the tuple within a stream. The grouping is performed using a hash function that takes into account the specified fields and their values. The resulting groupings are then used to dist</t>
        </is>
      </c>
      <c r="M2068" t="n">
        <v>0.0028</v>
      </c>
      <c r="N2068" t="n">
        <v>0.0822</v>
      </c>
      <c r="O2068" t="n">
        <v>0.1103</v>
      </c>
    </row>
    <row r="2069">
      <c r="A2069" t="inlineStr">
        <is>
          <t>storm</t>
        </is>
      </c>
      <c r="B2069" t="inlineStr">
        <is>
          <t>storm-client/test/jvm/org/apache/storm/grouping/partialKeyGrouping/RandomTwoTaskAssignmentCreatorTest.java</t>
        </is>
      </c>
      <c r="C2069">
        <f>HYPERLINK("https://github.com/apache/storm/blob/master/storm-client/test/jvm/org/apache/storm/grouping/partialKeyGrouping/RandomTwoTaskAssignmentCreatorTest.java")</f>
        <v/>
      </c>
      <c r="D2069" t="inlineStr">
        <is>
          <t>This Java code defines a class called `PartialKeyGrouping` that implements the `IGrouping` interface from the Apache Storm library. It provides a way to group tuples based on their partial keys, which means that only some fields of the tuple's key are used for grouping.
The class has several methods, including `getGrouping`, which returns a list of</t>
        </is>
      </c>
      <c r="E2069" t="n">
        <v>0.0039</v>
      </c>
      <c r="F2069" t="n">
        <v>0.0615</v>
      </c>
      <c r="G2069" t="n">
        <v>0.1172</v>
      </c>
      <c r="H2069" t="inlineStr">
        <is>
          <t>This code appears to be part of a Java project that implements a partial key grouping algorithm for Storm, a real-time processing system. The code defines a `PartialKeyGrouping` class that extends the `Partitioner` interface from Storm's API. It also imports several other classes from Storm's API, including `Lists`, `Utils`, and `com.google</t>
        </is>
      </c>
      <c r="I2069" t="n">
        <v>0.0047</v>
      </c>
      <c r="J2069" t="n">
        <v>0.09520000000000001</v>
      </c>
      <c r="K2069" t="n">
        <v>0.1626</v>
      </c>
      <c r="L2069" t="inlineStr">
        <is>
          <t>This code implements the PartialKeyGrouping class from the Storm project's grouping module. It provides a way to group tuples based on a partial key, which can be useful when dealing with large amounts of data. The class takes two arguments during initialization: a list of fields that make up the partial key, and a list of fields that should be used as the grouping field. It</t>
        </is>
      </c>
      <c r="M2069" t="n">
        <v>0.0036</v>
      </c>
      <c r="N2069" t="n">
        <v>0.08</v>
      </c>
      <c r="O2069" t="n">
        <v>0.1449</v>
      </c>
    </row>
    <row r="2070">
      <c r="A2070" t="inlineStr">
        <is>
          <t>storm</t>
        </is>
      </c>
      <c r="B2070" t="inlineStr">
        <is>
          <t>storm-client/test/jvm/org/apache/storm/grouping/partialKeyGrouping/BalancedTargetSelectorTest.java</t>
        </is>
      </c>
      <c r="C2070">
        <f>HYPERLINK("https://github.com/apache/storm/blob/master/storm-client/test/jvm/org/apache/storm/grouping/partialKeyGrouping/BalancedTargetSelectorTest.java")</f>
        <v/>
      </c>
      <c r="D2070" t="inlineStr">
        <is>
          <t>This code implements a custom grouping function called `PartialKeyGrouping` that groups tuples based on their partial key values. It uses Java's Stream API to perform the grouping operation. The method takes two parameters - an array of tuple fields and a list of partial keys. It returns a map where each key in the map represents a partial key value and its corresponding value is a set</t>
        </is>
      </c>
      <c r="E2070" t="n">
        <v>0.0036</v>
      </c>
      <c r="F2070" t="n">
        <v>0.1067</v>
      </c>
      <c r="G2070" t="n">
        <v>0.1439</v>
      </c>
      <c r="H2070" t="inlineStr">
        <is>
          <t>This code appears to be part of a Java project that implements a partial key grouping algorithm for Storm, which is a real-time computation system. The code defines a class called `PartialKeyGrouping` that extends the abstract `BaseGrouping` class from the Storm library. It also imports several other classes from the same package as well as some external libraries like `java.util.</t>
        </is>
      </c>
      <c r="I2070" t="n">
        <v>0.0036</v>
      </c>
      <c r="J2070" t="n">
        <v>0.0571</v>
      </c>
      <c r="K2070" t="n">
        <v>0.1136</v>
      </c>
      <c r="L2070" t="inlineStr">
        <is>
          <t>The provided code defines a custom grouping implementation that partitions tuples based on a partial key. It uses the `PartialKeyGrouping` class from Storm's API and extends it to support partial keys. The class takes two parameters during initialization: the first parameter is the name of the field that will be used as the key, and the second parameter is the number of buckets to group</t>
        </is>
      </c>
      <c r="M2070" t="n">
        <v>0.0028</v>
      </c>
      <c r="N2070" t="n">
        <v>0.0541</v>
      </c>
      <c r="O2070" t="n">
        <v>0.1095</v>
      </c>
    </row>
    <row r="2071">
      <c r="A2071" t="inlineStr">
        <is>
          <t>storm</t>
        </is>
      </c>
      <c r="B2071" t="inlineStr">
        <is>
          <t>storm-client/test/jvm/org/apache/storm/executor/ExecutorTransferMultiThreadingTest.java</t>
        </is>
      </c>
      <c r="C2071">
        <f>HYPERLINK("https://github.com/apache/storm/blob/master/storm-client/test/jvm/org/apache/storm/executor/ExecutorTransferMultiThreadingTest.java")</f>
        <v/>
      </c>
      <c r="D2071" t="inlineStr">
        <is>
          <t>This Java code defines a class named `Executor` that implements the `ExecutorService` interface from the Java Concurrency Utilities library. It provides methods for executing tasks asynchronously using multiple threads.
The constructor initializes several fields, including a `ThreadFactory`, which creates new threads when needed, and a `Map` of task executors, where each key represents a thread ID</t>
        </is>
      </c>
      <c r="E2071" t="n">
        <v>0.0043</v>
      </c>
      <c r="F2071" t="n">
        <v>0.09379999999999999</v>
      </c>
      <c r="G2071" t="n">
        <v>0.1563</v>
      </c>
      <c r="H2071" t="inlineStr">
        <is>
          <t>This code defines a Java class named `Executor` that implements the `java.util.concurrent.ExecutorService` interface. It provides methods for executing tasks asynchronously using multiple threads. The class has several fields and methods, including:
* A constructor that takes a map of configuration parameters and sets up the executor's internal state.
* A method called `execute()`</t>
        </is>
      </c>
      <c r="I2071" t="n">
        <v>0.0045</v>
      </c>
      <c r="J2071" t="n">
        <v>0.09520000000000001</v>
      </c>
      <c r="K2071" t="n">
        <v>0.16</v>
      </c>
      <c r="L2071" t="inlineStr">
        <is>
          <t>The provided code appears to be part of the Apache Storm project's executor package, specifically the Executor class. It defines a Java object that represents a single task instance within a Storm topology. The class has several methods for interacting with the underlying JVM and managing the execution of tasks.
The main functionalities of the code seem to be related to the following:</t>
        </is>
      </c>
      <c r="M2071" t="n">
        <v>0.0029</v>
      </c>
      <c r="N2071" t="n">
        <v>0.0278</v>
      </c>
      <c r="O2071" t="n">
        <v>0.0741</v>
      </c>
    </row>
    <row r="2072">
      <c r="A2072" t="inlineStr">
        <is>
          <t>storm</t>
        </is>
      </c>
      <c r="B2072" t="inlineStr">
        <is>
          <t>storm-client/test/jvm/org/apache/storm/executor/SpoutExecutorTest.java</t>
        </is>
      </c>
      <c r="C2072">
        <f>HYPERLINK("https://github.com/apache/storm/blob/master/storm-client/test/jvm/org/apache/storm/executor/SpoutExecutorTest.java")</f>
        <v/>
      </c>
      <c r="D2072" t="inlineStr">
        <is>
          <t>This code appears to be part of a Storm project, which is an open-source, distributed real-time computation system. It defines a class called `Executor`, which is responsible for executing tasks assigned to it by a worker process. The class has several methods that perform various operations related to task execution, such as initializing and shutting down tasks, handling tuples emitted by spouts</t>
        </is>
      </c>
      <c r="E2072" t="n">
        <v>0.0035</v>
      </c>
      <c r="F2072" t="n">
        <v>0.0556</v>
      </c>
      <c r="G2072" t="n">
        <v>0.1119</v>
      </c>
      <c r="H2072" t="inlineStr">
        <is>
          <t>This code appears to be part of an Apache Storm project, specifically the executor package. It defines several classes related to executing tasks in a Storm topology. The main class, `Executor`, implements the logic for running spouts and bolts. Other classes in the package include `SpoutExecutors` and `BoltExecutors`, which provide implementations for running spout and bolt tasks</t>
        </is>
      </c>
      <c r="I2072" t="n">
        <v>0.0042</v>
      </c>
      <c r="J2072" t="n">
        <v>0.09229999999999999</v>
      </c>
      <c r="K2072" t="n">
        <v>0.155</v>
      </c>
      <c r="L2072" t="inlineStr">
        <is>
          <t>This code implements the SpoutExecutor class, which executes spouts in Storm. It takes two arguments: a WorkerState object and a IStateStorage object. The constructor initializes the executor's state based on the given worker state and state storage objects. The execute method is where the actual execution happens. It first checks if the current task id is less than the number of tasks</t>
        </is>
      </c>
      <c r="M2072" t="n">
        <v>0.0039</v>
      </c>
      <c r="N2072" t="n">
        <v>0.08450000000000001</v>
      </c>
      <c r="O2072" t="n">
        <v>0.1119</v>
      </c>
    </row>
    <row r="2073">
      <c r="A2073" t="inlineStr">
        <is>
          <t>storm</t>
        </is>
      </c>
      <c r="B2073" t="inlineStr">
        <is>
          <t>storm-client/test/jvm/org/apache/storm/executor/error/ReportErrorTest.java</t>
        </is>
      </c>
      <c r="C2073">
        <f>HYPERLINK("https://github.com/apache/storm/blob/master/storm-client/test/jvm/org/apache/storm/executor/error/ReportErrorTest.java")</f>
        <v/>
      </c>
      <c r="D2073" t="inlineStr">
        <is>
          <t>This code implements a system for tracking errors in a Storm cluster. It defines several classes and interfaces related to error handling, including `ErrorManager`, `ErrorReport`, and `ErrorInfo`. The main class, `ErrorManager`, is responsible for managing errors in the cluster and providing information about them. It uses a map of `ErrorReport` objects to track errors, where each report represents</t>
        </is>
      </c>
      <c r="E2073" t="n">
        <v>0.0041</v>
      </c>
      <c r="F2073" t="n">
        <v>0.09089999999999999</v>
      </c>
      <c r="G2073" t="n">
        <v>0.1538</v>
      </c>
      <c r="H2073" t="inlineStr">
        <is>
          <t>This code defines a Java package named `org.apache.storm.executor.error` that implements various error handling functionalities for Storm executors. It imports several packages, including `java.util`, `java.util.concurrent`, and `org.apache.storm`. The package also defines a class called `ErrorUtils` that provides utility methods for working with errors.</t>
        </is>
      </c>
      <c r="I2073" t="n">
        <v>0.0058</v>
      </c>
      <c r="J2073" t="n">
        <v>0.1356</v>
      </c>
      <c r="K2073" t="n">
        <v>0.1754</v>
      </c>
      <c r="L2073" t="inlineStr">
        <is>
          <t>The provided code defines a class named `ExecutorErrorMetrics` that provides metrics related to errors encountered during task execution in Apache Storm. It includes methods for tracking error counts, latency, and other relevant data. The class also implements the `IStormClusterState` interface from the Storm API, which allows it to interact with the Storm cluster state.</t>
        </is>
      </c>
      <c r="M2073" t="n">
        <v>0.004</v>
      </c>
      <c r="N2073" t="n">
        <v>0.0323</v>
      </c>
      <c r="O2073" t="n">
        <v>0.0794</v>
      </c>
    </row>
    <row r="2074">
      <c r="A2074" t="inlineStr">
        <is>
          <t>storm</t>
        </is>
      </c>
      <c r="B2074" t="inlineStr">
        <is>
          <t>storm-client/test/jvm/org/apache/storm/blobstore/ClientBlobStoreTest.java</t>
        </is>
      </c>
      <c r="C2074">
        <f>HYPERLINK("https://github.com/apache/storm/blob/master/storm-client/test/jvm/org/apache/storm/blobstore/ClientBlobStoreTest.java")</f>
        <v/>
      </c>
      <c r="D2074" t="inlineStr">
        <is>
          <t>This code defines a class called `BlobStore` that implements the interface `IBlobStore`. It has several methods for interacting with blobs, including `listKeys`, `getKey`, and `deleteKey`. These methods are used to store and retrieve data from a blob storage system. The class also includes a method for setting access controls (`setACL`) and another for retr</t>
        </is>
      </c>
      <c r="E2074" t="n">
        <v>0.0045</v>
      </c>
      <c r="F2074" t="n">
        <v>0.0968</v>
      </c>
      <c r="G2074" t="n">
        <v>0.1587</v>
      </c>
      <c r="H2074" t="inlineStr">
        <is>
          <t>This code implements a backend system that provides access control for data stored in a blob store. It uses Java's Map interface to store user permissions, where each key represents a user ID and each value is a map containing the permissions granted to that user. The `add` method adds a new entry to the map if it does not already exist, and updates the existing entry if it does.</t>
        </is>
      </c>
      <c r="I2074" t="n">
        <v>0.0034</v>
      </c>
      <c r="J2074" t="n">
        <v>0.0759</v>
      </c>
      <c r="K2074" t="n">
        <v>0.1408</v>
      </c>
      <c r="L2074" t="inlineStr">
        <is>
          <t>The provided code defines a class named `BlobStore` that implements the `IAuthorizer` interface from the Storm project. It provides methods for managing access controls for blobs stored in a distributed storage system.
The class has a constructor that takes a map of configuration parameters as input. It also defines several instance variables, including a `Map` object to store the access controls</t>
        </is>
      </c>
      <c r="M2074" t="n">
        <v>0.003</v>
      </c>
      <c r="N2074" t="n">
        <v>0.029</v>
      </c>
      <c r="O2074" t="n">
        <v>0.0752</v>
      </c>
    </row>
    <row r="2075">
      <c r="A2075" t="inlineStr">
        <is>
          <t>storm</t>
        </is>
      </c>
      <c r="B2075" t="inlineStr">
        <is>
          <t>storm-client/src/py/__init__.py</t>
        </is>
      </c>
      <c r="C2075">
        <f>HYPERLINK("https://github.com/apache/storm/blob/master/storm-client/src/py/__init__.py")</f>
        <v/>
      </c>
      <c r="D2075" t="inlineStr">
        <is>
          <t>This code appears to be a Python script that implements various backend software components. It includes comments describing the complexity of the implementation, the licensing terms, and the initial commit of the codebase. The code size is approximately 805 lines long.</t>
        </is>
      </c>
      <c r="E2075" t="n">
        <v>0.0064</v>
      </c>
      <c r="F2075" t="n">
        <v>0.1633</v>
      </c>
      <c r="G2075" t="n">
        <v>0.177</v>
      </c>
      <c r="H2075" t="inlineStr">
        <is>
          <t>This Python script defines a function called `add` that takes two arguments `a` and `b`, adds them together, and returns their sum as the result. The script also includes a header comment block that specifies the Apache License version 2.0 and provides information about the project's dependencies and authors. The complexity of the script is O(N), where N is the number</t>
        </is>
      </c>
      <c r="I2075" t="n">
        <v>0.0036</v>
      </c>
      <c r="J2075" t="n">
        <v>0.0833</v>
      </c>
      <c r="K2075" t="n">
        <v>0.1504</v>
      </c>
      <c r="L2075" t="inlineStr">
        <is>
          <t>This Python script is part of a larger system that processes data from various sources and performs calculations based on those inputs. It appears to be implementing some kind of algorithm or set of rules to transform the input data into output data. The script uses a variety of libraries and modules, including NumPy and Pandas, which suggest that it is likely performing statistical analysis or machine learning tasks. Overall,</t>
        </is>
      </c>
      <c r="M2075" t="n">
        <v>0.0031</v>
      </c>
      <c r="N2075" t="n">
        <v>0.0769</v>
      </c>
      <c r="O2075" t="n">
        <v>0.1408</v>
      </c>
    </row>
    <row r="2076">
      <c r="A2076" t="inlineStr">
        <is>
          <t>storm</t>
        </is>
      </c>
      <c r="B2076" t="inlineStr">
        <is>
          <t>storm-client/src/py/storm/constants.py</t>
        </is>
      </c>
      <c r="C2076">
        <f>HYPERLINK("https://github.com/apache/storm/blob/master/storm-client/src/py/storm/constants.py")</f>
        <v/>
      </c>
      <c r="D2076" t="inlineStr">
        <is>
          <t>This is a Python script that uses Thrift libraries to generate code for various data structures such as lists, sets, maps, etc. It also includes some basic functions like `len()`, `append()`, `remove()` and `pop()`. The code is well-documented and has comments explaining what each function does and how it works. Additionally, there are tests included to ensure the correctness of</t>
        </is>
      </c>
      <c r="E2076" t="n">
        <v>0.0036</v>
      </c>
      <c r="F2076" t="n">
        <v>0.08699999999999999</v>
      </c>
      <c r="G2076" t="n">
        <v>0.1136</v>
      </c>
      <c r="H2076" t="inlineStr">
        <is>
          <t>This Python script appears to be a part of a larger project that involves implementing a set of backend software components using the Thrift programming language. The script defines a number of functions and classes related to data processing and communication, including some basic mathematical operations such as addition and multiplication. It also includes comments describing the purpose of each function and class, as well as a few other details about the code.</t>
        </is>
      </c>
      <c r="I2076" t="n">
        <v>0.0033</v>
      </c>
      <c r="J2076" t="n">
        <v>0.0988</v>
      </c>
      <c r="K2076" t="n">
        <v>0.2566</v>
      </c>
      <c r="L2076" t="inlineStr">
        <is>
          <t>This Python script appears to be a generated Thrift client stub for a remote service. It defines several constants and functions that can be used to interact with the remote service.
The `Thrift` module is imported, which provides classes and functions for working with Thrift data types and protocols. The `py:utf8strings` option is set, indicating that strings should be</t>
        </is>
      </c>
      <c r="M2076" t="n">
        <v>0.0041</v>
      </c>
      <c r="N2076" t="n">
        <v>0.1176</v>
      </c>
      <c r="O2076" t="n">
        <v>0.1527</v>
      </c>
    </row>
    <row r="2077">
      <c r="A2077" t="inlineStr">
        <is>
          <t>storm</t>
        </is>
      </c>
      <c r="B2077" t="inlineStr">
        <is>
          <t>storm-client/src/py/storm/DistributedRPC.py</t>
        </is>
      </c>
      <c r="C2077">
        <f>HYPERLINK("https://github.com/apache/storm/blob/master/storm-client/src/py/storm/DistributedRPC.py")</f>
        <v/>
      </c>
      <c r="D2077" t="inlineStr">
        <is>
          <t>This code appears to be part of a Python project that uses the Thrift library to generate client and server code for a service. The code defines several data structures and functions related to the service's protocol, including a `README` file that describes the project, its complexity, comments, commits, code size, and a summary.</t>
        </is>
      </c>
      <c r="E2077" t="n">
        <v>0.004</v>
      </c>
      <c r="F2077" t="n">
        <v>0.09520000000000001</v>
      </c>
      <c r="G2077" t="n">
        <v>0.119</v>
      </c>
      <c r="H2077" t="inlineStr">
        <is>
          <t>This Python script defines a module that provides functionality for generating a README file based on input data. It uses the `thrift` library to generate the README file from a template, which is defined as a set of strings. The generated README file will include information about the complexity of the code, any comments related to the implementation, commits made to the codebase,</t>
        </is>
      </c>
      <c r="I2077" t="n">
        <v>0.0038</v>
      </c>
      <c r="J2077" t="n">
        <v>0.08450000000000001</v>
      </c>
      <c r="K2077" t="n">
        <v>0.1111</v>
      </c>
      <c r="L2077" t="inlineStr">
        <is>
          <t>This Python script defines a set of functions that can be used to interact with the Apache Thrift library. It includes definitions for several types, such as `TType` and `TMessage`, which are used to represent data structures and messages in Thrift. Additionally, there are functions defined for generating documentation and other metadata related to Thrift files. Overall, this script appears to provide a</t>
        </is>
      </c>
      <c r="M2077" t="n">
        <v>0.0034</v>
      </c>
      <c r="N2077" t="n">
        <v>0.08450000000000001</v>
      </c>
      <c r="O2077" t="n">
        <v>0.1111</v>
      </c>
    </row>
    <row r="2078">
      <c r="A2078" t="inlineStr">
        <is>
          <t>storm</t>
        </is>
      </c>
      <c r="B2078" t="inlineStr">
        <is>
          <t>storm-client/src/py/storm/Nimbus.py</t>
        </is>
      </c>
      <c r="C2078">
        <f>HYPERLINK("https://github.com/apache/storm/blob/master/storm-client/src/py/storm/Nimbus.py")</f>
        <v/>
      </c>
      <c r="D2078" t="inlineStr">
        <is>
          <t>This is a Python script that defines a class named `Thrift` which inherits from the `object` class. It also imports a module called `thrift.Thrift`. The script has several functions defined within it, including `__init__`, `read`, `write`, and `process`. These functions appear to be related to reading and processing data in some way. Additionally</t>
        </is>
      </c>
      <c r="E2078" t="n">
        <v>0.0045</v>
      </c>
      <c r="F2078" t="n">
        <v>0.129</v>
      </c>
      <c r="G2078" t="n">
        <v>0.16</v>
      </c>
      <c r="H2078" t="inlineStr">
        <is>
          <t>This code appears to be a Python implementation of a Thrift service. It defines a set of functions that can be used to generate messages using the Thrift protocol. The code includes comments explaining what each function does and how it works. The complexity of the code is described as O(N), where N is the number of messages generated. The code size is also mentioned as 100</t>
        </is>
      </c>
      <c r="I2078" t="n">
        <v>0.0032</v>
      </c>
      <c r="J2078" t="n">
        <v>0.1053</v>
      </c>
      <c r="K2078" t="n">
        <v>0.1439</v>
      </c>
      <c r="L2078" t="inlineStr">
        <is>
          <t>This Python script defines a class called `Thrift` that inherits from the `TType` class. It also includes a number of other classes and functions related to Thrift, including `TMessage`. The script appears to be part of a larger project, as there are references to Apache Software Foundation (ASF), Thrift compiler version 0.22.0, and</t>
        </is>
      </c>
      <c r="M2078" t="n">
        <v>0.0041</v>
      </c>
      <c r="N2078" t="n">
        <v>0.09520000000000001</v>
      </c>
      <c r="O2078" t="n">
        <v>0.16</v>
      </c>
    </row>
    <row r="2079">
      <c r="A2079" t="inlineStr">
        <is>
          <t>storm</t>
        </is>
      </c>
      <c r="B2079" t="inlineStr">
        <is>
          <t>storm-client/src/py/storm/Supervisor.py</t>
        </is>
      </c>
      <c r="C2079">
        <f>HYPERLINK("https://github.com/apache/storm/blob/master/storm-client/src/py/storm/Supervisor.py")</f>
        <v/>
      </c>
      <c r="D2079" t="inlineStr">
        <is>
          <t>This code appears to be part of a Python project that uses the Thrift library to generate client and server stubs for RPC communication. It defines several data types and messages used in the protocol, as well as some helper functions for working with these data types. The code also includes comments explaining what each function does and how it fits into the overall system architecture. Overall, it seems like</t>
        </is>
      </c>
      <c r="E2079" t="n">
        <v>0.0031</v>
      </c>
      <c r="F2079" t="n">
        <v>0.0769</v>
      </c>
      <c r="G2079" t="n">
        <v>0.1056</v>
      </c>
      <c r="H2079" t="inlineStr">
        <is>
          <t>This Python script defines a set of functions that implement various algorithms used in the development of a web application's backend. The script includes documentation comments that provide information about the purpose of each function, its complexity, any relevant dependencies, and the license under which it was released. Additionally, the script includes automated generation instructions using the Thrift compiler, indicating that the code was generated automatically from a</t>
        </is>
      </c>
      <c r="I2079" t="n">
        <v>0.0032</v>
      </c>
      <c r="J2079" t="n">
        <v>0.1039</v>
      </c>
      <c r="K2079" t="n">
        <v>0.1429</v>
      </c>
      <c r="L2079" t="inlineStr">
        <is>
          <t>This Python script appears to be a generated Thrift client stub that provides a convenient interface for interacting with a remote service. It includes several functions for sending requests and receiving responses, as well as some basic error handling and logging mechanisms.
The script defines a class called `Client` which inherits from the `Thrift` module's `TService` class. This</t>
        </is>
      </c>
      <c r="M2079" t="n">
        <v>0.0037</v>
      </c>
      <c r="N2079" t="n">
        <v>0.0896</v>
      </c>
      <c r="O2079" t="n">
        <v>0.1154</v>
      </c>
    </row>
    <row r="2080">
      <c r="A2080" t="inlineStr">
        <is>
          <t>storm</t>
        </is>
      </c>
      <c r="B2080" t="inlineStr">
        <is>
          <t>storm-client/src/py/storm/ttypes.py</t>
        </is>
      </c>
      <c r="C2080">
        <f>HYPERLINK("https://github.com/apache/storm/blob/master/storm-client/src/py/storm/ttypes.py")</f>
        <v/>
      </c>
      <c r="D2080" t="inlineStr">
        <is>
          <t>This code appears to be a Python implementation of a Thrift service that provides a set of APIs for interacting with a system's backend. It defines a number of functions and data structures used by the service, as well as some constants and utility methods. The code also includes comments explaining the purpose and complexity of each part of the codebase.</t>
        </is>
      </c>
      <c r="E2080" t="n">
        <v>0.0036</v>
      </c>
      <c r="F2080" t="n">
        <v>0.1143</v>
      </c>
      <c r="G2080" t="n">
        <v>0.1504</v>
      </c>
      <c r="H2080" t="inlineStr">
        <is>
          <t>This code appears to be a Python implementation of a set of backend software components using the Thrift programming framework. It includes a README file that describes the purpose of the project and provides some basic information about the complexity and comments associated with the code. The code itself defines several classes and functions related to the Thrift protocol, including the `TType` class and the `TMessage`</t>
        </is>
      </c>
      <c r="I2080" t="n">
        <v>0.0036</v>
      </c>
      <c r="J2080" t="n">
        <v>0.1081</v>
      </c>
      <c r="K2080" t="n">
        <v>0.1812</v>
      </c>
      <c r="L2080" t="inlineStr">
        <is>
          <t>This Python script appears to be a generated Thrift client stub for interacting with a remote service. The script imports the `thrift` module from the standard library, which provides support for serializing and deserializing data using the Thrift protocol. It also defines some constants related to the Thrift protocol, such as the type of messages that can be sent over the wire (`TMessage</t>
        </is>
      </c>
      <c r="M2080" t="n">
        <v>0.0038</v>
      </c>
      <c r="N2080" t="n">
        <v>0.08450000000000001</v>
      </c>
      <c r="O2080" t="n">
        <v>0.1481</v>
      </c>
    </row>
    <row r="2081">
      <c r="A2081" t="inlineStr">
        <is>
          <t>storm</t>
        </is>
      </c>
      <c r="B2081" t="inlineStr">
        <is>
          <t>storm-client/src/py/storm/__init__.py</t>
        </is>
      </c>
      <c r="C2081">
        <f>HYPERLINK("https://github.com/apache/storm/blob/master/storm-client/src/py/storm/__init__.py")</f>
        <v/>
      </c>
      <c r="D2081" t="inlineStr">
        <is>
          <t>This code defines several Python modules that provide various functionalities related to Apache Storm, including data processing, communication, and management. The modules defined here include:
* `ttypes`: Defines types used throughout the project.
* `constants`: Contains constants used throughout the project.
* `Nimbus`: Implements the Nimbus server component of Apache Storm.</t>
        </is>
      </c>
      <c r="E2081" t="n">
        <v>0.0043</v>
      </c>
      <c r="F2081" t="n">
        <v>0.1429</v>
      </c>
      <c r="G2081" t="n">
        <v>0.2033</v>
      </c>
      <c r="H2081" t="inlineStr">
        <is>
          <t>This Python script defines several modules that provide various functionalities related to Apache Storm, which is a distributed real-time computation system. The modules include ttypes, constants, Nimbus, DistributedRPC, DistributedRPCInvocations, and Supervisor. These modules are used to implement the core algorithms of Storm. The complexity of the code is O(N), where N</t>
        </is>
      </c>
      <c r="I2081" t="n">
        <v>0.0047</v>
      </c>
      <c r="J2081" t="n">
        <v>0.1311</v>
      </c>
      <c r="K2081" t="n">
        <v>0.2439</v>
      </c>
      <c r="L2081" t="inlineStr">
        <is>
          <t>This Python script defines several classes and functions related to Nimbus, a distributed computing system. It includes definitions for ttypes, constants, Nimbus, Distributed RPC, Distributed RPC Invocations, and Supervisor. These entities are used to implement various features of the system, such as data processing and task scheduling.</t>
        </is>
      </c>
      <c r="M2081" t="n">
        <v>0.0046</v>
      </c>
      <c r="N2081" t="n">
        <v>0.1091</v>
      </c>
      <c r="O2081" t="n">
        <v>0.1681</v>
      </c>
    </row>
    <row r="2082">
      <c r="A2082" t="inlineStr">
        <is>
          <t>storm</t>
        </is>
      </c>
      <c r="B2082" t="inlineStr">
        <is>
          <t>storm-client/src/py/storm/DistributedRPCInvocations.py</t>
        </is>
      </c>
      <c r="C2082">
        <f>HYPERLINK("https://github.com/apache/storm/blob/master/storm-client/src/py/storm/DistributedRPCInvocations.py")</f>
        <v/>
      </c>
      <c r="D2082" t="inlineStr">
        <is>
          <t>This Python script defines a set of classes and functions that implement various algorithms used in the development of backend software components. It uses the Thrift library to generate client and server stubs for RPC communication. The code is well-documented and includes comments explaining its purpose and complexity.</t>
        </is>
      </c>
      <c r="E2082" t="n">
        <v>0.005</v>
      </c>
      <c r="F2082" t="n">
        <v>0.1053</v>
      </c>
      <c r="G2082" t="n">
        <v>0.2083</v>
      </c>
      <c r="H2082" t="inlineStr">
        <is>
          <t>This Python code appears to be part of a larger project that involves implementing various backend software components using the Thrift programming language. It includes several files and directories, including `thrift`, which appears to contain the main implementation code for the project.
The code defines several functions and classes related to data processing and manipulation, such as `add` and `subtract`. These functions</t>
        </is>
      </c>
      <c r="I2082" t="n">
        <v>0.0039</v>
      </c>
      <c r="J2082" t="n">
        <v>0.1429</v>
      </c>
      <c r="K2082" t="n">
        <v>0.1866</v>
      </c>
      <c r="L2082" t="inlineStr">
        <is>
          <t>The code defines a Python module that generates code using the Thrift compiler. It imports the Thrift library and sets some configuration options related to UTF-8 strings. The module then autogenerates code based on the input parameters passed to it.</t>
        </is>
      </c>
      <c r="M2082" t="n">
        <v>0.0055</v>
      </c>
      <c r="N2082" t="n">
        <v>0.08160000000000001</v>
      </c>
      <c r="O2082" t="n">
        <v>0.1339</v>
      </c>
    </row>
    <row r="2083">
      <c r="A2083" t="inlineStr">
        <is>
          <t>storm</t>
        </is>
      </c>
      <c r="B2083" t="inlineStr">
        <is>
          <t>storm-client/src/jvm/org/apache/storm/ISubmitterHook.java</t>
        </is>
      </c>
      <c r="C2083">
        <f>HYPERLINK("https://github.com/apache/storm/blob/master/storm-client/src/jvm/org/apache/storm/ISubmitterHook.java")</f>
        <v/>
      </c>
      <c r="D2083" t="inlineStr">
        <is>
          <t>This code defines an interface called `IBackend` that provides methods for interacting with a Storm topology. It also includes a number of utility functions for working with Storm topologies.
The `IBackend` interface has two main methods: `start()` and `stop()`. These methods start and stop the backend, respectively, which involves starting and stopping the underlying Storm topology.</t>
        </is>
      </c>
      <c r="E2083" t="n">
        <v>0.0039</v>
      </c>
      <c r="F2083" t="n">
        <v>0.09379999999999999</v>
      </c>
      <c r="G2083" t="n">
        <v>0.1172</v>
      </c>
      <c r="H2083" t="inlineStr">
        <is>
          <t>This code defines a Java package named `org.apache.storm` that provides a Storm topology builder. The package includes several classes, including `StormTopology`, which represents a Storm topology, and `TopologyInfo`, which provides information about a topology. The `StormTopologyBuilder` class is the main entry point for building topologies using this library. It takes a</t>
        </is>
      </c>
      <c r="I2083" t="n">
        <v>0.0043</v>
      </c>
      <c r="J2083" t="n">
        <v>0.06560000000000001</v>
      </c>
      <c r="K2083" t="n">
        <v>0.122</v>
      </c>
      <c r="L2083" t="inlineStr">
        <is>
          <t>The provided Java code defines a Storm topology that processes data streams using a custom algorithm implemented in the `CustomProcessor` class. The `CustomProcessor` class implements the `IProcessor` interface from the `org.apache.storm.processor` package. It takes a map of configuration parameters as input and returns a tuple containing the processed data. The `process()` method of the `Custom</t>
        </is>
      </c>
      <c r="M2083" t="n">
        <v>0.004</v>
      </c>
      <c r="N2083" t="n">
        <v>0.0606</v>
      </c>
      <c r="O2083" t="n">
        <v>0.1181</v>
      </c>
    </row>
    <row r="2084">
      <c r="A2084" t="inlineStr">
        <is>
          <t>storm</t>
        </is>
      </c>
      <c r="B2084" t="inlineStr">
        <is>
          <t>storm-client/src/jvm/org/apache/storm/StormSubmitter.java</t>
        </is>
      </c>
      <c r="C2084">
        <f>HYPERLINK("https://github.com/apache/storm/blob/master/storm-client/src/jvm/org/apache/storm/StormSubmitter.java")</f>
        <v/>
      </c>
      <c r="D2084" t="inlineStr">
        <is>
          <t>This code appears to be part of a Java project that implements various algorithms related to data processing and analysis. It defines several classes and interfaces, including `Storm`, which seems to be the main class responsible for handling data processing tasks. The code also includes some utility methods for working with files and buffers.
The code imports several packages, including `java.io` and `java</t>
        </is>
      </c>
      <c r="E2084" t="n">
        <v>0.0038</v>
      </c>
      <c r="F2084" t="n">
        <v>0.0833</v>
      </c>
      <c r="G2084" t="n">
        <v>0.1481</v>
      </c>
      <c r="H2084" t="inlineStr">
        <is>
          <t>This Java package `org.apache.storm` contains backend software components that implement various algorithms used in the Apache Storm project. The package includes several classes, each of which performs a specific function related to data processing and analysis. Some of these classes include:
* `StormTopology`: Represents a Storm topology, which consists of multiple spouts and bolts that process</t>
        </is>
      </c>
      <c r="I2084" t="n">
        <v>0.0043</v>
      </c>
      <c r="J2084" t="n">
        <v>0.1538</v>
      </c>
      <c r="K2084" t="n">
        <v>0.1953</v>
      </c>
      <c r="L2084" t="inlineStr">
        <is>
          <t>This Java package `org.apache.storm` provides a framework for building real-time processing systems using the Storm programming model. It includes classes and interfaces for defining topologies, spouts, bolts, and streams, as well as utilities for managing and running these topologies. The package also includes support for persistence and fault tolerance through the use of checkpoints and</t>
        </is>
      </c>
      <c r="M2084" t="n">
        <v>0.004</v>
      </c>
      <c r="N2084" t="n">
        <v>0.0606</v>
      </c>
      <c r="O2084" t="n">
        <v>0.1181</v>
      </c>
    </row>
    <row r="2085">
      <c r="A2085" t="inlineStr">
        <is>
          <t>storm</t>
        </is>
      </c>
      <c r="B2085" t="inlineStr">
        <is>
          <t>storm-client/src/jvm/org/apache/storm/ILocalDRPC.java</t>
        </is>
      </c>
      <c r="C2085">
        <f>HYPERLINK("https://github.com/apache/storm/blob/master/storm-client/src/jvm/org/apache/storm/ILocalDRPC.java")</f>
        <v/>
      </c>
      <c r="D2085" t="inlineStr">
        <is>
          <t>This code appears to be part of a Java project that implements the Storm distributed real-time processing system. It defines several classes related to the Storm RPC mechanism, which allows tasks to communicate with each other over the network.
The `StormRpc` class is the main entry point for the RPC mechanism and provides methods for sending and receiving messages between tasks. It also includes</t>
        </is>
      </c>
      <c r="E2085" t="n">
        <v>0.0037</v>
      </c>
      <c r="F2085" t="n">
        <v>0.0822</v>
      </c>
      <c r="G2085" t="n">
        <v>0.1471</v>
      </c>
      <c r="H2085" t="inlineStr">
        <is>
          <t>This code appears to be part of a Java project that implements a Distributed RPC system using Apache Storm as the underlying framework. It defines several classes and interfaces related to the implementation of distributed RPC invocations, including `DistributedRPC`, which provides the main entry point for making remote procedure calls, and `DistributedRPCInvocations`, which defines the interface for handling</t>
        </is>
      </c>
      <c r="I2085" t="n">
        <v>0.0041</v>
      </c>
      <c r="J2085" t="n">
        <v>0.09089999999999999</v>
      </c>
      <c r="K2085" t="n">
        <v>0.1538</v>
      </c>
      <c r="L2085" t="inlineStr">
        <is>
          <t>This Java class `org.apache.storm.Storm` appears to be part of the Apache Storm project's distributed computing framework. It implements the `Shutdownable` interface from the same package, which means that it can be shut down gracefully when no longer needed.
The class has several dependencies, including `DistributedRPC`, `DistributedRPC</t>
        </is>
      </c>
      <c r="M2085" t="n">
        <v>0.0048</v>
      </c>
      <c r="N2085" t="n">
        <v>0.06900000000000001</v>
      </c>
      <c r="O2085" t="n">
        <v>0.1271</v>
      </c>
    </row>
    <row r="2086">
      <c r="A2086" t="inlineStr">
        <is>
          <t>storm</t>
        </is>
      </c>
      <c r="B2086" t="inlineStr">
        <is>
          <t>storm-client/src/jvm/org/apache/storm/Constants.java</t>
        </is>
      </c>
      <c r="C2086">
        <f>HYPERLINK("https://github.com/apache/storm/blob/master/storm-client/src/jvm/org/apache/storm/Constants.java")</f>
        <v/>
      </c>
      <c r="D2086" t="inlineStr">
        <is>
          <t>This code defines several constants used throughout the project, including strings representing the ID of a coordinated stream, which is used to identify a stream that is being processed by a bolt as part of a coordination pattern. It also includes a list of strings representing the names of various components of the system, such as spouts and bolts.</t>
        </is>
      </c>
      <c r="E2086" t="n">
        <v>0.0037</v>
      </c>
      <c r="F2086" t="n">
        <v>0.0597</v>
      </c>
      <c r="G2086" t="n">
        <v>0.1145</v>
      </c>
      <c r="H2086" t="inlineStr">
        <is>
          <t>This Java package `org.apache.storm` contains constants used in the implementation of the Apache Storm project's distributed real-time computation system. The package includes a single class called `Constants`, which defines several constants that are used throughout the codebase. These constants include strings representing the ID of the coordinated stream, as well as lists of integers representing the default number of workers for</t>
        </is>
      </c>
      <c r="I2086" t="n">
        <v>0.003</v>
      </c>
      <c r="J2086" t="n">
        <v>0.0548</v>
      </c>
      <c r="K2086" t="n">
        <v>0.1128</v>
      </c>
      <c r="L2086" t="inlineStr">
        <is>
          <t>The `Constants` class defines several constants used throughout the Apache Storm project, including the ID of the coordinated stream used by the `CoordinatedBolt`.</t>
        </is>
      </c>
      <c r="M2086" t="n">
        <v>0</v>
      </c>
      <c r="N2086" t="n">
        <v>0</v>
      </c>
      <c r="O2086" t="n">
        <v>0.0526</v>
      </c>
    </row>
    <row r="2087">
      <c r="A2087" t="inlineStr">
        <is>
          <t>storm</t>
        </is>
      </c>
      <c r="B2087" t="inlineStr">
        <is>
          <t>storm-client/src/jvm/org/apache/storm/LogWriter.java</t>
        </is>
      </c>
      <c r="C2087">
        <f>HYPERLINK("https://github.com/apache/storm/blob/master/storm-client/src/jvm/org/apache/storm/LogWriter.java")</f>
        <v/>
      </c>
      <c r="D2087" t="inlineStr">
        <is>
          <t>This Java code appears to be part of a Storm project, which is a real-time computation system that processes large amounts of data in parallel across a cluster of machines. The code defines a class called `Storm` that has several methods related to processing data in real-time using Storm's APIs.
The `Storm` class imports various packages such as `java.io</t>
        </is>
      </c>
      <c r="E2087" t="n">
        <v>0.0031</v>
      </c>
      <c r="F2087" t="n">
        <v>0.0282</v>
      </c>
      <c r="G2087" t="n">
        <v>0.07630000000000001</v>
      </c>
      <c r="H2087" t="inlineStr">
        <is>
          <t>This Java package named `org.apache.storm` contains backend software components that implement various algorithms. It has been committed once and has a complexity of O(N). The code size is approximately 1000 lines. The README file provides a brief description of the project's purpose and its structure.</t>
        </is>
      </c>
      <c r="I2087" t="n">
        <v>0.0054</v>
      </c>
      <c r="J2087" t="n">
        <v>0.1404</v>
      </c>
      <c r="K2087" t="n">
        <v>0.1709</v>
      </c>
      <c r="L2087" t="inlineStr">
        <is>
          <t>This Java class named `Storm` appears to be part of the Apache Storm project, which is a distributed real-time computation system. It reads input from a stream and processes it line by line using a custom algorithm. The output is written to a log file.
The class has several dependencies, including `java.io`, `org.slf4j`, and `org</t>
        </is>
      </c>
      <c r="M2087" t="n">
        <v>0.004</v>
      </c>
      <c r="N2087" t="n">
        <v>0.0606</v>
      </c>
      <c r="O2087" t="n">
        <v>0.1181</v>
      </c>
    </row>
    <row r="2088">
      <c r="A2088" t="inlineStr">
        <is>
          <t>storm</t>
        </is>
      </c>
      <c r="B2088" t="inlineStr">
        <is>
          <t>storm-client/src/jvm/org/apache/storm/Config.java</t>
        </is>
      </c>
      <c r="C2088">
        <f>HYPERLINK("https://github.com/apache/storm/blob/master/storm-client/src/jvm/org/apache/storm/Config.java")</f>
        <v/>
      </c>
      <c r="D2088" t="inlineStr">
        <is>
          <t>This code appears to be part of a Java project that implements various algorithms related to data processing and analysis. It uses several third-party libraries, including Kryo for serialization and EsotericSoftware's LZ4 compression library. The code defines a number of classes and interfaces, including `Storm`, which seems to be the main entry point for the application.</t>
        </is>
      </c>
      <c r="E2088" t="n">
        <v>0.0043</v>
      </c>
      <c r="F2088" t="n">
        <v>0.09089999999999999</v>
      </c>
      <c r="G2088" t="n">
        <v>0.1563</v>
      </c>
      <c r="H2088" t="inlineStr">
        <is>
          <t>This code defines a Java package named `org.apache.storm` that contains various classes and interfaces related to Storm, which is an open-source, distributed real-time computation system. The package includes several files, including a README file that describes the purpose of the project, a LICENSE file that specifies the terms of use, and a pom.xml file</t>
        </is>
      </c>
      <c r="I2088" t="n">
        <v>0.004</v>
      </c>
      <c r="J2088" t="n">
        <v>0.0597</v>
      </c>
      <c r="K2088" t="n">
        <v>0.0794</v>
      </c>
      <c r="L2088" t="inlineStr">
        <is>
          <t>This Java package `org.apache.storm` defines a Storm topology that uses Kryo serialization to process data streams from multiple sources. It includes several classes, including `TopologyBuilder`, `Spout`, `Bolt`, and `KryoTupleDeserializer`. The main purpose of the code appears to be to implement a real-time analytics pipeline</t>
        </is>
      </c>
      <c r="M2088" t="n">
        <v>0.005</v>
      </c>
      <c r="N2088" t="n">
        <v>0.0727</v>
      </c>
      <c r="O2088" t="n">
        <v>0.1724</v>
      </c>
    </row>
    <row r="2089">
      <c r="A2089" t="inlineStr">
        <is>
          <t>storm</t>
        </is>
      </c>
      <c r="B2089" t="inlineStr">
        <is>
          <t>storm-client/src/jvm/org/apache/storm/ILocalCluster.java</t>
        </is>
      </c>
      <c r="C2089">
        <f>HYPERLINK("https://github.com/apache/storm/blob/master/storm-client/src/jvm/org/apache/storm/ILocalCluster.java")</f>
        <v/>
      </c>
      <c r="D2089" t="inlineStr">
        <is>
          <t>This code appears to be part of a Java project that implements various Storm cluster management functions using the `IStormClusterState` interface. It includes methods for managing topologies, such as submitting new topologies, killing existing ones, and querying their status. Additionally, it includes methods for managing workers and tasks within those topologies. The code also includes comments explaining its</t>
        </is>
      </c>
      <c r="E2089" t="n">
        <v>0.0041</v>
      </c>
      <c r="F2089" t="n">
        <v>0.1212</v>
      </c>
      <c r="G2089" t="n">
        <v>0.1538</v>
      </c>
      <c r="H2089" t="inlineStr">
        <is>
          <t>This code appears to be part of a Java project that implements various Storm cluster management functions using the IStormClusterState interface. It includes methods for managing authorization exceptions, generating topology configurations, and interacting with the Storm cluster state. The code also includes comments and documentation explaining its purpose and complexity.</t>
        </is>
      </c>
      <c r="I2089" t="n">
        <v>0.0048</v>
      </c>
      <c r="J2089" t="n">
        <v>0.1379</v>
      </c>
      <c r="K2089" t="n">
        <v>0.1639</v>
      </c>
      <c r="L2089" t="inlineStr">
        <is>
          <t>This Java package `org.apache.storm` defines classes related to Apache Storm, which is an open-source distributed real-time computation system. It provides various functionalities such as cluster management, task scheduling, and data processing. The package includes several classes, including `IStormClusterState`, `TaskScheduler`, and `Bolt`. These classes interact with each</t>
        </is>
      </c>
      <c r="M2089" t="n">
        <v>0.0048</v>
      </c>
      <c r="N2089" t="n">
        <v>0.1034</v>
      </c>
      <c r="O2089" t="n">
        <v>0.1271</v>
      </c>
    </row>
    <row r="2090">
      <c r="A2090" t="inlineStr">
        <is>
          <t>storm</t>
        </is>
      </c>
      <c r="B2090" t="inlineStr">
        <is>
          <t>storm-client/src/jvm/org/apache/storm/Thrift.java</t>
        </is>
      </c>
      <c r="C2090">
        <f>HYPERLINK("https://github.com/apache/storm/blob/master/storm-client/src/jvm/org/apache/storm/Thrift.java")</f>
        <v/>
      </c>
      <c r="D2090" t="inlineStr">
        <is>
          <t>This code appears to be part of a Java project that implements various algorithms related to data processing and analysis. It defines several classes and interfaces, including `TopologyBuilder`, `Spout`, `Bolt`, `State`, and `Tuple`. These classes and interfaces are used to build and execute Storm topologies, which are composed of spouts that generate streams of tuples, bolts</t>
        </is>
      </c>
      <c r="E2090" t="n">
        <v>0.0043</v>
      </c>
      <c r="F2090" t="n">
        <v>0.09379999999999999</v>
      </c>
      <c r="G2090" t="n">
        <v>0.1563</v>
      </c>
      <c r="H2090" t="inlineStr">
        <is>
          <t>This Java package `org.apache.storm` implements various backend software components. It includes a serialization mechanism that allows objects to be converted into byte arrays and vice versa, as well as a reflection-based constructor system that enables the creation of new instances of classes based on their names. Additionally, it provides a list implementation called `ArrayList` and a hash map implementation called `HashMap</t>
        </is>
      </c>
      <c r="I2090" t="n">
        <v>0.0042</v>
      </c>
      <c r="J2090" t="n">
        <v>0.1111</v>
      </c>
      <c r="K2090" t="n">
        <v>0.188</v>
      </c>
      <c r="L2090" t="inlineStr">
        <is>
          <t>The provided Java code defines a class named `Storm` that implements the `Serializable` interface. It has several fields, including a list of strings called `fields`, a map of integers to lists of strings called `map`, and a constructor that takes no arguments. The class also includes methods for serializing and deserializing objects using the `ByteBuffer` class. Overall,</t>
        </is>
      </c>
      <c r="M2090" t="n">
        <v>0.0038</v>
      </c>
      <c r="N2090" t="n">
        <v>0.0615</v>
      </c>
      <c r="O2090" t="n">
        <v>0.1163</v>
      </c>
    </row>
    <row r="2091">
      <c r="A2091" t="inlineStr">
        <is>
          <t>storm</t>
        </is>
      </c>
      <c r="B2091" t="inlineStr">
        <is>
          <t>storm-client/src/jvm/org/apache/storm/ICredentialsListener.java</t>
        </is>
      </c>
      <c r="C2091">
        <f>HYPERLINK("https://github.com/apache/storm/blob/master/storm-client/src/jvm/org/apache/storm/ICredentialsListener.java")</f>
        <v/>
      </c>
      <c r="D2091" t="inlineStr">
        <is>
          <t>This code defines an interface called `ICredentialsListener` that allows a Storm component (either a bolt or a spout) to be notified when the credentials of the topology change. The interface has only one method, `onCredentialChange`, which takes no arguments and returns nothing. Whenever the credentials of the topology change, the Storm runtime will call this method on any</t>
        </is>
      </c>
      <c r="E2091" t="n">
        <v>0.0037</v>
      </c>
      <c r="F2091" t="n">
        <v>0.0606</v>
      </c>
      <c r="G2091" t="n">
        <v>0.0769</v>
      </c>
      <c r="H2091" t="inlineStr">
        <is>
          <t>This code defines an interface called `ICredentialsListener` that allows a bolt or a spout to be informed when the credentials of the topology have changed. It includes a single method called `onCredentialChange`, which takes no arguments and has no return value. The method is annotated with `@Override` to indicate that it overrides a superclass implementation.</t>
        </is>
      </c>
      <c r="I2091" t="n">
        <v>0.004</v>
      </c>
      <c r="J2091" t="n">
        <v>0.0635</v>
      </c>
      <c r="K2091" t="n">
        <v>0.07870000000000001</v>
      </c>
      <c r="L2091" t="inlineStr">
        <is>
          <t>This class implements the `ICredentialsListener` interface and provides a method called `credentialsChanged()` that is triggered whenever the credentials of the topology change. The method takes a map of new credentials as input and performs some operation based on those credentials.</t>
        </is>
      </c>
      <c r="M2091" t="n">
        <v>0.0061</v>
      </c>
      <c r="N2091" t="n">
        <v>0.125</v>
      </c>
      <c r="O2091" t="n">
        <v>0.1786</v>
      </c>
    </row>
    <row r="2092">
      <c r="A2092" t="inlineStr">
        <is>
          <t>storm</t>
        </is>
      </c>
      <c r="B2092" t="inlineStr">
        <is>
          <t>storm-client/src/jvm/org/apache/storm/StormTimer.java</t>
        </is>
      </c>
      <c r="C2092">
        <f>HYPERLINK("https://github.com/apache/storm/blob/master/storm-client/src/jvm/org/apache/storm/StormTimer.java")</f>
        <v/>
      </c>
      <c r="D2092" t="inlineStr">
        <is>
          <t>This Java code implements a priority queue using the `java.util.concurrent.PriorityBlockingQueue` class. It also includes some utility methods for handling exceptions and random number generation. The main method creates a new instance of the `PriorityBlockingQueue` class and adds elements to it using a loop. The elements are added with different priorities based on their values, which are</t>
        </is>
      </c>
      <c r="E2092" t="n">
        <v>0.0043</v>
      </c>
      <c r="F2092" t="n">
        <v>0.0896</v>
      </c>
      <c r="G2092" t="n">
        <v>0.1563</v>
      </c>
      <c r="H2092" t="inlineStr">
        <is>
          <t>This code appears to be part of a Java application that uses the Apache Storm library for real-time data processing. It defines a class called `Storm` that implements the `java.lang.Runnable` interface, which means it can be executed as a thread in a concurrent environment.
The code imports several packages, including `java.nio.channels`, `java.</t>
        </is>
      </c>
      <c r="I2092" t="n">
        <v>0.0042</v>
      </c>
      <c r="J2092" t="n">
        <v>0.0615</v>
      </c>
      <c r="K2092" t="n">
        <v>0.121</v>
      </c>
      <c r="L2092" t="inlineStr">
        <is>
          <t>This code implements a priority queue using Java's PriorityBlockingQueue class. It uses a custom comparator to prioritize tasks based on their arrival time. The code also includes error handling for when the thread is interrupted while waiting for new tasks. Overall, the code appears to be well-structured and easy to understand, with clear comments and logical variable names.</t>
        </is>
      </c>
      <c r="M2092" t="n">
        <v>0.0041</v>
      </c>
      <c r="N2092" t="n">
        <v>0.1176</v>
      </c>
      <c r="O2092" t="n">
        <v>0.1538</v>
      </c>
    </row>
    <row r="2093">
      <c r="A2093" t="inlineStr">
        <is>
          <t>storm</t>
        </is>
      </c>
      <c r="B2093" t="inlineStr">
        <is>
          <t>storm-client/src/jvm/org/apache/storm/transactional/TransactionAttempt.java</t>
        </is>
      </c>
      <c r="C2093">
        <f>HYPERLINK("https://github.com/apache/storm/blob/master/storm-client/src/jvm/org/apache/storm/transactional/TransactionAttempt.java")</f>
        <v/>
      </c>
      <c r="D2093" t="inlineStr">
        <is>
          <t>The `TransactionAttempt` class represents a single attempt at executing a transaction. It has two main methods: `begin()` and `commit()`. The `begin()` method starts a new transaction, while the `commit()` method commits the changes made during the transaction. The class also has several other methods that are used internally by Storm.
The `TransactionAttempt` class is deprecated and</t>
        </is>
      </c>
      <c r="E2093" t="n">
        <v>0.0033</v>
      </c>
      <c r="F2093" t="n">
        <v>0.0312</v>
      </c>
      <c r="G2093" t="n">
        <v>0.0781</v>
      </c>
      <c r="H2093" t="inlineStr">
        <is>
          <t>This code defines a Java class called `TransactionAttempt` that represents a single attempt to execute a transaction within a distributed system. The class has several attributes and methods, including:
* `id`: A unique identifier for each transaction attempt.
* `startTimestamp`: The timestamp when the transaction was started.
* `endTimestamp`: The timestamp when the transaction was committed or rolled</t>
        </is>
      </c>
      <c r="I2093" t="n">
        <v>0.0037</v>
      </c>
      <c r="J2093" t="n">
        <v>0.0635</v>
      </c>
      <c r="K2093" t="n">
        <v>0.0769</v>
      </c>
      <c r="L2093" t="inlineStr">
        <is>
          <t>This code defines a Java class called `TransactionAttempt` that represents a transaction attempt within a distributed system. The class has several fields, including a unique identifier (`id`), a status flag indicating whether the transaction was successful or not (`status`), and a timestamp representing when the transaction was created (`createdAt`). Additionally, the class implements a method called `getId()` that returns the value of</t>
        </is>
      </c>
      <c r="M2093" t="n">
        <v>0.0039</v>
      </c>
      <c r="N2093" t="n">
        <v>0.0571</v>
      </c>
      <c r="O2093" t="n">
        <v>0.1119</v>
      </c>
    </row>
    <row r="2094">
      <c r="A2094" t="inlineStr">
        <is>
          <t>storm</t>
        </is>
      </c>
      <c r="B2094" t="inlineStr">
        <is>
          <t>storm-client/src/jvm/org/apache/storm/pacemaker/PacemakerClientPool.java</t>
        </is>
      </c>
      <c r="C2094">
        <f>HYPERLINK("https://github.com/apache/storm/blob/master/storm-client/src/jvm/org/apache/storm/pacemaker/PacemakerClientPool.java")</f>
        <v/>
      </c>
      <c r="D2094" t="inlineStr">
        <is>
          <t>This Java code appears to be part of a Storm project, specifically the Pacemaker component. It defines several classes and interfaces related to implementing core algorithms for managing resources and scheduling tasks.
The `Pacemaker` class is the main entry point for the pacemaker algorithm, which is responsible for allocating resources and scheduling tasks. It takes a list of available</t>
        </is>
      </c>
      <c r="E2094" t="n">
        <v>0.0041</v>
      </c>
      <c r="F2094" t="n">
        <v>0.1194</v>
      </c>
      <c r="G2094" t="n">
        <v>0.284</v>
      </c>
      <c r="H2094" t="inlineStr">
        <is>
          <t>This Java package `org.apache.storm.pacemaker` contains backend software components that implement various algorithms used by Storm, an open-source data processing system. The package includes several classes and interfaces that define the behavior of these algorithms, as well as utility methods for working with collections and concurrent data structures.
The main class of interest is `PaceMaker`,</t>
        </is>
      </c>
      <c r="I2094" t="n">
        <v>0.0045</v>
      </c>
      <c r="J2094" t="n">
        <v>0.1212</v>
      </c>
      <c r="K2094" t="n">
        <v>0.1984</v>
      </c>
      <c r="L2094" t="inlineStr">
        <is>
          <t>This Java package implements a Pacemaker component for Apache Storm. It provides a way to manage tasks across multiple nodes in a cluster, ensuring that each task is executed only once and that no two tasks execute simultaneously. The package includes several classes, including `Pacemaker`, which manages the scheduling of tasks, and `TaskAssignment`, which represents a single assignment of a</t>
        </is>
      </c>
      <c r="M2094" t="n">
        <v>0.004</v>
      </c>
      <c r="N2094" t="n">
        <v>0.0882</v>
      </c>
      <c r="O2094" t="n">
        <v>0.1136</v>
      </c>
    </row>
    <row r="2095">
      <c r="A2095" t="inlineStr">
        <is>
          <t>storm</t>
        </is>
      </c>
      <c r="B2095" t="inlineStr">
        <is>
          <t>storm-client/src/jvm/org/apache/storm/pacemaker/PacemakerClient.java</t>
        </is>
      </c>
      <c r="C2095">
        <f>HYPERLINK("https://github.com/apache/storm/blob/master/storm-client/src/jvm/org/apache/storm/pacemaker/PacemakerClient.java")</f>
        <v/>
      </c>
      <c r="D2095" t="inlineStr">
        <is>
          <t>This code appears to be part of a Storm project, specifically the Pacemaker component. It defines a class called `Pacemaker` that implements various functions related to managing the heartbeat of nodes in a cluster.
The main function of the `Pacemaker` class seems to be to maintain a list of active nodes in the cluster and ensure that each node</t>
        </is>
      </c>
      <c r="E2095" t="n">
        <v>0.0041</v>
      </c>
      <c r="F2095" t="n">
        <v>0.1194</v>
      </c>
      <c r="G2095" t="n">
        <v>0.1527</v>
      </c>
      <c r="H2095" t="inlineStr">
        <is>
          <t>This Java package `org.apache.storm.pacemaker` contains a class named `PaceMaker` that implements a timer task using the `java.util.Timer` class. The `PaceMaker` class has a constructor that takes a map of configuration parameters as input, and it also defines several instance variables that store references to other objects used by the</t>
        </is>
      </c>
      <c r="I2095" t="n">
        <v>0.0049</v>
      </c>
      <c r="J2095" t="n">
        <v>0.0968</v>
      </c>
      <c r="K2095" t="n">
        <v>0.1653</v>
      </c>
      <c r="L2095" t="inlineStr">
        <is>
          <t>This Java package `org.apache.storm.pacemaker` provides a Pacemaker implementation that uses a timer task to schedule heartbeats. It takes in a map of nodes as input and schedules heartbeats for each node using a linked blocking queue. When a heartbeat is scheduled, it sends a message to the specified address and port. The package also</t>
        </is>
      </c>
      <c r="M2095" t="n">
        <v>0.004</v>
      </c>
      <c r="N2095" t="n">
        <v>0.09229999999999999</v>
      </c>
      <c r="O2095" t="n">
        <v>0.1587</v>
      </c>
    </row>
    <row r="2096">
      <c r="A2096" t="inlineStr">
        <is>
          <t>storm</t>
        </is>
      </c>
      <c r="B2096" t="inlineStr">
        <is>
          <t>storm-client/src/jvm/org/apache/storm/pacemaker/PacemakerConnectionException.java</t>
        </is>
      </c>
      <c r="C2096">
        <f>HYPERLINK("https://github.com/apache/storm/blob/master/storm-client/src/jvm/org/apache/storm/pacemaker/PacemakerConnectionException.java")</f>
        <v/>
      </c>
      <c r="D2096" t="inlineStr">
        <is>
          <t>This Java code defines a custom exception called `PacemakerConnectionException` that inherits from the built-in `Exception` class. It takes a single string argument in its constructor called `err`, which represents the error message associated with the exception. When thrown, it will print the specified error message along with some additional contextual information about the exception itself.</t>
        </is>
      </c>
      <c r="E2096" t="n">
        <v>0.0033</v>
      </c>
      <c r="F2096" t="n">
        <v>0.0312</v>
      </c>
      <c r="G2096" t="n">
        <v>0.0394</v>
      </c>
      <c r="H2096" t="inlineStr">
        <is>
          <t>This is a Java package named `Pacemaker` that implements a connection exception class called `PacemakerConnectionException`. It has a single constructor that takes a string argument representing the error message. The class inherits from the built-in `Exception` class and overrides its `getMessage()` method to return the error message passed into the constructor.
The README</t>
        </is>
      </c>
      <c r="I2096" t="n">
        <v>0.0045</v>
      </c>
      <c r="J2096" t="n">
        <v>0.0968</v>
      </c>
      <c r="K2096" t="n">
        <v>0.12</v>
      </c>
      <c r="L2096" t="inlineStr">
        <is>
          <t>This code defines a custom exception class called `PacemakerConnectionException` that inherits from Java's built-in `Exception` class. It takes a single string argument in its constructor and passes it as the error message when instantiated. The class has no methods defined, making it suitable for use as a simple exception type.</t>
        </is>
      </c>
      <c r="M2096" t="n">
        <v>0.0044</v>
      </c>
      <c r="N2096" t="n">
        <v>0.0667</v>
      </c>
      <c r="O2096" t="n">
        <v>0.123</v>
      </c>
    </row>
    <row r="2097">
      <c r="A2097" t="inlineStr">
        <is>
          <t>storm</t>
        </is>
      </c>
      <c r="B2097" t="inlineStr">
        <is>
          <t>storm-client/src/jvm/org/apache/storm/pacemaker/PacemakerClientHandler.java</t>
        </is>
      </c>
      <c r="C2097">
        <f>HYPERLINK("https://github.com/apache/storm/blob/master/storm-client/src/jvm/org/apache/storm/pacemaker/PacemakerClientHandler.java")</f>
        <v/>
      </c>
      <c r="D2097" t="inlineStr">
        <is>
          <t>This code appears to be part of the Apache Storm project's pacemaker component, which is responsible for handling heartbeats between nodes in a distributed system. It includes several classes and interfaces related to heartbeat messaging, including `HBMessage`, `ControlMessage`, and `HeartbeatManager`. The code also includes some utility methods for working with Netty channels.</t>
        </is>
      </c>
      <c r="E2097" t="n">
        <v>0.0042</v>
      </c>
      <c r="F2097" t="n">
        <v>0.06560000000000001</v>
      </c>
      <c r="G2097" t="n">
        <v>0.121</v>
      </c>
      <c r="H2097" t="inlineStr">
        <is>
          <t>This code appears to be part of a Java project that implements the Apache Storm Pacemaker component. It includes several classes and interfaces related to message handling, including `HBMessage` and `ControlMessage`, which appear to be used for heartbeat messages. The code also includes some comments about the Apache License and the complexity of the code.
The main class of the program seems</t>
        </is>
      </c>
      <c r="I2097" t="n">
        <v>0.0039</v>
      </c>
      <c r="J2097" t="n">
        <v>0.0857</v>
      </c>
      <c r="K2097" t="n">
        <v>0.1493</v>
      </c>
      <c r="L2097" t="inlineStr">
        <is>
          <t>The provided code implements a pacemaker component that communicates with other nodes in a Storm cluster using Netty messaging protocol. It listens for incoming heartbeat messages from other nodes and responds with an acknowledgement message if the node is still alive. If a node fails to send a heartbeat within a certain time frame, the pacemaker marks it as dead and</t>
        </is>
      </c>
      <c r="M2097" t="n">
        <v>0.0036</v>
      </c>
      <c r="N2097" t="n">
        <v>0.058</v>
      </c>
      <c r="O2097" t="n">
        <v>0.1128</v>
      </c>
    </row>
    <row r="2098">
      <c r="A2098" t="inlineStr">
        <is>
          <t>storm</t>
        </is>
      </c>
      <c r="B2098" t="inlineStr">
        <is>
          <t>storm-client/src/jvm/org/apache/storm/pacemaker/codec/ThriftNettyClientCodec.java</t>
        </is>
      </c>
      <c r="C2098">
        <f>HYPERLINK("https://github.com/apache/storm/blob/master/storm-client/src/jvm/org/apache/storm/pacemaker/codec/ThriftNettyClientCodec.java")</f>
        <v/>
      </c>
      <c r="D2098" t="inlineStr">
        <is>
          <t>This code appears to be part of an Apache Storm project, specifically the Pacemaker component. It defines a class called `KerberosSaslClientHandler` that extends the `SaslStormClient` class from the same package.
The class implements the `SaslClientHandler` interface and provides methods for handling SASL authentication using Kerberos</t>
        </is>
      </c>
      <c r="E2098" t="n">
        <v>0.0054</v>
      </c>
      <c r="F2098" t="n">
        <v>0.1132</v>
      </c>
      <c r="G2098" t="n">
        <v>0.1709</v>
      </c>
      <c r="H2098" t="inlineStr">
        <is>
          <t>This code defines a package called `org.apache.storm.pacemaker.codec` that provides a class called `SaslStormClient`. It is written in Java and uses the Apache Storm messaging framework. The code imports several other packages, including `java.io`, `java.util`, and `org.apache.storm.messaging.</t>
        </is>
      </c>
      <c r="I2098" t="n">
        <v>0.0061</v>
      </c>
      <c r="J2098" t="n">
        <v>0.0755</v>
      </c>
      <c r="K2098" t="n">
        <v>0.1389</v>
      </c>
      <c r="L2098" t="inlineStr">
        <is>
          <t>The code defines a class named `PacemakerCodec` that implements the `IConnectionCodec` interface from Storm's messaging library. It provides methods for encoding and decoding messages using SASL authentication. The class uses the Kerberos SASL client handler from Netty to handle the authentication process. The constructor takes a map of configuration options as input,</t>
        </is>
      </c>
      <c r="M2098" t="n">
        <v>0.0042</v>
      </c>
      <c r="N2098" t="n">
        <v>0.06560000000000001</v>
      </c>
      <c r="O2098" t="n">
        <v>0.121</v>
      </c>
    </row>
    <row r="2099">
      <c r="A2099" t="inlineStr">
        <is>
          <t>storm</t>
        </is>
      </c>
      <c r="B2099" t="inlineStr">
        <is>
          <t>storm-client/src/jvm/org/apache/storm/pacemaker/codec/ThriftDecoder.java</t>
        </is>
      </c>
      <c r="C2099">
        <f>HYPERLINK("https://github.com/apache/storm/blob/master/storm-client/src/jvm/org/apache/storm/pacemaker/codec/ThriftDecoder.java")</f>
        <v/>
      </c>
      <c r="D2099" t="inlineStr">
        <is>
          <t>This Java code appears to be part of a Storm project, specifically the pacemaker component. It defines a class called `PacemakerCodec` that implements various methods related to encoding and decoding messages used by the pacemaker component.
The class has several methods, including `encode`, `decode`, and `getVersion`. These methods seem to be responsible for converting</t>
        </is>
      </c>
      <c r="E2099" t="n">
        <v>0.0045</v>
      </c>
      <c r="F2099" t="n">
        <v>0.0968</v>
      </c>
      <c r="G2099" t="n">
        <v>0.1587</v>
      </c>
      <c r="H2099" t="inlineStr">
        <is>
          <t>This code appears to be part of a Java project that implements the backend logic for a system using the Apache Storm framework. It defines several classes and methods related to message encoding and decoding, as well as some basic data structures such as lists and maps. The code also includes comments explaining its purpose and usage, as well as a license header indicating it is released under the Apache License version 2</t>
        </is>
      </c>
      <c r="I2099" t="n">
        <v>0.0033</v>
      </c>
      <c r="J2099" t="n">
        <v>0.0741</v>
      </c>
      <c r="K2099" t="n">
        <v>0.1379</v>
      </c>
      <c r="L2099" t="inlineStr">
        <is>
          <t>This Java package `org.apache.storm.pacemaker.codec` provides a class named `PaceMakerCodec` that implements a decoder for messages used in the Apache Storm project's pacemaker component. The class takes a list of bytes as input and returns a `HBMessage` object representing the decoded message.
The `</t>
        </is>
      </c>
      <c r="M2099" t="n">
        <v>0.0056</v>
      </c>
      <c r="N2099" t="n">
        <v>0.1091</v>
      </c>
      <c r="O2099" t="n">
        <v>0.1739</v>
      </c>
    </row>
    <row r="2100">
      <c r="A2100" t="inlineStr">
        <is>
          <t>storm</t>
        </is>
      </c>
      <c r="B2100" t="inlineStr">
        <is>
          <t>storm-client/src/jvm/org/apache/storm/pacemaker/codec/ThriftEncoder.java</t>
        </is>
      </c>
      <c r="C2100">
        <f>HYPERLINK("https://github.com/apache/storm/blob/master/storm-client/src/jvm/org/apache/storm/pacemaker/codec/ThriftEncoder.java")</f>
        <v/>
      </c>
      <c r="D2100" t="inlineStr">
        <is>
          <t>This code appears to be part of a Java project that implements the backend logic for a Pacemaker system. It includes several classes related to message encoding and decoding, as well as some other utility functions. The main class, `PacemakerCodec`, defines methods for converting between different data types used in the Pacemaker protocol, such as `HBMessage` objects and</t>
        </is>
      </c>
      <c r="E2100" t="n">
        <v>0.0041</v>
      </c>
      <c r="F2100" t="n">
        <v>0.1212</v>
      </c>
      <c r="G2100" t="n">
        <v>0.1538</v>
      </c>
      <c r="H2100" t="inlineStr">
        <is>
          <t>This code defines a Java package called `org.apache.storm.pacemaker.codec` that provides a way to encode and decode data used in Apache Storm's pacemaker component. It includes several classes and methods that implement the encoding and decoding logic using the HBMessage class from the Apache Storm generated library. The package also includes documentation and comments explaining its</t>
        </is>
      </c>
      <c r="I2100" t="n">
        <v>0.004</v>
      </c>
      <c r="J2100" t="n">
        <v>0.1176</v>
      </c>
      <c r="K2100" t="n">
        <v>0.1575</v>
      </c>
      <c r="L2100" t="inlineStr">
        <is>
          <t>This Java package `org.apache.storm.pacemaker.codec` provides a class named `PaceMakerCodec` that implements a codec for encoding and decoding heartbeat messages used in the Apache Storm project's pacemaker component. The codec takes a list of HBMessage objects as input and returns a byte array representing the encoded</t>
        </is>
      </c>
      <c r="M2100" t="n">
        <v>0.0054</v>
      </c>
      <c r="N2100" t="n">
        <v>0.1034</v>
      </c>
      <c r="O2100" t="n">
        <v>0.1709</v>
      </c>
    </row>
    <row r="2101">
      <c r="A2101" t="inlineStr">
        <is>
          <t>storm</t>
        </is>
      </c>
      <c r="B2101" t="inlineStr">
        <is>
          <t>storm-client/src/jvm/org/apache/storm/lambda/LambdaSpout.java</t>
        </is>
      </c>
      <c r="C2101">
        <f>HYPERLINK("https://github.com/apache/storm/blob/master/storm-client/src/jvm/org/apache/storm/lambda/LambdaSpout.java")</f>
        <v/>
      </c>
      <c r="D2101" t="inlineStr">
        <is>
          <t>This code appears to be a Java implementation of a spout class for Apache Storm, which is a real-time computation system. The spout class is responsible for reading data from a source, such as a database or a file, and emitting it as tuples to downstream bolts for processing. It also defines the output fields that will be emitted by the spout.</t>
        </is>
      </c>
      <c r="E2101" t="n">
        <v>0.0035</v>
      </c>
      <c r="F2101" t="n">
        <v>0.08450000000000001</v>
      </c>
      <c r="G2101" t="n">
        <v>0.1119</v>
      </c>
      <c r="H2101" t="inlineStr">
        <is>
          <t>This code appears to be a Java implementation of a Storm spout that reads data from a source and emits it as tuples. It uses the `SpoutOutputCollector` interface to emit tuples and the `TopologyContext` class to access contextual information about the topology. The code also defines some output fields using the `OutputFieldsDeclarer` interface. Overall</t>
        </is>
      </c>
      <c r="I2101" t="n">
        <v>0.004</v>
      </c>
      <c r="J2101" t="n">
        <v>0.0968</v>
      </c>
      <c r="K2101" t="n">
        <v>0.1587</v>
      </c>
      <c r="L2101" t="inlineStr">
        <is>
          <t>The provided code defines a Storm spout that reads data from a Kafka topic and emits it as tuples. It uses the `KafkaSpout` class from the `storm-kafka` library to connect to the Kafka cluster and retrieve messages. The spout's `nextTuple()` method polls the Kafka topic for new messages and emits them as</t>
        </is>
      </c>
      <c r="M2101" t="n">
        <v>0.0035</v>
      </c>
      <c r="N2101" t="n">
        <v>0.0323</v>
      </c>
      <c r="O2101" t="n">
        <v>0.0806</v>
      </c>
    </row>
    <row r="2102">
      <c r="A2102" t="inlineStr">
        <is>
          <t>storm</t>
        </is>
      </c>
      <c r="B2102" t="inlineStr">
        <is>
          <t>storm-client/src/jvm/org/apache/storm/lambda/SerializableCallable.java</t>
        </is>
      </c>
      <c r="C2102">
        <f>HYPERLINK("https://github.com/apache/storm/blob/master/storm-client/src/jvm/org/apache/storm/lambda/SerializableCallable.java")</f>
        <v/>
      </c>
      <c r="D2102" t="inlineStr">
        <is>
          <t>This code defines an interface called `SerializableCallable` that extends both `java.util.concurrent.Callable` and `java.io.Serializable`. It is used as a generic type parameter for lambda expressions in Storm's API.
The interface declares a single method named `call`, which returns an object of type `R`, and takes no arguments. It</t>
        </is>
      </c>
      <c r="E2102" t="n">
        <v>0.0046</v>
      </c>
      <c r="F2102" t="n">
        <v>0.06560000000000001</v>
      </c>
      <c r="G2102" t="n">
        <v>0.1261</v>
      </c>
      <c r="H2102" t="inlineStr">
        <is>
          <t>This code defines an interface called `SerializableCallable` that extends both `java.util.concurrent.Callable` and `java.io.Serializable`. It specifies that any class implementing this interface must be able to perform a task asynchronously using the `call()` method defined in `Callable`, while also being serializable so it can be sent over the network or</t>
        </is>
      </c>
      <c r="I2102" t="n">
        <v>0.0045</v>
      </c>
      <c r="J2102" t="n">
        <v>0.0645</v>
      </c>
      <c r="K2102" t="n">
        <v>0.1653</v>
      </c>
      <c r="L2102" t="inlineStr">
        <is>
          <t>This is an interface that defines a callable function that can be serialized and executed remotely. It is part of the Apache Storm project and provides a way to execute functions asynchronously using Java's `Future` API. The interface requires implementing classes to implement the `call()` method, which returns a value of type `R`. Additionally, the class must also implement the `</t>
        </is>
      </c>
      <c r="M2102" t="n">
        <v>0.0036</v>
      </c>
      <c r="N2102" t="n">
        <v>0.08699999999999999</v>
      </c>
      <c r="O2102" t="n">
        <v>0.1504</v>
      </c>
    </row>
    <row r="2103">
      <c r="A2103" t="inlineStr">
        <is>
          <t>storm</t>
        </is>
      </c>
      <c r="B2103" t="inlineStr">
        <is>
          <t>storm-client/src/jvm/org/apache/storm/lambda/LambdaConsumerBolt.java</t>
        </is>
      </c>
      <c r="C2103">
        <f>HYPERLINK("https://github.com/apache/storm/blob/master/storm-client/src/jvm/org/apache/storm/lambda/LambdaConsumerBolt.java")</f>
        <v/>
      </c>
      <c r="D2103" t="inlineStr">
        <is>
          <t>This code appears to be a Java implementation of a basic bolt that processes tuples from a Storm topology. It defines a class called `MyBolt` that extends `BaseBasicBolt`, which provides a skeleton implementation of the `execute()` method that can be overridden to process incoming tuples.
The `execute()` method takes two parameters: a `Tuple`</t>
        </is>
      </c>
      <c r="E2103" t="n">
        <v>0.0035</v>
      </c>
      <c r="F2103" t="n">
        <v>0.06560000000000001</v>
      </c>
      <c r="G2103" t="n">
        <v>0.08</v>
      </c>
      <c r="H2103" t="inlineStr">
        <is>
          <t>This code appears to be part of a Java project that uses the Apache Storm framework for real-time data processing. It defines a basic bolt that takes in input tuples from a spout component and emits output tuples to a sink component. The bolt's implementation is based on the Apache Storm API, which provides a set of classes and interfaces for building storm topologies.</t>
        </is>
      </c>
      <c r="I2103" t="n">
        <v>0.0034</v>
      </c>
      <c r="J2103" t="n">
        <v>0.08110000000000001</v>
      </c>
      <c r="K2103" t="n">
        <v>0.1471</v>
      </c>
      <c r="L2103" t="inlineStr">
        <is>
          <t>This Java code defines a custom bolt that processes incoming data streams using Apache Storm's lambda architecture. It extends the `BaseBasicBolt` class and overrides the `execute()` method to perform some computation on the input data. The output of the bolt is then emitted to the next component in the topology.
The code includes several comments that provide context about the project</t>
        </is>
      </c>
      <c r="M2103" t="n">
        <v>0.0036</v>
      </c>
      <c r="N2103" t="n">
        <v>0.0571</v>
      </c>
      <c r="O2103" t="n">
        <v>0.1128</v>
      </c>
    </row>
    <row r="2104">
      <c r="A2104" t="inlineStr">
        <is>
          <t>storm</t>
        </is>
      </c>
      <c r="B2104" t="inlineStr">
        <is>
          <t>storm-client/src/jvm/org/apache/storm/lambda/LambdaBiConsumerBolt.java</t>
        </is>
      </c>
      <c r="C2104">
        <f>HYPERLINK("https://github.com/apache/storm/blob/master/storm-client/src/jvm/org/apache/storm/lambda/LambdaBiConsumerBolt.java")</f>
        <v/>
      </c>
      <c r="D2104" t="inlineStr">
        <is>
          <t>This code defines a basic bolt that implements the `execute` method, which takes a tuple as input and returns a list of tuples as output. It also declares the fields that it emits using the `declareOutputFields` method. The bolt uses the `BasicOutputCollector` class to emit the output tuples. The code includes a comment block at the top</t>
        </is>
      </c>
      <c r="E2104" t="n">
        <v>0.0042</v>
      </c>
      <c r="F2104" t="n">
        <v>0.09229999999999999</v>
      </c>
      <c r="G2104" t="n">
        <v>0.155</v>
      </c>
      <c r="H2104" t="inlineStr">
        <is>
          <t>This code appears to be part of a Java project that uses the Apache Storm framework to implement a basic bolt component. The bolt component takes in input tuples from other bolts or spouts in the topology and performs some computation on them before emitting output tuples. The code includes comments indicating that it is licensed under the Apache License 2.0 and that it implements the</t>
        </is>
      </c>
      <c r="I2104" t="n">
        <v>0.0036</v>
      </c>
      <c r="J2104" t="n">
        <v>0.08</v>
      </c>
      <c r="K2104" t="n">
        <v>0.1449</v>
      </c>
      <c r="L2104" t="inlineStr">
        <is>
          <t>The provided code defines a Java class that extends `BaseBasicBolt` from the Apache Storm library. It implements a bolt that processes data streams using a lambda function. The bolt takes two input arguments - a `BasicOutputCollector` object and a `Tuple` object representing the incoming data stream. The lambda function defined in the `execute()` method performs some operation on the</t>
        </is>
      </c>
      <c r="M2104" t="n">
        <v>0.0037</v>
      </c>
      <c r="N2104" t="n">
        <v>0.09089999999999999</v>
      </c>
      <c r="O2104" t="n">
        <v>0.1145</v>
      </c>
    </row>
    <row r="2105">
      <c r="A2105" t="inlineStr">
        <is>
          <t>storm</t>
        </is>
      </c>
      <c r="B2105" t="inlineStr">
        <is>
          <t>storm-client/src/jvm/org/apache/storm/lambda/SerializableSupplier.java</t>
        </is>
      </c>
      <c r="C2105">
        <f>HYPERLINK("https://github.com/apache/storm/blob/master/storm-client/src/jvm/org/apache/storm/lambda/SerializableSupplier.java")</f>
        <v/>
      </c>
      <c r="D2105" t="inlineStr">
        <is>
          <t>This code defines an interface called `SerializableSupplier` that extends both `java.util.function.Supplier` and `java.io.Serializable`. It takes a type parameter `T`, which represents the type of object that will be supplied when the method `get()` is called.
The main purpose of this interface is to provide a way to create a supplier</t>
        </is>
      </c>
      <c r="E2105" t="n">
        <v>0.0044</v>
      </c>
      <c r="F2105" t="n">
        <v>0.09520000000000001</v>
      </c>
      <c r="G2105" t="n">
        <v>0.082</v>
      </c>
      <c r="H2105" t="inlineStr">
        <is>
          <t>This code defines an interface called `SerializableSupplier` that extends both `Supplier` and `Serializable`. It has no implementation but only declares methods that can be used to supply values of type `T`, which must also implement `Serializable`. The interface is defined in the package `org.apache.storm.lambda`.</t>
        </is>
      </c>
      <c r="I2105" t="n">
        <v>0.005</v>
      </c>
      <c r="J2105" t="n">
        <v>0.0727</v>
      </c>
      <c r="K2105" t="n">
        <v>0.1724</v>
      </c>
      <c r="L2105" t="inlineStr">
        <is>
          <t>The `SerializableSupplier` interface defines a supplier that can be serialized and deserialized using Java's built-in serialization mechanism. It extends the `java.util.function.Supplier` interface and adds the `Serializable` marker interface, making it suitable for use as a lambda expression in Storm.</t>
        </is>
      </c>
      <c r="M2105" t="n">
        <v>0.0047</v>
      </c>
      <c r="N2105" t="n">
        <v>0.0769</v>
      </c>
      <c r="O2105" t="n">
        <v>0.0901</v>
      </c>
    </row>
    <row r="2106">
      <c r="A2106" t="inlineStr">
        <is>
          <t>storm</t>
        </is>
      </c>
      <c r="B2106" t="inlineStr">
        <is>
          <t>storm-client/src/jvm/org/apache/storm/lambda/SerializableConsumer.java</t>
        </is>
      </c>
      <c r="C2106">
        <f>HYPERLINK("https://github.com/apache/storm/blob/master/storm-client/src/jvm/org/apache/storm/lambda/SerializableConsumer.java")</f>
        <v/>
      </c>
      <c r="D2106" t="inlineStr">
        <is>
          <t>This Java interface `SerializableConsumer` defines a functional interface that extends both `java.util.function.Consumer` and `java.io.Serializable`. It takes a single type parameter `T`, which represents the input argument type of the consumer function.
The main purpose of this interface is to provide a way to pass a serializable consumer function as a parameter to</t>
        </is>
      </c>
      <c r="E2106" t="n">
        <v>0.0042</v>
      </c>
      <c r="F2106" t="n">
        <v>0.09229999999999999</v>
      </c>
      <c r="G2106" t="n">
        <v>0.121</v>
      </c>
      <c r="H2106" t="inlineStr">
        <is>
          <t>This code defines a custom Java interface called `SerializableConsumer` that extends both `java.util.function.Consumer` and `java.io.Serializable`. It provides a way to pass a serializable consumer function as a parameter to various methods without having to worry about the underlying implementation details. The interface is defined in the `org.apache.storm.lambda`</t>
        </is>
      </c>
      <c r="I2106" t="n">
        <v>0.0046</v>
      </c>
      <c r="J2106" t="n">
        <v>0.09520000000000001</v>
      </c>
      <c r="K2106" t="n">
        <v>0.1681</v>
      </c>
      <c r="L2106" t="inlineStr">
        <is>
          <t>This code defines a custom serializable consumer interface that extends Java's built-in `Consumer` interface and adds serialization capabilities. It takes a generic type `T` as input and provides methods for consuming the data. The interface is marked as `Serializable`, which allows instances of the class to be serialized and deserialized using Java's built-in serialization</t>
        </is>
      </c>
      <c r="M2106" t="n">
        <v>0.004</v>
      </c>
      <c r="N2106" t="n">
        <v>0.0606</v>
      </c>
      <c r="O2106" t="n">
        <v>0.119</v>
      </c>
    </row>
    <row r="2107">
      <c r="A2107" t="inlineStr">
        <is>
          <t>storm</t>
        </is>
      </c>
      <c r="B2107" t="inlineStr">
        <is>
          <t>storm-client/src/jvm/org/apache/storm/lambda/SerializableBiConsumer.java</t>
        </is>
      </c>
      <c r="C2107">
        <f>HYPERLINK("https://github.com/apache/storm/blob/master/storm-client/src/jvm/org/apache/storm/lambda/SerializableBiConsumer.java")</f>
        <v/>
      </c>
      <c r="D2107" t="inlineStr">
        <is>
          <t>This code defines a serializable version of the `java.util.function.BiConsumer` interface, which allows for passing a lambda function as a parameter that takes two arguments and returns no value. It implements the `Serializable` interface so that it can be used across different JVMs and processes.</t>
        </is>
      </c>
      <c r="E2107" t="n">
        <v>0.0055</v>
      </c>
      <c r="F2107" t="n">
        <v>0.1091</v>
      </c>
      <c r="G2107" t="n">
        <v>0.1724</v>
      </c>
      <c r="H2107" t="inlineStr">
        <is>
          <t>This code defines an interface called `SerializableBiConsumer` that extends the Java `BiConsumer` interface and adds serialization capabilities. It takes two type parameters, `T` and `U`, which represent the types of the input values that will be consumed by the consumer. The interface declares a single method `accept`, which consumes two arguments of type `T`</t>
        </is>
      </c>
      <c r="I2107" t="n">
        <v>0.004</v>
      </c>
      <c r="J2107" t="n">
        <v>0.0645</v>
      </c>
      <c r="K2107" t="n">
        <v>0.0794</v>
      </c>
      <c r="L2107" t="inlineStr">
        <is>
          <t>This code defines a custom interface called `SerializableBiConsumer` that extends Java's built-in `BiConsumer` interface. It adds the requirement that any implementing class must also implement the `Serializable` interface, which allows instances of the class to be serialized and deserialized across different JVMs. The interface declares two type parameters, `T` and `</t>
        </is>
      </c>
      <c r="M2107" t="n">
        <v>0.0043</v>
      </c>
      <c r="N2107" t="n">
        <v>0.1</v>
      </c>
      <c r="O2107" t="n">
        <v>0.122</v>
      </c>
    </row>
    <row r="2108">
      <c r="A2108" t="inlineStr">
        <is>
          <t>storm</t>
        </is>
      </c>
      <c r="B2108" t="inlineStr">
        <is>
          <t>storm-client/src/jvm/org/apache/storm/state/StateProvider.java</t>
        </is>
      </c>
      <c r="C2108">
        <f>HYPERLINK("https://github.com/apache/storm/blob/master/storm-client/src/jvm/org/apache/storm/state/StateProvider.java")</f>
        <v/>
      </c>
      <c r="D2108" t="inlineStr">
        <is>
          <t>This code defines an interface called `StateProvider` that provides methods for creating new state instances using the `StateFactory`. It also includes some boilerplate code related to licensing and copyrights.</t>
        </is>
      </c>
      <c r="E2108" t="n">
        <v>0.0077</v>
      </c>
      <c r="F2108" t="n">
        <v>0.1081</v>
      </c>
      <c r="G2108" t="n">
        <v>0.1485</v>
      </c>
      <c r="H2108" t="inlineStr">
        <is>
          <t>This code defines an interface called `StateProvider` that provides methods for creating new state instances using the `StateFactory`. It includes documentation about the Apache License version 2.0 and the Apache Software Foundation's (ASF) copyright notice.</t>
        </is>
      </c>
      <c r="I2108" t="n">
        <v>0.0063</v>
      </c>
      <c r="J2108" t="n">
        <v>0.08890000000000001</v>
      </c>
      <c r="K2108" t="n">
        <v>0.1869</v>
      </c>
      <c r="L2108" t="inlineStr">
        <is>
          <t>**Apache Storm**'s `StateProvider` interface defines a method that creates a new instance of a state object based on the input parameters passed to it. It is used by the `StateFactory` class to create state objects for various tasks within a topology. The implementation of this interface can be found in the `org.apache.storm.state` package.</t>
        </is>
      </c>
      <c r="M2108" t="n">
        <v>0</v>
      </c>
      <c r="N2108" t="n">
        <v>0.0308</v>
      </c>
      <c r="O2108" t="n">
        <v>0.12</v>
      </c>
    </row>
    <row r="2109">
      <c r="A2109" t="inlineStr">
        <is>
          <t>storm</t>
        </is>
      </c>
      <c r="B2109" t="inlineStr">
        <is>
          <t>storm-client/src/jvm/org/apache/storm/state/State.java</t>
        </is>
      </c>
      <c r="C2109">
        <f>HYPERLINK("https://github.com/apache/storm/blob/master/storm-client/src/jvm/org/apache/storm/state/State.java")</f>
        <v/>
      </c>
      <c r="D2109" t="inlineStr">
        <is>
          <t>This code defines a class called `State` that represents the state of a Storm topology component. It implements the `IStatefulBolt` interface, which allows the component to manage its own state. The class has several methods that allow it to save and load its state, as well as perform other operations related to managing its state.</t>
        </is>
      </c>
      <c r="E2109" t="n">
        <v>0.0044</v>
      </c>
      <c r="F2109" t="n">
        <v>0.09520000000000001</v>
      </c>
      <c r="G2109" t="n">
        <v>0.1181</v>
      </c>
      <c r="H2109" t="inlineStr">
        <is>
          <t>This code defines a Java class named `State` that implements the `IStatefulBolt` interface from the Apache Storm library. It provides the ability to manage the state of a storm topology's components. The class has a single method named `getState()` that returns the current state of the component as a byte array. Additionally, it includes a comment block at the beginning of the</t>
        </is>
      </c>
      <c r="I2109" t="n">
        <v>0.0035</v>
      </c>
      <c r="J2109" t="n">
        <v>0.0563</v>
      </c>
      <c r="K2109" t="n">
        <v>0.0746</v>
      </c>
      <c r="L2109" t="inlineStr">
        <is>
          <t>This Java class implements the `IStatefulBolt` interface from the Apache Storm library. It provides the state management functionality for a Storm topology. The class is responsible for managing the state of a component within a Storm topology, which can be either managed by the framework or managed by the user through custom implementations.</t>
        </is>
      </c>
      <c r="M2109" t="n">
        <v>0.0045</v>
      </c>
      <c r="N2109" t="n">
        <v>0.0984</v>
      </c>
      <c r="O2109" t="n">
        <v>0.12</v>
      </c>
    </row>
    <row r="2110">
      <c r="A2110" t="inlineStr">
        <is>
          <t>storm</t>
        </is>
      </c>
      <c r="B2110" t="inlineStr">
        <is>
          <t>storm-client/src/jvm/org/apache/storm/state/StateEncoder.java</t>
        </is>
      </c>
      <c r="C2110">
        <f>HYPERLINK("https://github.com/apache/storm/blob/master/storm-client/src/jvm/org/apache/storm/state/StateEncoder.java")</f>
        <v/>
      </c>
      <c r="D2110" t="inlineStr">
        <is>
          <t>This code defines an interface called `StateEncoder` that encodes keys and values in Storm stateful topologies. It has two generic parameters, `K` and `V`, which represent the types of the key and value respectively. The interface defines three methods:
* `encodeKey`: takes a key of type `K` as input and returns its encoded form of type `</t>
        </is>
      </c>
      <c r="E2110" t="n">
        <v>0.0038</v>
      </c>
      <c r="F2110" t="n">
        <v>0.0635</v>
      </c>
      <c r="G2110" t="n">
        <v>0.0775</v>
      </c>
      <c r="H2110" t="inlineStr">
        <is>
          <t>This code defines an interface called `StateEncoder` that has four methods:
* `encodeKey`: takes a key of type `K` and returns its encoded form as a key of type `KENCODEDT`.
* `decodeKey`: takes a key of type `KENCODEDT` and returns its decoded form as a key of type `K`.</t>
        </is>
      </c>
      <c r="I2110" t="n">
        <v>0.0045</v>
      </c>
      <c r="J2110" t="n">
        <v>0.0727</v>
      </c>
      <c r="K2110" t="n">
        <v>0.08260000000000001</v>
      </c>
      <c r="L2110" t="inlineStr">
        <is>
          <t>This code defines an interface called `StateEncoder` that provides methods for encoding keys and values used in Storm's state management system. It specifies two generic types, `K` and `V`, which represent the original key and value types, respectively. The encoded versions of these types, represented by `KENCODEDT` and `VENCODEDT`, are also specified as</t>
        </is>
      </c>
      <c r="M2110" t="n">
        <v>0.0041</v>
      </c>
      <c r="N2110" t="n">
        <v>0.0645</v>
      </c>
      <c r="O2110" t="n">
        <v>0.12</v>
      </c>
    </row>
    <row r="2111">
      <c r="A2111" t="inlineStr">
        <is>
          <t>storm</t>
        </is>
      </c>
      <c r="B2111" t="inlineStr">
        <is>
          <t>storm-client/src/jvm/org/apache/storm/state/DefaultStateSerializer.java</t>
        </is>
      </c>
      <c r="C2111">
        <f>HYPERLINK("https://github.com/apache/storm/blob/master/storm-client/src/jvm/org/apache/storm/state/DefaultStateSerializer.java")</f>
        <v/>
      </c>
      <c r="D2111" t="inlineStr">
        <is>
          <t>This Java code implements a state machine using the Esoteric Software's Kryo library for serialization and deserialization. It provides a simple API for creating and managing states, as well as transitions between them. The code also includes a README file that describes the purpose of the project and its complexity.</t>
        </is>
      </c>
      <c r="E2111" t="n">
        <v>0.0048</v>
      </c>
      <c r="F2111" t="n">
        <v>0.1017</v>
      </c>
      <c r="G2111" t="n">
        <v>0.1639</v>
      </c>
      <c r="H2111" t="inlineStr">
        <is>
          <t>This code defines a class called `State` that implements the `Serializable` interface from the `com.esotericsoftware.kryo.io` package. It has a single method called `serialize()` which takes an object as input and serializes it using the Kryo library. The `deserialize()` method deserializes an object from the given byte array</t>
        </is>
      </c>
      <c r="I2111" t="n">
        <v>0.0051</v>
      </c>
      <c r="J2111" t="n">
        <v>0.1034</v>
      </c>
      <c r="K2111" t="n">
        <v>0.1681</v>
      </c>
      <c r="L2111" t="inlineStr">
        <is>
          <t>The provided code implements a serialization mechanism using the Kryo library. It provides methods for serializing and deserializing objects, as well as a custom instantiation strategy that allows for efficient object creation during deserialization. The code also includes comments and documentation to help explain its purpose and usage.</t>
        </is>
      </c>
      <c r="M2111" t="n">
        <v>0.0045</v>
      </c>
      <c r="N2111" t="n">
        <v>0.07140000000000001</v>
      </c>
      <c r="O2111" t="n">
        <v>0.125</v>
      </c>
    </row>
    <row r="2112">
      <c r="A2112" t="inlineStr">
        <is>
          <t>storm</t>
        </is>
      </c>
      <c r="B2112" t="inlineStr">
        <is>
          <t>storm-client/src/jvm/org/apache/storm/state/ISynchronizeOutputCollector.java</t>
        </is>
      </c>
      <c r="C2112">
        <f>HYPERLINK("https://github.com/apache/storm/blob/master/storm-client/src/jvm/org/apache/storm/state/ISynchronizeOutputCollector.java")</f>
        <v/>
      </c>
      <c r="D2112" t="inlineStr">
        <is>
          <t>This code defines an interface called `ISynchronizeOutputCollector` that provides a method named `add()` which takes three arguments: `streamId`, `id`, and `tuple`. It also imports the `java.util.List` class.</t>
        </is>
      </c>
      <c r="E2112" t="n">
        <v>0.0083</v>
      </c>
      <c r="F2112" t="n">
        <v>0.1081</v>
      </c>
      <c r="G2112" t="n">
        <v>0.101</v>
      </c>
      <c r="H2112" t="inlineStr">
        <is>
          <t>This code defines an interface called `ISynchronizeOutputCollector` that has a single method `add`. It takes three parameters: `streamId`, which is an integer representing the ID of the stream being added, `id`, which can be any object type, and `tuple`, which is a list of objects. The method adds the given tuple to the specified stream with the given ID</t>
        </is>
      </c>
      <c r="I2112" t="n">
        <v>0.0037</v>
      </c>
      <c r="J2112" t="n">
        <v>0.0597</v>
      </c>
      <c r="K2112" t="n">
        <v>0.07630000000000001</v>
      </c>
      <c r="L2112" t="inlineStr">
        <is>
          <t>This code defines an interface named `ISynchronizeOutputCollector` that provides a method called `add()` which takes three arguments: `streamId`, `id`, and `tuple`. The method adds a new output tuple to a specified stream with a given ID. The interface is used in Storm's state management system to synchronize data between different tasks.</t>
        </is>
      </c>
      <c r="M2112" t="n">
        <v>0.0043</v>
      </c>
      <c r="N2112" t="n">
        <v>0.0667</v>
      </c>
      <c r="O2112" t="n">
        <v>0.122</v>
      </c>
    </row>
    <row r="2113">
      <c r="A2113" t="inlineStr">
        <is>
          <t>storm</t>
        </is>
      </c>
      <c r="B2113" t="inlineStr">
        <is>
          <t>storm-client/src/jvm/org/apache/storm/state/SynchronizeOutputCollector.java</t>
        </is>
      </c>
      <c r="C2113">
        <f>HYPERLINK("https://github.com/apache/storm/blob/master/storm-client/src/jvm/org/apache/storm/state/SynchronizeOutputCollector.java")</f>
        <v/>
      </c>
      <c r="D2113" t="inlineStr">
        <is>
          <t>This code defines a custom implementation of the `ISynchronizeOutputCollector` interface that allows for synchronizing output streams across multiple tasks within a Storm topology. It provides a simple API for adding tuples to a list of output streams, where each tuple consists of an ID and a list of objects. The implementation uses a locking mechanism to ensure that only one task can write to the output</t>
        </is>
      </c>
      <c r="E2113" t="n">
        <v>0.0033</v>
      </c>
      <c r="F2113" t="n">
        <v>0.08110000000000001</v>
      </c>
      <c r="G2113" t="n">
        <v>0.1449</v>
      </c>
      <c r="H2113" t="inlineStr">
        <is>
          <t>This code defines a Java interface called `ISynchronizeOutputCollector` that provides methods for synchronizing output data from multiple streams. It also includes a `SynchronizeOutputCollector` class that implements the interface and provides an implementation of the necessary methods.
The `add` method takes three parameters: the ID of the stream being added, the ID of the tuple being added</t>
        </is>
      </c>
      <c r="I2113" t="n">
        <v>0.0043</v>
      </c>
      <c r="J2113" t="n">
        <v>0.09379999999999999</v>
      </c>
      <c r="K2113" t="n">
        <v>0.1172</v>
      </c>
      <c r="L2113" t="inlineStr">
        <is>
          <t>This Java class `SynchronizeOutputCollector` implements the interface `ISynchronizeOutputCollector`. It takes a list of objects as input and adds them to a synchronized output collector. The class is used in Apache Storm's state management system to ensure that data is written consistently across different nodes in a cluster.</t>
        </is>
      </c>
      <c r="M2113" t="n">
        <v>0.0051</v>
      </c>
      <c r="N2113" t="n">
        <v>0.1071</v>
      </c>
      <c r="O2113" t="n">
        <v>0.1681</v>
      </c>
    </row>
    <row r="2114">
      <c r="A2114" t="inlineStr">
        <is>
          <t>storm</t>
        </is>
      </c>
      <c r="B2114" t="inlineStr">
        <is>
          <t>storm-client/src/jvm/org/apache/storm/state/Serializer.java</t>
        </is>
      </c>
      <c r="C2114">
        <f>HYPERLINK("https://github.com/apache/storm/blob/master/storm-client/src/jvm/org/apache/storm/state/Serializer.java")</f>
        <v/>
      </c>
      <c r="D2114" t="inlineStr">
        <is>
          <t>This code defines an interface called `Serializer` that provides methods for serializing and deserializing data. It takes a type parameter `T`, which represents the type of object being serialized and deserialized. The interface defines two methods: `serialize` and `deserialize`.
The `serialize` method takes an object of type `T` as input and returns</t>
        </is>
      </c>
      <c r="E2114" t="n">
        <v>0.0042</v>
      </c>
      <c r="F2114" t="n">
        <v>0.0667</v>
      </c>
      <c r="G2114" t="n">
        <v>0.0806</v>
      </c>
      <c r="H2114" t="inlineStr">
        <is>
          <t>This code defines an interface called `Serializer` that has one method, `serialize`, which takes an object of type `T` as input and returns its serialized form as a byte array. It also implements the `java.io.Serializable` interface, which allows it to be used as a serializable Java class. The `Serializer` interface is intended to be used for serial</t>
        </is>
      </c>
      <c r="I2114" t="n">
        <v>0.0042</v>
      </c>
      <c r="J2114" t="n">
        <v>0.0597</v>
      </c>
      <c r="K2114" t="n">
        <v>0.155</v>
      </c>
      <c r="L2114" t="inlineStr">
        <is>
          <t>The `Serializer` interface defines methods for serializing and deserializing objects of type `T`. It is used in the Apache Storm project for storing and retrieving state data.</t>
        </is>
      </c>
      <c r="M2114" t="n">
        <v>0.007</v>
      </c>
      <c r="N2114" t="n">
        <v>0.0571</v>
      </c>
      <c r="O2114" t="n">
        <v>0.101</v>
      </c>
    </row>
    <row r="2115">
      <c r="A2115" t="inlineStr">
        <is>
          <t>storm</t>
        </is>
      </c>
      <c r="B2115" t="inlineStr">
        <is>
          <t>storm-client/src/jvm/org/apache/storm/state/BaseStateIterator.java</t>
        </is>
      </c>
      <c r="C2115">
        <f>HYPERLINK("https://github.com/apache/storm/blob/master/storm-client/src/jvm/org/apache/storm/state/BaseStateIterator.java")</f>
        <v/>
      </c>
      <c r="D2115" t="inlineStr">
        <is>
          <t>This Java code implements a custom map data structure that stores key-value pairs. It extends the `AbstractMap` class and overrides several methods to provide its own implementation of the map's behavior.
The main features of the code include:
* A constructor that takes a capacity parameter, which determines how many elements can be stored in the map before it needs to resize</t>
        </is>
      </c>
      <c r="E2115" t="n">
        <v>0.0039</v>
      </c>
      <c r="F2115" t="n">
        <v>0.08450000000000001</v>
      </c>
      <c r="G2115" t="n">
        <v>0.1493</v>
      </c>
      <c r="H2115" t="inlineStr">
        <is>
          <t>This is Java code that implements a generic map data structure using a trie as its underlying storage mechanism. It provides methods for adding, removing, and retrieving key-value pairs from the map, as well as iterating over the keys and values in the map. The code also includes documentation and comments describing the purpose and usage of the code.</t>
        </is>
      </c>
      <c r="I2115" t="n">
        <v>0.0041</v>
      </c>
      <c r="J2115" t="n">
        <v>0.0882</v>
      </c>
      <c r="K2115" t="n">
        <v>0.1527</v>
      </c>
      <c r="L2115" t="inlineStr">
        <is>
          <t>The provided code defines a custom implementation of a Map interface called `State` that stores key-value pairs in memory. It uses a HashMap as the underlying data structure to store the state. The class provides methods to get, put, remove, and iterate over the stored values. Additionally, it includes support for serialization and deserialization using Java's built-in Serializable interface.</t>
        </is>
      </c>
      <c r="M2115" t="n">
        <v>0.0031</v>
      </c>
      <c r="N2115" t="n">
        <v>0.0571</v>
      </c>
      <c r="O2115" t="n">
        <v>0.1145</v>
      </c>
    </row>
    <row r="2116">
      <c r="A2116" t="inlineStr">
        <is>
          <t>storm</t>
        </is>
      </c>
      <c r="B2116" t="inlineStr">
        <is>
          <t>storm-client/src/jvm/org/apache/storm/state/ISubscribedState.java</t>
        </is>
      </c>
      <c r="C2116">
        <f>HYPERLINK("https://github.com/apache/storm/blob/master/storm-client/src/jvm/org/apache/storm/state/ISubscribedState.java")</f>
        <v/>
      </c>
      <c r="D2116" t="inlineStr">
        <is>
          <t>This code defines an interface called `ISubscribedState` that provides methods for setting and removing state values based on a unique identifier. It also includes a comment block that specifies the Apache License version 2.0 and a notice about copyright ownership. The interface itself consists of two methods: `set()` and `remove()`. These methods take an object as their first argument, which</t>
        </is>
      </c>
      <c r="E2116" t="n">
        <v>0.0036</v>
      </c>
      <c r="F2116" t="n">
        <v>0.058</v>
      </c>
      <c r="G2116" t="n">
        <v>0.07580000000000001</v>
      </c>
      <c r="H2116" t="inlineStr">
        <is>
          <t>This code defines an interface called `ISubscribedState` that provides methods for setting and removing state data based on an ID. It also includes a comment block at the top of the file that describes the purpose of the code and the license it's released under.</t>
        </is>
      </c>
      <c r="I2116" t="n">
        <v>0.0049</v>
      </c>
      <c r="J2116" t="n">
        <v>0.0741</v>
      </c>
      <c r="K2116" t="n">
        <v>0.08550000000000001</v>
      </c>
      <c r="L2116" t="inlineStr">
        <is>
          <t>This code defines an interface called `ISubscribedState` that provides methods for setting and removing values from a state store. It appears to be used as a data structure for storing tuples based on their ID, allowing them to be retrieved later. The interface includes two methods: `set`, which takes an object ID and a tuple as input and stores the tuple in the state store associated</t>
        </is>
      </c>
      <c r="M2116" t="n">
        <v>0.0033</v>
      </c>
      <c r="N2116" t="n">
        <v>0.0541</v>
      </c>
      <c r="O2116" t="n">
        <v>0.1087</v>
      </c>
    </row>
    <row r="2117">
      <c r="A2117" t="inlineStr">
        <is>
          <t>storm</t>
        </is>
      </c>
      <c r="B2117" t="inlineStr">
        <is>
          <t>storm-client/src/jvm/org/apache/storm/state/KeyValueState.java</t>
        </is>
      </c>
      <c r="C2117">
        <f>HYPERLINK("https://github.com/apache/storm/blob/master/storm-client/src/jvm/org/apache/storm/state/KeyValueState.java")</f>
        <v/>
      </c>
      <c r="D2117" t="inlineStr">
        <is>
          <t>This code defines an interface called `KeyValueState` which represents a state that can store key-value pairs. It extends the `State` interface and implements the `Iterable` interface, allowing it to be iterated over like any other collection. The `KeyValueState` interface provides methods for getting, setting, and removing values associated with keys, as well as retrieving all entries</t>
        </is>
      </c>
      <c r="E2117" t="n">
        <v>0.0043</v>
      </c>
      <c r="F2117" t="n">
        <v>0.09229999999999999</v>
      </c>
      <c r="G2117" t="n">
        <v>0.1172</v>
      </c>
      <c r="H2117" t="inlineStr">
        <is>
          <t>This code defines a Java interface named `KeyValueState` that represents a state that supports storing key-value pairs. It is part of the Apache Storm project's backend software components.
The interface declares several methods, including `get`, which retrieves a value from the state given its key, and `put`, which updates the value associated with a particular key. Other methods</t>
        </is>
      </c>
      <c r="I2117" t="n">
        <v>0.0041</v>
      </c>
      <c r="J2117" t="n">
        <v>0.0882</v>
      </c>
      <c r="K2117" t="n">
        <v>0.1538</v>
      </c>
      <c r="L2117" t="inlineStr">
        <is>
          <t>This code defines a custom `KeyValueState` class that inherits from the Java `State` interface and provides a way to store key-value pairs. It includes several methods for interacting with the stored data, such as `put`, `get`, and `remove`. Additionally, it includes a comment block at the top that specifies the license and copyright information for the code.</t>
        </is>
      </c>
      <c r="M2117" t="n">
        <v>0.0038</v>
      </c>
      <c r="N2117" t="n">
        <v>0.0606</v>
      </c>
      <c r="O2117" t="n">
        <v>0.0775</v>
      </c>
    </row>
    <row r="2118">
      <c r="A2118" t="inlineStr">
        <is>
          <t>storm</t>
        </is>
      </c>
      <c r="B2118" t="inlineStr">
        <is>
          <t>storm-client/src/jvm/org/apache/storm/state/StateSpoutOutputCollector.java</t>
        </is>
      </c>
      <c r="C2118">
        <f>HYPERLINK("https://github.com/apache/storm/blob/master/storm-client/src/jvm/org/apache/storm/state/StateSpoutOutputCollector.java")</f>
        <v/>
      </c>
      <c r="D2118" t="inlineStr">
        <is>
          <t>This code defines a custom implementation of the `IStateSpoutOutputCollector` interface called `StateSpoutOutputCollector`. It overrides the `remove()` method from its parent class `SynchronizedOutputCollector`, which allows it to remove tuples from Storm's internal state. The `remove()` method takes two parameters: `streamId` and `id`, which</t>
        </is>
      </c>
      <c r="E2118" t="n">
        <v>0.0052</v>
      </c>
      <c r="F2118" t="n">
        <v>0.1176</v>
      </c>
      <c r="G2118" t="n">
        <v>0.1316</v>
      </c>
      <c r="H2118" t="inlineStr">
        <is>
          <t>This code defines a custom implementation of the `IStateSpoutOutputCollector` interface from Apache Storm's stateful spouts API. It provides a synchronized output collector that can be used to emit tuples from a stateful spout.
The `remove()` method takes two parameters: `streamId`, which specifies the ID of the stream to which the tuple</t>
        </is>
      </c>
      <c r="I2118" t="n">
        <v>0.0036</v>
      </c>
      <c r="J2118" t="n">
        <v>0.0667</v>
      </c>
      <c r="K2118" t="n">
        <v>0.122</v>
      </c>
      <c r="L2118" t="inlineStr">
        <is>
          <t>The `StateSpoutOutputCollector` class is part of the Apache Storm project's state management system. It provides a way to manage output streams from spouts in a Storm topology. The class inherits from `SynchronizeOutputCollector`, which is responsible for managing the synchronization of output streams across multiple tasks. Additionally, it implements the `IStateSpoutOutput</t>
        </is>
      </c>
      <c r="M2118" t="n">
        <v>0.0037</v>
      </c>
      <c r="N2118" t="n">
        <v>0.0339</v>
      </c>
      <c r="O2118" t="n">
        <v>0.082</v>
      </c>
    </row>
    <row r="2119">
      <c r="A2119" t="inlineStr">
        <is>
          <t>storm</t>
        </is>
      </c>
      <c r="B2119" t="inlineStr">
        <is>
          <t>storm-client/src/jvm/org/apache/storm/state/IStateSpoutOutputCollector.java</t>
        </is>
      </c>
      <c r="C2119">
        <f>HYPERLINK("https://github.com/apache/storm/blob/master/storm-client/src/jvm/org/apache/storm/state/IStateSpoutOutputCollector.java")</f>
        <v/>
      </c>
      <c r="D2119" t="inlineStr">
        <is>
          <t>This code defines an interface called `IStateSpoutOutputCollector` that extends `ISynchronizeOutputCollector`. It provides methods for removing tuples from the output collector based on their ID and stream ID. The complexity of the code is O(N), where N is the number of tuples being removed. The comments provide information about the implementation of core algorithms and the initial</t>
        </is>
      </c>
      <c r="E2119" t="n">
        <v>0.0043</v>
      </c>
      <c r="F2119" t="n">
        <v>0.1231</v>
      </c>
      <c r="G2119" t="n">
        <v>0.1563</v>
      </c>
      <c r="H2119" t="inlineStr">
        <is>
          <t>This Java interface named `IStateSpoutOutputCollector` defines a method called `remove()` that takes two parameters: an integer representing the ID of the stream, and an object representing the state value to be removed from the spout's output collector. It also implements the `ISynchronizeOutputCollector` interface, which provides synchronization methods for managing the output collect</t>
        </is>
      </c>
      <c r="I2119" t="n">
        <v>0.0046</v>
      </c>
      <c r="J2119" t="n">
        <v>0.06560000000000001</v>
      </c>
      <c r="K2119" t="n">
        <v>0.121</v>
      </c>
      <c r="L2119" t="inlineStr">
        <is>
          <t>The `IStateSpoutOutputCollector` interface provides a way to manage state in Storm spouts. It inherits from `ISynchronizeOutputCollector`, which allows for synchronizing output streams across multiple tasks. Additionally, it includes a method called `remove` that takes two parameters: `streamId` and `id`. This method removes any tuples associated with the given ID</t>
        </is>
      </c>
      <c r="M2119" t="n">
        <v>0.0045</v>
      </c>
      <c r="N2119" t="n">
        <v>0.0351</v>
      </c>
      <c r="O2119" t="n">
        <v>0.08260000000000001</v>
      </c>
    </row>
    <row r="2120">
      <c r="A2120" t="inlineStr">
        <is>
          <t>storm</t>
        </is>
      </c>
      <c r="B2120" t="inlineStr">
        <is>
          <t>storm-client/src/jvm/org/apache/storm/state/InMemoryKeyValueStateProvider.java</t>
        </is>
      </c>
      <c r="C2120">
        <f>HYPERLINK("https://github.com/apache/storm/blob/master/storm-client/src/jvm/org/apache/storm/state/InMemoryKeyValueStateProvider.java")</f>
        <v/>
      </c>
      <c r="D2120" t="inlineStr">
        <is>
          <t>This code defines a class called `InMemoryKeyValueState` that provides a key-value store implementation based on Java's `ConcurrentHashMap`. It also includes a `TopologyContext` object to provide contextual information about the running topology.
The `InMemoryKeyValueState` class has two main methods: `put()` and `get()`. The `put()` method</t>
        </is>
      </c>
      <c r="E2120" t="n">
        <v>0.005</v>
      </c>
      <c r="F2120" t="n">
        <v>0.1111</v>
      </c>
      <c r="G2120" t="n">
        <v>0.1724</v>
      </c>
      <c r="H2120" t="inlineStr">
        <is>
          <t>This code defines a Java class called `I` that implements the `InMemoryKeyValueState` interface. It provides a way to store key-value pairs in memory using a concurrent hash map. The class has a constructor that takes a `TopologyContext` object as input, which it uses to get access to the task's configuration and other metadata. The class also has a method</t>
        </is>
      </c>
      <c r="I2120" t="n">
        <v>0.0041</v>
      </c>
      <c r="J2120" t="n">
        <v>0.08699999999999999</v>
      </c>
      <c r="K2120" t="n">
        <v>0.1527</v>
      </c>
      <c r="L2120" t="inlineStr">
        <is>
          <t>This Java code defines a class called `InMemoryKeyValueState` that provides a way to store and retrieve data based on keys. It uses a concurrent hash map to store the data and implements the `I` interface. The class takes a topology context as input during initialization and uses this context to get the task ID and component ID. The class also has a method called `put` that</t>
        </is>
      </c>
      <c r="M2120" t="n">
        <v>0.0036</v>
      </c>
      <c r="N2120" t="n">
        <v>0.08110000000000001</v>
      </c>
      <c r="O2120" t="n">
        <v>0.1449</v>
      </c>
    </row>
    <row r="2121">
      <c r="A2121" t="inlineStr">
        <is>
          <t>storm</t>
        </is>
      </c>
      <c r="B2121" t="inlineStr">
        <is>
          <t>storm-client/src/jvm/org/apache/storm/state/InMemoryKeyValueState.java</t>
        </is>
      </c>
      <c r="C2121">
        <f>HYPERLINK("https://github.com/apache/storm/blob/master/storm-client/src/jvm/org/apache/storm/state/InMemoryKeyValueState.java")</f>
        <v/>
      </c>
      <c r="D2121" t="inlineStr">
        <is>
          <t>This code defines an implementation of a stateful service that stores data in memory using a `ConcurrentHashMap`. It provides methods for storing, retrieving, and deleting key-value pairs, as well as iterating over all stored values. The class also includes logging statements using SLF4J.</t>
        </is>
      </c>
      <c r="E2121" t="n">
        <v>0.0051</v>
      </c>
      <c r="F2121" t="n">
        <v>0.1154</v>
      </c>
      <c r="G2121" t="n">
        <v>0.1739</v>
      </c>
      <c r="H2121" t="inlineStr">
        <is>
          <t>This is a Java package named `org.apache.storm.state` that provides an implementation of an in-memory state machine. It uses a concurrent hash map (`java.util.concurrent.ConcurrentHashMap`) as its underlying data structure to store key-value pairs. The class `StateMachine` implements the interface `IStateMachine`, which defines the methods used to interact with</t>
        </is>
      </c>
      <c r="I2121" t="n">
        <v>0.0046</v>
      </c>
      <c r="J2121" t="n">
        <v>0.0635</v>
      </c>
      <c r="K2121" t="n">
        <v>0.1261</v>
      </c>
      <c r="L2121" t="inlineStr">
        <is>
          <t>This class implements an in-memory state storage system for Apache Storm. It uses a concurrent hash map to store data and provides methods for storing, retrieving, and deleting data. The class also includes logging capabilities using SLF4J.</t>
        </is>
      </c>
      <c r="M2121" t="n">
        <v>0.0066</v>
      </c>
      <c r="N2121" t="n">
        <v>0.1304</v>
      </c>
      <c r="O2121" t="n">
        <v>0.1835</v>
      </c>
    </row>
    <row r="2122">
      <c r="A2122" t="inlineStr">
        <is>
          <t>storm</t>
        </is>
      </c>
      <c r="B2122" t="inlineStr">
        <is>
          <t>storm-client/src/jvm/org/apache/storm/state/DefaultStateEncoder.java</t>
        </is>
      </c>
      <c r="C2122">
        <f>HYPERLINK("https://github.com/apache/storm/blob/master/storm-client/src/jvm/org/apache/storm/state/DefaultStateEncoder.java")</f>
        <v/>
      </c>
      <c r="D2122" t="inlineStr">
        <is>
          <t>The code defines a default implementation of a state encoder for Storm, which is used to encode and decode key-value pairs in the state store. It uses Java's `Optional` type to represent the possibility that a key or value may be missing or null. The `encode` method takes a key and value as input and returns a byte array representing the encoded pair, while the `</t>
        </is>
      </c>
      <c r="E2122" t="n">
        <v>0.0028</v>
      </c>
      <c r="F2122" t="n">
        <v>0.0533</v>
      </c>
      <c r="G2122" t="n">
        <v>0.1087</v>
      </c>
      <c r="H2122" t="inlineStr">
        <is>
          <t>This Java package `org.apache.storm.state` provides a default implementation of a state encoder that can be used to encode and decode key-value pairs. It uses byte arrays as the underlying data type for keys and values, and it supports optional compression using GZIP. The package also includes documentation and comments detailing its usage and implementation.</t>
        </is>
      </c>
      <c r="I2122" t="n">
        <v>0.004</v>
      </c>
      <c r="J2122" t="n">
        <v>0.09089999999999999</v>
      </c>
      <c r="K2122" t="n">
        <v>0.1587</v>
      </c>
      <c r="L2122" t="inlineStr">
        <is>
          <t>This Java class implements a default state encoder for Storm, which is used to encode and decode key-value pairs. It takes two byte arrays as input, representing the key and value, respectively, and returns an Optional containing the encoded bytes. The class uses a simple implementation of core algorithms to achieve this.</t>
        </is>
      </c>
      <c r="M2122" t="n">
        <v>0.005</v>
      </c>
      <c r="N2122" t="n">
        <v>0.0984</v>
      </c>
      <c r="O2122" t="n">
        <v>0.2016</v>
      </c>
    </row>
    <row r="2123">
      <c r="A2123" t="inlineStr">
        <is>
          <t>storm</t>
        </is>
      </c>
      <c r="B2123" t="inlineStr">
        <is>
          <t>storm-client/src/jvm/org/apache/storm/state/StateFactory.java</t>
        </is>
      </c>
      <c r="C2123">
        <f>HYPERLINK("https://github.com/apache/storm/blob/master/storm-client/src/jvm/org/apache/storm/state/StateFactory.java")</f>
        <v/>
      </c>
      <c r="D2123" t="inlineStr">
        <is>
          <t>This code is part of the Apache Storm project, which is a distributed real-time computation system. It appears to be a Java class that implements a factory for creating instances of a `State` interface, which represents a stateful component in the system. The class takes a topology context object as input and uses it to determine how many instances of the `State` interface should be created based on</t>
        </is>
      </c>
      <c r="E2123" t="n">
        <v>0.0035</v>
      </c>
      <c r="F2123" t="n">
        <v>0.0779</v>
      </c>
      <c r="G2123" t="n">
        <v>0.1429</v>
      </c>
      <c r="H2123" t="inlineStr">
        <is>
          <t>This code defines a class called `StateFactory` that provides a way to create instances of various stateful objects. It takes a `Map` object as input and returns an instance of a subclass of `State` based on the type of state specified in the map. The class also has a static method called `create` that creates an instance of `StateFactory`.
The code also</t>
        </is>
      </c>
      <c r="I2123" t="n">
        <v>0.0035</v>
      </c>
      <c r="J2123" t="n">
        <v>0.0571</v>
      </c>
      <c r="K2123" t="n">
        <v>0.0746</v>
      </c>
      <c r="L2123" t="inlineStr">
        <is>
          <t>The provided code defines a class called `StateFactory` that creates instances of `State` objects based on the given configuration and topology context. It uses the `Config` object from Storm's API to determine which type of state implementation should be used, and then instantiates the appropriate subclass of `State`.
The `State` interface provides a set of methods for managing the state</t>
        </is>
      </c>
      <c r="M2123" t="n">
        <v>0.003</v>
      </c>
      <c r="N2123" t="n">
        <v>0.058</v>
      </c>
      <c r="O2123" t="n">
        <v>0.1136</v>
      </c>
    </row>
    <row r="2124">
      <c r="A2124" t="inlineStr">
        <is>
          <t>storm</t>
        </is>
      </c>
      <c r="B2124" t="inlineStr">
        <is>
          <t>storm-client/src/jvm/org/apache/storm/state/IStateSpout.java</t>
        </is>
      </c>
      <c r="C2124">
        <f>HYPERLINK("https://github.com/apache/storm/blob/master/storm-client/src/jvm/org/apache/storm/state/IStateSpout.java")</f>
        <v/>
      </c>
      <c r="D2124" t="inlineStr">
        <is>
          <t>This code defines an interface called `IStateSpout` that represents a stateful spout component in Apache Storm. It declares methods for opening and closing the spout, as well as methods for initializing and deinitializing the spout's internal state. Additionally, it imports necessary packages such as `java.io`, `java.util`, and `org.apache.</t>
        </is>
      </c>
      <c r="E2124" t="n">
        <v>0.0045</v>
      </c>
      <c r="F2124" t="n">
        <v>0.0667</v>
      </c>
      <c r="G2124" t="n">
        <v>0.0833</v>
      </c>
      <c r="H2124" t="inlineStr">
        <is>
          <t>This code defines an interface called `IStateSpout` that represents a spout component used in Apache Storm. It takes a map of strings to objects as input during initialization and returns nothing. The implementation of this interface is responsible for opening the state spout, which involves setting up any necessary resources and preparing it for processing tuples.</t>
        </is>
      </c>
      <c r="I2124" t="n">
        <v>0.0039</v>
      </c>
      <c r="J2124" t="n">
        <v>0.09379999999999999</v>
      </c>
      <c r="K2124" t="n">
        <v>0.1563</v>
      </c>
      <c r="L2124" t="inlineStr">
        <is>
          <t>The `IStateSpout` interface defines a state spout that can be used to manage stateful data in Storm topologies. It provides methods for opening and closing the spout, as well as methods for managing the state of the spout. The interface is marked as serializable, which means that it can be transmitted over the network and stored in memory or disk. The</t>
        </is>
      </c>
      <c r="M2124" t="n">
        <v>0.003</v>
      </c>
      <c r="N2124" t="n">
        <v>0.029</v>
      </c>
      <c r="O2124" t="n">
        <v>0.0752</v>
      </c>
    </row>
    <row r="2125">
      <c r="A2125" t="inlineStr">
        <is>
          <t>storm</t>
        </is>
      </c>
      <c r="B2125" t="inlineStr">
        <is>
          <t>storm-client/src/jvm/org/apache/storm/state/BaseBinaryStateIterator.java</t>
        </is>
      </c>
      <c r="C2125">
        <f>HYPERLINK("https://github.com/apache/storm/blob/master/storm-client/src/jvm/org/apache/storm/state/BaseBinaryStateIterator.java")</f>
        <v/>
      </c>
      <c r="D2125" t="inlineStr">
        <is>
          <t>This Java package `org.apache.storm.state` provides an implementation of a state machine that can be used to manage complex workflows. It includes several classes and interfaces that define the behavior of the state machine, as well as some utility methods for working with states.
The main class in this package is `StateMachine`, which represents a state machine and provides methods for man</t>
        </is>
      </c>
      <c r="E2125" t="n">
        <v>0.0036</v>
      </c>
      <c r="F2125" t="n">
        <v>0.0833</v>
      </c>
      <c r="G2125" t="n">
        <v>0.1504</v>
      </c>
      <c r="H2125" t="inlineStr">
        <is>
          <t>This code appears to be part of an open source project called Storm. It defines a class called `State` that implements a state machine using a finite state transducer (FST). The FST is implemented as a tree data structure where each node represents a state and its children represent possible next states based on input symbols. The class also provides methods for adding new states, removing states,</t>
        </is>
      </c>
      <c r="I2125" t="n">
        <v>0.0036</v>
      </c>
      <c r="J2125" t="n">
        <v>0.08</v>
      </c>
      <c r="K2125" t="n">
        <v>0.1439</v>
      </c>
      <c r="L2125" t="inlineStr">
        <is>
          <t>This Java class implements a stateful iterator that iterates over a collection of objects and provides access to their keys and values. It uses a TreeSet data structure to store the keys and values, and it provides methods to add, remove, and iterate over the elements in the set. The class also includes comments describing its purpose and how it works, as well as a license notice from the Apache</t>
        </is>
      </c>
      <c r="M2125" t="n">
        <v>0.0034</v>
      </c>
      <c r="N2125" t="n">
        <v>0.0769</v>
      </c>
      <c r="O2125" t="n">
        <v>0.1408</v>
      </c>
    </row>
    <row r="2126">
      <c r="A2126" t="inlineStr">
        <is>
          <t>storm</t>
        </is>
      </c>
      <c r="B2126" t="inlineStr">
        <is>
          <t>storm-client/src/jvm/org/apache/storm/spout/SpoutOutputCollector.java</t>
        </is>
      </c>
      <c r="C2126">
        <f>HYPERLINK("https://github.com/apache/storm/blob/master/storm-client/src/jvm/org/apache/storm/spout/SpoutOutputCollector.java")</f>
        <v/>
      </c>
      <c r="D2126" t="inlineStr">
        <is>
          <t>This code defines a custom implementation of the `OutputCollector` interface provided by Apache Storm. It provides methods for emitting tuples to downstream bolts and spouts, as well as other utility functions such as `ack`, `fail`, and `reportError`. The class also implements the `AutoCloseable` interface, which allows it to be used in try-with-resources</t>
        </is>
      </c>
      <c r="E2126" t="n">
        <v>0.0046</v>
      </c>
      <c r="F2126" t="n">
        <v>0.129</v>
      </c>
      <c r="G2126" t="n">
        <v>0.1613</v>
      </c>
      <c r="H2126" t="inlineStr">
        <is>
          <t>This is a Java implementation of an Output Collector class for Apache Storm. It provides methods for emitting tuples to downstream bolts or spouts. The class has a constructor that takes an instance of the OutputCollector interface as an argument, which it uses to emit tuples. It also defines several other methods for managing tuple emission, such as `emitDirect` and `</t>
        </is>
      </c>
      <c r="I2126" t="n">
        <v>0.0036</v>
      </c>
      <c r="J2126" t="n">
        <v>0.0882</v>
      </c>
      <c r="K2126" t="n">
        <v>0.1504</v>
      </c>
      <c r="L2126" t="inlineStr">
        <is>
          <t>This class implements the `OutputCollector` interface from Apache Storm's `org.apache.storm.task` package. It provides methods for emitting tuples from a spout component. The class has two constructors, one that takes an instance of `OutputCollector` as an argument and another that takes an instance of `OutputCollector` and a list of strings</t>
        </is>
      </c>
      <c r="M2126" t="n">
        <v>0.0049</v>
      </c>
      <c r="N2126" t="n">
        <v>0.0984</v>
      </c>
      <c r="O2126" t="n">
        <v>0.124</v>
      </c>
    </row>
    <row r="2127">
      <c r="A2127" t="inlineStr">
        <is>
          <t>storm</t>
        </is>
      </c>
      <c r="B2127" t="inlineStr">
        <is>
          <t>storm-client/src/jvm/org/apache/storm/spout/ISchemableSpout.java</t>
        </is>
      </c>
      <c r="C2127">
        <f>HYPERLINK("https://github.com/apache/storm/blob/master/storm-client/src/jvm/org/apache/storm/spout/ISchemableSpout.java")</f>
        <v/>
      </c>
      <c r="D2127" t="inlineStr">
        <is>
          <t>This code defines an interface called `ISchemableSpout` that provides methods for retrieving and setting a `Scheme`. A `Scheme` is an object that specifies how data should be processed and transformed within a spout. The `getScheme()` method returns the current `Scheme`, while the `setScheme()` method sets a new `Scheme`.</t>
        </is>
      </c>
      <c r="E2127" t="n">
        <v>0.0045</v>
      </c>
      <c r="F2127" t="n">
        <v>0.07140000000000001</v>
      </c>
      <c r="G2127" t="n">
        <v>0.0833</v>
      </c>
      <c r="H2127" t="inlineStr">
        <is>
          <t>This code defines an interface called `ISchemableSpout` that provides methods for getting and setting a `Scheme`. A `Scheme` is an object that represents a way of mapping input data to output tuples. An implementation of this interface would need to provide a method for returning a `Scheme` object based on some criteria, such as the type of data being processed or</t>
        </is>
      </c>
      <c r="I2127" t="n">
        <v>0.0036</v>
      </c>
      <c r="J2127" t="n">
        <v>0.058</v>
      </c>
      <c r="K2127" t="n">
        <v>0.1504</v>
      </c>
      <c r="L2127" t="inlineStr">
        <is>
          <t>Interface ISchemableSpout defines a spout that can be used to specify a scheme for data processing. It includes methods for getting and setting the scheme object, which represents the way data will be processed.</t>
        </is>
      </c>
      <c r="M2127" t="n">
        <v>0.0055</v>
      </c>
      <c r="N2127" t="n">
        <v>0.0476</v>
      </c>
      <c r="O2127" t="n">
        <v>0.09429999999999999</v>
      </c>
    </row>
    <row r="2128">
      <c r="A2128" t="inlineStr">
        <is>
          <t>storm</t>
        </is>
      </c>
      <c r="B2128" t="inlineStr">
        <is>
          <t>storm-client/src/jvm/org/apache/storm/spout/MultiScheme.java</t>
        </is>
      </c>
      <c r="C2128">
        <f>HYPERLINK("https://github.com/apache/storm/blob/master/storm-client/src/jvm/org/apache/storm/spout/MultiScheme.java")</f>
        <v/>
      </c>
      <c r="D2128" t="inlineStr">
        <is>
          <t>This is a Java interface named `MultiScheme` that defines methods for deserializing data from a byte array into tuples. It implements the `Serializable` interface, which allows it to be serialized and sent over the network.
The `deserialize()` method takes a `ByteBuffer` object as input and returns a list of tuples, where each tuple is</t>
        </is>
      </c>
      <c r="E2128" t="n">
        <v>0.0045</v>
      </c>
      <c r="F2128" t="n">
        <v>0.0968</v>
      </c>
      <c r="G2128" t="n">
        <v>0.119</v>
      </c>
      <c r="H2128" t="inlineStr">
        <is>
          <t>This code defines an interface called `MultiScheme` that represents a data processing scheme used in Apache Storm. It specifies methods for reading data from various sources and converting it into tuples that can be processed by Storm's topology. The interface also includes documentation about the Apache License 2.0 and the organization responsible for maintaining the code.</t>
        </is>
      </c>
      <c r="I2128" t="n">
        <v>0.0039</v>
      </c>
      <c r="J2128" t="n">
        <v>0.0606</v>
      </c>
      <c r="K2128" t="n">
        <v>0.1172</v>
      </c>
      <c r="L2128" t="inlineStr">
        <is>
          <t>The `MultiScheme` interface defines a way to deserialize data from multiple sources into tuples that can be processed by Storm spouts. It provides methods for extracting fields from raw data and converting them into tuples. The interface is used by spouts to define how they should handle different types of data streams.</t>
        </is>
      </c>
      <c r="M2128" t="n">
        <v>0.0035</v>
      </c>
      <c r="N2128" t="n">
        <v>0.0333</v>
      </c>
      <c r="O2128" t="n">
        <v>0.0806</v>
      </c>
    </row>
    <row r="2129">
      <c r="A2129" t="inlineStr">
        <is>
          <t>storm</t>
        </is>
      </c>
      <c r="B2129" t="inlineStr">
        <is>
          <t>storm-client/src/jvm/org/apache/storm/spout/ShellSpout.java</t>
        </is>
      </c>
      <c r="C2129">
        <f>HYPERLINK("https://github.com/apache/storm/blob/master/storm-client/src/jvm/org/apache/storm/spout/ShellSpout.java")</f>
        <v/>
      </c>
      <c r="D2129" t="inlineStr">
        <is>
          <t>This code appears to be a Java implementation of a spout for Apache Storm, which is a real-time processing system. It defines a class named `Spout` that implements the `IRichSpout` interface from Storm's API. The spout is responsible for reading data from a source, such as a database or a message queue, and emitting tuples (a tuple</t>
        </is>
      </c>
      <c r="E2129" t="n">
        <v>0.0042</v>
      </c>
      <c r="F2129" t="n">
        <v>0.0896</v>
      </c>
      <c r="G2129" t="n">
        <v>0.1163</v>
      </c>
      <c r="H2129" t="inlineStr">
        <is>
          <t>This code appears to be part of a Java project that implements a spout component for Apache Storm, which is a real-time processing system. The code defines a class called `Spout` that extends the `BaseRichSpout` abstract class from the `org.apache.storm.topology` package.
The `Spout` class has several methods that define its</t>
        </is>
      </c>
      <c r="I2129" t="n">
        <v>0.0044</v>
      </c>
      <c r="J2129" t="n">
        <v>0.0645</v>
      </c>
      <c r="K2129" t="n">
        <v>0.123</v>
      </c>
      <c r="L2129" t="inlineStr">
        <is>
          <t>This code implements a spout component that reads data from a queue and emits tuples as output. It uses the Java Timer class to schedule tasks that poll the queue and emit tuples when new data becomes available. The code also includes comments describing the implementation of core algorithms and the purpose of the spout component.</t>
        </is>
      </c>
      <c r="M2129" t="n">
        <v>0.0046</v>
      </c>
      <c r="N2129" t="n">
        <v>0.125</v>
      </c>
      <c r="O2129" t="n">
        <v>0.1953</v>
      </c>
    </row>
    <row r="2130">
      <c r="A2130" t="inlineStr">
        <is>
          <t>storm</t>
        </is>
      </c>
      <c r="B2130" t="inlineStr">
        <is>
          <t>storm-client/src/jvm/org/apache/storm/spout/RawScheme.java</t>
        </is>
      </c>
      <c r="C2130">
        <f>HYPERLINK("https://github.com/apache/storm/blob/master/storm-client/src/jvm/org/apache/storm/spout/RawScheme.java")</f>
        <v/>
      </c>
      <c r="D2130" t="inlineStr">
        <is>
          <t>This code defines a `RawScheme` class that implements the `Scheme` interface from the Storm spout API. It provides a way to parse raw data into tuples using the `nextTuple()` method. The `nextTuple()` method takes a list of input streams as arguments and returns a tuple containing the parsed data. The parsing logic is implemented in the `parse()`</t>
        </is>
      </c>
      <c r="E2130" t="n">
        <v>0.0042</v>
      </c>
      <c r="F2130" t="n">
        <v>0.1231</v>
      </c>
      <c r="G2130" t="n">
        <v>0.155</v>
      </c>
      <c r="H2130" t="inlineStr">
        <is>
          <t>This code defines a Java implementation of the `RawScheme` interface from the Apache Storm project. It provides a way to deserialize raw data into tuples that can be processed by Storm's topology. The `RawScheme` interface requires implementing the `deserialize()` method, which takes a byte array as input and returns a list of tuples. In this case, the</t>
        </is>
      </c>
      <c r="I2130" t="n">
        <v>0.0038</v>
      </c>
      <c r="J2130" t="n">
        <v>0.09089999999999999</v>
      </c>
      <c r="K2130" t="n">
        <v>0.1163</v>
      </c>
      <c r="L2130" t="inlineStr">
        <is>
          <t>The provided code defines a `RawScheme` implementation that is used to deserialize raw data into tuples. It extends the `Scheme` interface and provides two methods: `getOutputFields()` and `deserialize()`.
The `getOutputFields()` method returns a list of fields that represent the output tuple schema.
The `deserialize()` method takes a</t>
        </is>
      </c>
      <c r="M2130" t="n">
        <v>0.0039</v>
      </c>
      <c r="N2130" t="n">
        <v>0.0727</v>
      </c>
      <c r="O2130" t="n">
        <v>0.1261</v>
      </c>
    </row>
    <row r="2131">
      <c r="A2131" t="inlineStr">
        <is>
          <t>storm</t>
        </is>
      </c>
      <c r="B2131" t="inlineStr">
        <is>
          <t>storm-client/src/jvm/org/apache/storm/spout/IMultiSchemableSpout.java</t>
        </is>
      </c>
      <c r="C2131">
        <f>HYPERLINK("https://github.com/apache/storm/blob/master/storm-client/src/jvm/org/apache/storm/spout/IMultiSchemableSpout.java")</f>
        <v/>
      </c>
      <c r="D2131" t="inlineStr">
        <is>
          <t>This code defines an interface called `IMultiSchemableSpout` that extends the `Spout` interface from the Storm library. It provides two methods: `getScheme()` and `setScheme()`. The `getScheme()` method returns a `MultiScheme`, which is a class that represents a multi-scheme spout. The `setScheme()` method</t>
        </is>
      </c>
      <c r="E2131" t="n">
        <v>0.0054</v>
      </c>
      <c r="F2131" t="n">
        <v>0.08</v>
      </c>
      <c r="G2131" t="n">
        <v>0.0885</v>
      </c>
      <c r="H2131" t="inlineStr">
        <is>
          <t>This repository contains Java source code for implementing a spout that can handle multiple schemes using the Apache Storm framework. The `IMultiSchemableSpout` interface defines a single method, `getScheme()`, which returns the current scheme being used by the spout, and another method, `setScheme()`, which sets the new scheme to be used by the spout. The implementation</t>
        </is>
      </c>
      <c r="I2131" t="n">
        <v>0.004</v>
      </c>
      <c r="J2131" t="n">
        <v>0.09520000000000001</v>
      </c>
      <c r="K2131" t="n">
        <v>0.1575</v>
      </c>
      <c r="L2131" t="inlineStr">
        <is>
          <t>This code defines an interface called `IMultiSchemableSpout` that represents a spout that can be configured with multiple schemes. It provides two methods: `getScheme()` which returns the current scheme being used, and `setScheme()` which sets the scheme to be used.</t>
        </is>
      </c>
      <c r="M2131" t="n">
        <v>0.0056</v>
      </c>
      <c r="N2131" t="n">
        <v>0.0851</v>
      </c>
      <c r="O2131" t="n">
        <v>0.0901</v>
      </c>
    </row>
    <row r="2132">
      <c r="A2132" t="inlineStr">
        <is>
          <t>storm</t>
        </is>
      </c>
      <c r="B2132" t="inlineStr">
        <is>
          <t>storm-client/src/jvm/org/apache/storm/spout/ISpoutOutputCollector.java</t>
        </is>
      </c>
      <c r="C2132">
        <f>HYPERLINK("https://github.com/apache/storm/blob/master/storm-client/src/jvm/org/apache/storm/spout/ISpoutOutputCollector.java")</f>
        <v/>
      </c>
      <c r="D2132" t="inlineStr">
        <is>
          <t>This code defines a Java class named `Spout` that implements the interface `IErrorReporter`. It has two methods: `reportError()` and `close()`.
The `reportError()` method takes a list of errors as input and reports them using the `IErrorReporter` interface. The implementation of this method is not shown in the code snippet provided.
The</t>
        </is>
      </c>
      <c r="E2132" t="n">
        <v>0.0047</v>
      </c>
      <c r="F2132" t="n">
        <v>0.1017</v>
      </c>
      <c r="G2132" t="n">
        <v>0.1626</v>
      </c>
      <c r="H2132" t="inlineStr">
        <is>
          <t>This code defines a Java class called `Spout` that implements the `IErrorReporter` interface from the Apache Storm project. It is designed to handle errors in a distributed computing environment using the Spout framework.
The class has several methods, including `report`, which takes a list of error messages as input and reports them to the relevant authorities. The method also has a comment</t>
        </is>
      </c>
      <c r="I2132" t="n">
        <v>0.0039</v>
      </c>
      <c r="J2132" t="n">
        <v>0.0857</v>
      </c>
      <c r="K2132" t="n">
        <v>0.1493</v>
      </c>
      <c r="L2132" t="inlineStr">
        <is>
          <t>This class implements a spout that reads data from a list of strings and emits them as tuples. It uses the `IErrorReporter` interface to report errors during tuple processing. The class is not thread-safe, meaning each thread should have its own instance of this class.</t>
        </is>
      </c>
      <c r="M2132" t="n">
        <v>0.0054</v>
      </c>
      <c r="N2132" t="n">
        <v>0.1111</v>
      </c>
      <c r="O2132" t="n">
        <v>0.1709</v>
      </c>
    </row>
    <row r="2133">
      <c r="A2133" t="inlineStr">
        <is>
          <t>storm</t>
        </is>
      </c>
      <c r="B2133" t="inlineStr">
        <is>
          <t>storm-client/src/jvm/org/apache/storm/spout/RawMultiScheme.java</t>
        </is>
      </c>
      <c r="C2133">
        <f>HYPERLINK("https://github.com/apache/storm/blob/master/storm-client/src/jvm/org/apache/storm/spout/RawMultiScheme.java")</f>
        <v/>
      </c>
      <c r="D2133" t="inlineStr">
        <is>
          <t>This Java code defines a spout class named `MySpout` that extends the `BaseRichSpout` class from the Apache Storm library. It implements the `IRichSpout` interface, which provides methods for emitting tuples and managing state.
The `open()` method is called when the spout is initialized and sets up some internal variables. The `next</t>
        </is>
      </c>
      <c r="E2133" t="n">
        <v>0.0047</v>
      </c>
      <c r="F2133" t="n">
        <v>0.1017</v>
      </c>
      <c r="G2133" t="n">
        <v>0.122</v>
      </c>
      <c r="H2133" t="inlineStr">
        <is>
          <t>This code defines a spout class that extends the `BaseRichSpout` class from the Storm library. It overrides the `nextTuple()` method to emit tuples containing random integers between 1 and 100. The emitted tuples have three fields: `id`, `value`, and `timestamp`. The `id` field is a unique identifier for each tuple</t>
        </is>
      </c>
      <c r="I2133" t="n">
        <v>0.0044</v>
      </c>
      <c r="J2133" t="n">
        <v>0.06900000000000001</v>
      </c>
      <c r="K2133" t="n">
        <v>0.082</v>
      </c>
      <c r="L2133" t="inlineStr">
        <is>
          <t>This Java class implements a Storm spout that reads data from a Kafka topic and emits tuples containing the deserialized message payload as well as some metadata such as the partition number and offset. The spout uses the `KafkaConsumer` API to consume messages from the specified Kafka brokers and topics, and it processes each message using the `deserialize`</t>
        </is>
      </c>
      <c r="M2133" t="n">
        <v>0.0041</v>
      </c>
      <c r="N2133" t="n">
        <v>0.09089999999999999</v>
      </c>
      <c r="O2133" t="n">
        <v>0.1538</v>
      </c>
    </row>
    <row r="2134">
      <c r="A2134" t="inlineStr">
        <is>
          <t>storm</t>
        </is>
      </c>
      <c r="B2134" t="inlineStr">
        <is>
          <t>storm-client/src/jvm/org/apache/storm/spout/CheckpointSpout.java</t>
        </is>
      </c>
      <c r="C2134">
        <f>HYPERLINK("https://github.com/apache/storm/blob/master/storm-client/src/jvm/org/apache/storm/spout/CheckpointSpout.java")</f>
        <v/>
      </c>
      <c r="D2134" t="inlineStr">
        <is>
          <t>This is a Java implementation of a spout component for Apache Storm, which is a real-time processing system. The code defines a class named `CheckpointSpout` that extends the `Spout` interface and provides a way to checkpoint data from a source system to a target system.
The class has several methods, including `open`, `nextTuple`, `ack</t>
        </is>
      </c>
      <c r="E2134" t="n">
        <v>0.004</v>
      </c>
      <c r="F2134" t="n">
        <v>0.09520000000000001</v>
      </c>
      <c r="G2134" t="n">
        <v>0.119</v>
      </c>
      <c r="H2134" t="inlineStr">
        <is>
          <t>This code defines a spout component for Apache Storm, which is a real-time processing system. It imports several packages from other parts of the Apache Storm ecosystem, including CheckpointState, which manages checkpoints for spouts. The class itself implements the Spout interface and has three methods: nextTuple(), open(), and close().
The nextTuple() method</t>
        </is>
      </c>
      <c r="I2134" t="n">
        <v>0.0046</v>
      </c>
      <c r="J2134" t="n">
        <v>0.0984</v>
      </c>
      <c r="K2134" t="n">
        <v>0.1613</v>
      </c>
      <c r="L2134" t="inlineStr">
        <is>
          <t>This Java file defines a class named `Spout` that implements the `IRichSpout` interface from the Apache Storm library. It appears to be responsible for managing checkpoints during data processing.
The `Spout` class has several methods, including `open`, `close`, `activate`, `deactivate`, `nextTuple`, and `ack`. These</t>
        </is>
      </c>
      <c r="M2134" t="n">
        <v>0.0055</v>
      </c>
      <c r="N2134" t="n">
        <v>0.1154</v>
      </c>
      <c r="O2134" t="n">
        <v>0.1293</v>
      </c>
    </row>
    <row r="2135">
      <c r="A2135" t="inlineStr">
        <is>
          <t>storm</t>
        </is>
      </c>
      <c r="B2135" t="inlineStr">
        <is>
          <t>storm-client/src/jvm/org/apache/storm/spout/SchemeAsMultiScheme.java</t>
        </is>
      </c>
      <c r="C2135">
        <f>HYPERLINK("https://github.com/apache/storm/blob/master/storm-client/src/jvm/org/apache/storm/spout/SchemeAsMultiScheme.java")</f>
        <v/>
      </c>
      <c r="D2135" t="inlineStr">
        <is>
          <t>This code defines a `SchemeAsMultiScheme` class that extends the `MultiScheme` interface from Storm's spout API. It provides a way to convert a single scheme into a multi-scheme, which allows it to be used as part of a multi-stream topology.
The class has no instance variables, but it does have a constructor that takes a</t>
        </is>
      </c>
      <c r="E2135" t="n">
        <v>0.0034</v>
      </c>
      <c r="F2135" t="n">
        <v>0.0308</v>
      </c>
      <c r="G2135" t="n">
        <v>0.0794</v>
      </c>
      <c r="H2135" t="inlineStr">
        <is>
          <t>This code defines a custom implementation of the `MultiScheme` interface from the Apache Storm project. It allows users to specify multiple schemes that can be used to deserialize data from different streams. The `SchemeAsMultiScheme` class takes a list of schemes as input and returns a new scheme that applies all of them sequentially when deserializing data. Each scheme is applied to</t>
        </is>
      </c>
      <c r="I2135" t="n">
        <v>0.0036</v>
      </c>
      <c r="J2135" t="n">
        <v>0.08699999999999999</v>
      </c>
      <c r="K2135" t="n">
        <v>0.1504</v>
      </c>
      <c r="L2135" t="inlineStr">
        <is>
          <t>The provided Java code defines a custom implementation of the `MultiScheme` interface from the Apache Storm project. It provides a way to deserialize incoming data into multiple tuples based on a given scheme. The `SchemeAsMultiScheme` class takes a single argument, which is the scheme used to deserialize the data.
The `SchemeAsMultiScheme` class</t>
        </is>
      </c>
      <c r="M2135" t="n">
        <v>0</v>
      </c>
      <c r="N2135" t="n">
        <v>0.0333</v>
      </c>
      <c r="O2135" t="n">
        <v>0.0806</v>
      </c>
    </row>
    <row r="2136">
      <c r="A2136" t="inlineStr">
        <is>
          <t>storm</t>
        </is>
      </c>
      <c r="B2136" t="inlineStr">
        <is>
          <t>storm-client/src/jvm/org/apache/storm/spout/Scheme.java</t>
        </is>
      </c>
      <c r="C2136">
        <f>HYPERLINK("https://github.com/apache/storm/blob/master/storm-client/src/jvm/org/apache/storm/spout/Scheme.java")</f>
        <v/>
      </c>
      <c r="D2136" t="inlineStr">
        <is>
          <t>This code defines an interface called `Scheme` that represents a way to convert data from a source into tuples that can be processed by Storm spouts. It has two methods:
* `getOutputFields`: Returns a list of fields that will be emitted as output by the scheme.
* `deserialize`: Takes a byte buffer containing serialized data and returns</t>
        </is>
      </c>
      <c r="E2136" t="n">
        <v>0.0038</v>
      </c>
      <c r="F2136" t="n">
        <v>0.0635</v>
      </c>
      <c r="G2136" t="n">
        <v>0.0775</v>
      </c>
      <c r="H2136" t="inlineStr">
        <is>
          <t>This code defines an interface called `Scheme` that represents a way to convert data from some external source into tuples that can be processed by Storm spouts. It specifies a method called `deserialize` that takes a byte buffer as input and returns a list of objects representing the deserialized data. The class also implements the `Serializable` interface, which allows it to</t>
        </is>
      </c>
      <c r="I2136" t="n">
        <v>0.0039</v>
      </c>
      <c r="J2136" t="n">
        <v>0.058</v>
      </c>
      <c r="K2136" t="n">
        <v>0.1128</v>
      </c>
      <c r="L2136" t="inlineStr">
        <is>
          <t>The `Scheme` interface defines the contract for implementing a data serialization scheme in Storm. It provides methods for deserializing incoming messages from a spout into tuples that can be processed by bolts, as well as serializing outgoing tuples back into messages that can be sent to other spouts or bolts. The `Scheme` interface is used by the `Sp</t>
        </is>
      </c>
      <c r="M2136" t="n">
        <v>0</v>
      </c>
      <c r="N2136" t="n">
        <v>0.0303</v>
      </c>
      <c r="O2136" t="n">
        <v>0.0769</v>
      </c>
    </row>
    <row r="2137">
      <c r="A2137" t="inlineStr">
        <is>
          <t>storm</t>
        </is>
      </c>
      <c r="B2137" t="inlineStr">
        <is>
          <t>storm-client/src/jvm/org/apache/storm/spout/ISpout.java</t>
        </is>
      </c>
      <c r="C2137">
        <f>HYPERLINK("https://github.com/apache/storm/blob/master/storm-client/src/jvm/org/apache/storm/spout/ISpout.java")</f>
        <v/>
      </c>
      <c r="D2137" t="inlineStr">
        <is>
          <t>This code defines an interface called `ISpout` that represents a spout in Apache Storm. It includes methods for initializing the spout, declaring the fields it needs from the topology context, and emitting tuples. The class also implements the `Serializable` interface, which allows it to be serialized and sent across nodes in the cluster.</t>
        </is>
      </c>
      <c r="E2137" t="n">
        <v>0.0045</v>
      </c>
      <c r="F2137" t="n">
        <v>0.0984</v>
      </c>
      <c r="G2137" t="n">
        <v>0.12</v>
      </c>
      <c r="H2137" t="inlineStr">
        <is>
          <t>This code defines an interface called ISpout that represents a spout component in a Storm topology. It provides methods for initializing the spout, declaring output fields, and emitting tuples. Additionally, it includes documentation and comments explaining the purpose and usage of the class.</t>
        </is>
      </c>
      <c r="I2137" t="n">
        <v>0.0051</v>
      </c>
      <c r="J2137" t="n">
        <v>0.0784</v>
      </c>
      <c r="K2137" t="n">
        <v>0.08699999999999999</v>
      </c>
      <c r="L2137" t="inlineStr">
        <is>
          <t>The provided code defines a custom implementation of the `ISpout` interface from the Apache Storm project. It provides a basic structure for creating a spout that can be used as part of a larger topology. The spout's primary responsibility is to fetch data from an external system and emit tuples representing the retrieved data. Additionally, the class includes methods for initializing and shutting down</t>
        </is>
      </c>
      <c r="M2137" t="n">
        <v>0.0028</v>
      </c>
      <c r="N2137" t="n">
        <v>0.0548</v>
      </c>
      <c r="O2137" t="n">
        <v>0.1103</v>
      </c>
    </row>
    <row r="2138">
      <c r="A2138" t="inlineStr">
        <is>
          <t>storm</t>
        </is>
      </c>
      <c r="B2138" t="inlineStr">
        <is>
          <t>storm-client/src/jvm/org/apache/storm/spout/CheckPointState.java</t>
        </is>
      </c>
      <c r="C2138">
        <f>HYPERLINK("https://github.com/apache/storm/blob/master/storm-client/src/jvm/org/apache/storm/spout/CheckPointState.java")</f>
        <v/>
      </c>
      <c r="D2138" t="inlineStr">
        <is>
          <t>This code defines a class named `CheckPointState` that represents the state of a checkpoint operation in a Storm spout. It has three possible states: `COMMITTING`, `COMMITTED`, and `ROLLBACK`. The `CheckPointState` class also provides methods for checking whether a given state is equal to another state, and for converting between</t>
        </is>
      </c>
      <c r="E2138" t="n">
        <v>0.0045</v>
      </c>
      <c r="F2138" t="n">
        <v>0.0702</v>
      </c>
      <c r="G2138" t="n">
        <v>0.08260000000000001</v>
      </c>
      <c r="H2138" t="inlineStr">
        <is>
          <t>This code defines a Java package named `org.apache.storm.spout` that provides a spout implementation for Apache Storm. The package includes several classes, including `Spout`, which represents a spout instance, and `CheckPointState`, which maintains checkpoint state. The code also includes comments explaining the purpose of each class and method, as well as a notice about</t>
        </is>
      </c>
      <c r="I2138" t="n">
        <v>0.0041</v>
      </c>
      <c r="J2138" t="n">
        <v>0.09379999999999999</v>
      </c>
      <c r="K2138" t="n">
        <v>0.12</v>
      </c>
      <c r="L2138" t="inlineStr">
        <is>
          <t>The provided code defines a custom spout implementation for Apache Storm that allows for checkpointing and replaying messages during topology restarts. It uses the CheckPointState class to manage the state of the spout's message processing. The spout's main functionality includes handling incoming tuples, committing processed messages, and replaying uncommitted messages upon restart.</t>
        </is>
      </c>
      <c r="M2138" t="n">
        <v>0.0042</v>
      </c>
      <c r="N2138" t="n">
        <v>0.0968</v>
      </c>
      <c r="O2138" t="n">
        <v>0.121</v>
      </c>
    </row>
    <row r="2139">
      <c r="A2139" t="inlineStr">
        <is>
          <t>storm</t>
        </is>
      </c>
      <c r="B2139" t="inlineStr">
        <is>
          <t>storm-client/src/jvm/org/apache/storm/daemon/Task.java</t>
        </is>
      </c>
      <c r="C2139">
        <f>HYPERLINK("https://github.com/apache/storm/blob/master/storm-client/src/jvm/org/apache/storm/daemon/Task.java")</f>
        <v/>
      </c>
      <c r="D2139" t="inlineStr">
        <is>
          <t>This Java code defines a class called `Backend` that implements the `IBackend` interface from the `org.apache.storm.daemon` package. It has several methods that perform various operations related to backend processing, such as initializing, starting, stopping, and shutting down the backend system.
The `Backend` class takes a map of configuration options</t>
        </is>
      </c>
      <c r="E2139" t="n">
        <v>0.0049</v>
      </c>
      <c r="F2139" t="n">
        <v>0.1</v>
      </c>
      <c r="G2139" t="n">
        <v>0.1653</v>
      </c>
      <c r="H2139" t="inlineStr">
        <is>
          <t>This code implements a Java package called `org.apache.storm.daemon` that provides various classes and methods for implementing Storm's backend software components. The package includes several files, including a `README` file that describes the project and its purpose, as well as a `NOTICE` file that lists any third-party libraries used in the code.
The main</t>
        </is>
      </c>
      <c r="I2139" t="n">
        <v>0.0049</v>
      </c>
      <c r="J2139" t="n">
        <v>0.09089999999999999</v>
      </c>
      <c r="K2139" t="n">
        <v>0.2</v>
      </c>
      <c r="L2139" t="inlineStr">
        <is>
          <t>This code implements a Storm daemon that manages the execution of tasks within a Storm cluster. It uses Java's `ExecutorService` class to manage a pool of worker threads that execute tasks asynchronously. The code also includes various methods for handling task failures and coordinating the distribution of tasks across nodes in the cluster. Overall, this code appears to be responsible for implementing the</t>
        </is>
      </c>
      <c r="M2139" t="n">
        <v>0.0038</v>
      </c>
      <c r="N2139" t="n">
        <v>0.0833</v>
      </c>
      <c r="O2139" t="n">
        <v>0.1481</v>
      </c>
    </row>
    <row r="2140">
      <c r="A2140" t="inlineStr">
        <is>
          <t>storm</t>
        </is>
      </c>
      <c r="B2140" t="inlineStr">
        <is>
          <t>storm-client/src/jvm/org/apache/storm/daemon/Shutdownable.java</t>
        </is>
      </c>
      <c r="C2140">
        <f>HYPERLINK("https://github.com/apache/storm/blob/master/storm-client/src/jvm/org/apache/storm/daemon/Shutdownable.java")</f>
        <v/>
      </c>
      <c r="D2140" t="inlineStr">
        <is>
          <t>This code defines an interface called `Shutdownable` that has only one method called `shutdown()`. It is used as a marker interface to indicate that a class can be shut down gracefully when it is no longer needed.</t>
        </is>
      </c>
      <c r="E2140" t="n">
        <v>0.005</v>
      </c>
      <c r="F2140" t="n">
        <v>0.0444</v>
      </c>
      <c r="G2140" t="n">
        <v>0.0917</v>
      </c>
      <c r="H2140" t="inlineStr">
        <is>
          <t>This code defines an interface called `Shutdownable` that has a single method called `shutdown()`. It is part of the Apache Storm project's backend software components. The README file describes the purpose of the code as implementing core algorithms, and it notes that the complexity is O(N). There is also a comment block at the top of the file containing Apache License</t>
        </is>
      </c>
      <c r="I2140" t="n">
        <v>0.0042</v>
      </c>
      <c r="J2140" t="n">
        <v>0.1408</v>
      </c>
      <c r="K2140" t="n">
        <v>0.3206</v>
      </c>
      <c r="L2140" t="inlineStr">
        <is>
          <t>The provided code defines an interface called `Shutdownable` that has a single method named `shutdown()`. It appears to be related to the development of Storm, which is a real-time computation system. The interface is used to define objects that can be shut down or terminated gracefully.</t>
        </is>
      </c>
      <c r="M2140" t="n">
        <v>0</v>
      </c>
      <c r="N2140" t="n">
        <v>0</v>
      </c>
      <c r="O2140" t="n">
        <v>0.0424</v>
      </c>
    </row>
    <row r="2141">
      <c r="A2141" t="inlineStr">
        <is>
          <t>storm</t>
        </is>
      </c>
      <c r="B2141" t="inlineStr">
        <is>
          <t>storm-client/src/jvm/org/apache/storm/daemon/Acker.java</t>
        </is>
      </c>
      <c r="C2141">
        <f>HYPERLINK("https://github.com/apache/storm/blob/master/storm-client/src/jvm/org/apache/storm/daemon/Acker.java")</f>
        <v/>
      </c>
      <c r="D2141" t="inlineStr">
        <is>
          <t>This code appears to be part of a Java project that implements the backend logic for a Storm topology. It defines several classes, including `StormBolt`, which extends `IBolt` and provides an implementation of the `execute()` method, which processes incoming tuples from other bolts in the topology. The class also has a constructor that takes an instance of `OutputCollector` as</t>
        </is>
      </c>
      <c r="E2141" t="n">
        <v>0.0041</v>
      </c>
      <c r="F2141" t="n">
        <v>0.0896</v>
      </c>
      <c r="G2141" t="n">
        <v>0.1527</v>
      </c>
      <c r="H2141" t="inlineStr">
        <is>
          <t>This code appears to be part of a Java project that implements a Storm bolt component. It defines a class called `StormBolt` that extends the `IBolt` interface from the `org.apache.storm.task` package. The class takes a `Map` object as its constructor argument and has several instance variables defined within it.
The `StormB</t>
        </is>
      </c>
      <c r="I2141" t="n">
        <v>0.0047</v>
      </c>
      <c r="J2141" t="n">
        <v>0.0968</v>
      </c>
      <c r="K2141" t="n">
        <v>0.1626</v>
      </c>
      <c r="L2141" t="inlineStr">
        <is>
          <t>This Java class `org.apache.storm.daemon.Worker` is part of the Storm project, which is a distributed real-time computation system. It is responsible for running tasks as workers within a Storm cluster.
The class takes two parameters in its constructor: `topologyContext`, which represents the current topology being executed, and `outputCollector`, which is used</t>
        </is>
      </c>
      <c r="M2141" t="n">
        <v>0.0044</v>
      </c>
      <c r="N2141" t="n">
        <v>0.0635</v>
      </c>
      <c r="O2141" t="n">
        <v>0.123</v>
      </c>
    </row>
    <row r="2142">
      <c r="A2142" t="inlineStr">
        <is>
          <t>storm</t>
        </is>
      </c>
      <c r="B2142" t="inlineStr">
        <is>
          <t>storm-client/src/jvm/org/apache/storm/daemon/DaemonCommon.java</t>
        </is>
      </c>
      <c r="C2142">
        <f>HYPERLINK("https://github.com/apache/storm/blob/master/storm-client/src/jvm/org/apache/storm/daemon/DaemonCommon.java")</f>
        <v/>
      </c>
      <c r="D2142" t="inlineStr">
        <is>
          <t>This code defines an interface called `DaemonCommon` that has a single method called `isWaiting()`. It does not contain any implementation, but rather serves as a blueprint for other classes to implement. The purpose of this interface is likely to provide a common API for different daemons running within a Storm cluster.</t>
        </is>
      </c>
      <c r="E2142" t="n">
        <v>0.0036</v>
      </c>
      <c r="F2142" t="n">
        <v>0.0678</v>
      </c>
      <c r="G2142" t="n">
        <v>0.0813</v>
      </c>
      <c r="H2142" t="inlineStr">
        <is>
          <t>This code defines an interface called `DaemonCommon` that has a single method named `isWaiting`. It specifies that the method returns a boolean value indicating whether the daemon is waiting or not. The implementation of this interface is responsible for determining when the daemon should wait or continue running.</t>
        </is>
      </c>
      <c r="I2142" t="n">
        <v>0.0038</v>
      </c>
      <c r="J2142" t="n">
        <v>0.07140000000000001</v>
      </c>
      <c r="K2142" t="n">
        <v>0.0833</v>
      </c>
      <c r="L2142" t="inlineStr">
        <is>
          <t>The provided code defines an interface named `DaemonCommon` that provides a method called `isWaiting`. This method returns a boolean value indicating whether the daemon is waiting for some condition before continuing execution.</t>
        </is>
      </c>
      <c r="M2142" t="n">
        <v>0.0058</v>
      </c>
      <c r="N2142" t="n">
        <v>0.05</v>
      </c>
      <c r="O2142" t="n">
        <v>0.0481</v>
      </c>
    </row>
    <row r="2143">
      <c r="A2143" t="inlineStr">
        <is>
          <t>storm</t>
        </is>
      </c>
      <c r="B2143" t="inlineStr">
        <is>
          <t>storm-client/src/jvm/org/apache/storm/daemon/GrouperFactory.java</t>
        </is>
      </c>
      <c r="C2143">
        <f>HYPERLINK("https://github.com/apache/storm/blob/master/storm-client/src/jvm/org/apache/storm/daemon/GrouperFactory.java")</f>
        <v/>
      </c>
      <c r="D2143" t="inlineStr">
        <is>
          <t>This is a Java package named `org.apache.storm.daemon` that contains classes related to Storm's daemon process. It includes several files, including a README file that describes the purpose of the project, a LICENSE file that specifies the license under which it is released, and several source code files.
The main class in this package</t>
        </is>
      </c>
      <c r="E2143" t="n">
        <v>0.0041</v>
      </c>
      <c r="F2143" t="n">
        <v>0.0615</v>
      </c>
      <c r="G2143" t="n">
        <v>0.08</v>
      </c>
      <c r="H2143" t="inlineStr">
        <is>
          <t>This code appears to be part of a Java project that implements various algorithms used in the Apache Storm distributed computing system. It defines several classes and methods related to data processing and management, including a class called `TopologyContext` that provides access to contextual information about the running topology, such as the component's name and ID, the task IDs assigned to it, and the number of tasks</t>
        </is>
      </c>
      <c r="I2143" t="n">
        <v>0.0036</v>
      </c>
      <c r="J2143" t="n">
        <v>0.0789</v>
      </c>
      <c r="K2143" t="n">
        <v>0.1439</v>
      </c>
      <c r="L2143" t="inlineStr">
        <is>
          <t>This Java package `org.apache.storm.daemon` appears to be part of the Storm project, which is a distributed real-time computation system. It provides various classes and interfaces related to running Storm topologies, including the `StormTopologyContext` class that represents the execution environment for a topology.
The `StormTopologyContext` class has several methods</t>
        </is>
      </c>
      <c r="M2143" t="n">
        <v>0.0045</v>
      </c>
      <c r="N2143" t="n">
        <v>0.0667</v>
      </c>
      <c r="O2143" t="n">
        <v>0.125</v>
      </c>
    </row>
    <row r="2144">
      <c r="A2144" t="inlineStr">
        <is>
          <t>storm</t>
        </is>
      </c>
      <c r="B2144" t="inlineStr">
        <is>
          <t>storm-client/src/jvm/org/apache/storm/daemon/StormCommon.java</t>
        </is>
      </c>
      <c r="C2144">
        <f>HYPERLINK("https://github.com/apache/storm/blob/master/storm-client/src/jvm/org/apache/storm/daemon/StormCommon.java")</f>
        <v/>
      </c>
      <c r="D2144" t="inlineStr">
        <is>
          <t>This Java package `org.apache.storm.daemon` appears to contain the source code for a Storm daemon process, which is responsible for managing and executing tasks within a Storm cluster. The package includes several classes that implement various functionalities related to task management, such as scheduling, execution, and monitoring.
The main class in this package is `StormDa</t>
        </is>
      </c>
      <c r="E2144" t="n">
        <v>0.004</v>
      </c>
      <c r="F2144" t="n">
        <v>0.1231</v>
      </c>
      <c r="G2144" t="n">
        <v>0.1587</v>
      </c>
      <c r="H2144" t="inlineStr">
        <is>
          <t>This code appears to be part of a Java project that implements various algorithms used by Storm, a real-time computation system. The code defines several classes and methods related to data processing, including a `TopologyContext` class that provides access to information about the topology being executed, and a `SpoutOutputCollector` interface that allows spouts to emit tuples to other bolts.</t>
        </is>
      </c>
      <c r="I2144" t="n">
        <v>0.0041</v>
      </c>
      <c r="J2144" t="n">
        <v>0.0882</v>
      </c>
      <c r="K2144" t="n">
        <v>0.1527</v>
      </c>
      <c r="L2144" t="inlineStr">
        <is>
          <t>This Java class implements a Storm daemon that manages the lifecycle of topology workers. It performs various tasks such as starting, stopping, and monitoring worker processes, handling communication between workers and the Nimbus server, and providing a REST API for interacting with topologies.</t>
        </is>
      </c>
      <c r="M2144" t="n">
        <v>0.0056</v>
      </c>
      <c r="N2144" t="n">
        <v>0.1176</v>
      </c>
      <c r="O2144" t="n">
        <v>0.1304</v>
      </c>
    </row>
    <row r="2145">
      <c r="A2145" t="inlineStr">
        <is>
          <t>storm</t>
        </is>
      </c>
      <c r="B2145" t="inlineStr">
        <is>
          <t>storm-client/src/jvm/org/apache/storm/daemon/supervisor/IAdvancedFSOps.java</t>
        </is>
      </c>
      <c r="C2145">
        <f>HYPERLINK("https://github.com/apache/storm/blob/master/storm-client/src/jvm/org/apache/storm/daemon/supervisor/IAdvancedFSOps.java")</f>
        <v/>
      </c>
      <c r="D2145" t="inlineStr">
        <is>
          <t>This Java code appears to be part of an Apache Storm project, specifically the Supervisor component. It defines several classes and methods related to managing files and directories on disk.
The `Supervisor` class is responsible for monitoring and managing the state of worker processes running on the supervisor node. It does this by reading and writing data from and to local files and directories.</t>
        </is>
      </c>
      <c r="E2145" t="n">
        <v>0.0034</v>
      </c>
      <c r="F2145" t="n">
        <v>0.0556</v>
      </c>
      <c r="G2145" t="n">
        <v>0.1103</v>
      </c>
      <c r="H2145" t="inlineStr">
        <is>
          <t>This code implements a supervisor process that manages worker processes running on a cluster of machines. It uses Java NIO to interact with the file system and perform various operations such as reading and writing files, creating directories, and listing files in a directory. The code also includes comments explaining the purpose of each method and class, as well as a README file describing the overall project and its</t>
        </is>
      </c>
      <c r="I2145" t="n">
        <v>0.0035</v>
      </c>
      <c r="J2145" t="n">
        <v>0.0779</v>
      </c>
      <c r="K2145" t="n">
        <v>0.1418</v>
      </c>
      <c r="L2145" t="inlineStr">
        <is>
          <t>This Java package `org.apache.storm.daemon.supervisor` appears to be part of the Apache Storm project's supervisor component, which manages worker processes running on the cluster. The package includes several classes that implement various functionalities related to worker process management, such as starting, stopping, and monitoring workers. It also provides utilities for working with files and directories</t>
        </is>
      </c>
      <c r="M2145" t="n">
        <v>0.004</v>
      </c>
      <c r="N2145" t="n">
        <v>0.1194</v>
      </c>
      <c r="O2145" t="n">
        <v>0.1587</v>
      </c>
    </row>
    <row r="2146">
      <c r="A2146" t="inlineStr">
        <is>
          <t>storm</t>
        </is>
      </c>
      <c r="B2146" t="inlineStr">
        <is>
          <t>storm-client/src/jvm/org/apache/storm/daemon/supervisor/ExitCodeCallback.java</t>
        </is>
      </c>
      <c r="C2146">
        <f>HYPERLINK("https://github.com/apache/storm/blob/master/storm-client/src/jvm/org/apache/storm/daemon/supervisor/ExitCodeCallback.java")</f>
        <v/>
      </c>
      <c r="D2146" t="inlineStr">
        <is>
          <t>This code defines an interface called `ExitCodeCallback` that has a single method called `processFinished`. This method takes an integer parameter called `exitCode`. It's used as a callback function when a process finishes executing.</t>
        </is>
      </c>
      <c r="E2146" t="n">
        <v>0.0056</v>
      </c>
      <c r="F2146" t="n">
        <v>0.09520000000000001</v>
      </c>
      <c r="G2146" t="n">
        <v>0.09520000000000001</v>
      </c>
      <c r="H2146" t="inlineStr">
        <is>
          <t>This code defines an interface called `ExitCodeCallback` which has a single method called `processFinished`. It takes an integer parameter named `exitCode`. The purpose of this interface is to provide a way for other parts of the system to be notified when a process finishes running, and to receive its exit code as part of that notification.</t>
        </is>
      </c>
      <c r="I2146" t="n">
        <v>0.0039</v>
      </c>
      <c r="J2146" t="n">
        <v>0.0625</v>
      </c>
      <c r="K2146" t="n">
        <v>0.1172</v>
      </c>
      <c r="L2146" t="inlineStr">
        <is>
          <t>This code defines an interface called `ExitCodeCallback` that has only one method called `onProcessFinished`. This method takes an integer parameter called `exitCode` as input and does nothing with it. It is used to signal the end of a process and provide an exit code indicating whether the process was successful or not.</t>
        </is>
      </c>
      <c r="M2146" t="n">
        <v>0.0042</v>
      </c>
      <c r="N2146" t="n">
        <v>0.0667</v>
      </c>
      <c r="O2146" t="n">
        <v>0.121</v>
      </c>
    </row>
    <row r="2147">
      <c r="A2147" t="inlineStr">
        <is>
          <t>storm</t>
        </is>
      </c>
      <c r="B2147" t="inlineStr">
        <is>
          <t>storm-client/src/jvm/org/apache/storm/daemon/supervisor/AdvancedFSOps.java</t>
        </is>
      </c>
      <c r="C2147">
        <f>HYPERLINK("https://github.com/apache/storm/blob/master/storm-client/src/jvm/org/apache/storm/daemon/supervisor/AdvancedFSOps.java")</f>
        <v/>
      </c>
      <c r="D2147" t="inlineStr">
        <is>
          <t>This Java code appears to be part of an Apache Storm project, specifically the Supervisor component. It defines several classes related to managing files and directories, including `File`, `FileOutputStream`, and `FileWriter`. These classes provide methods for reading and writing data to files, as well as creating and deleting directories. The code also includes comments describing the purpose of each class and its complexity.</t>
        </is>
      </c>
      <c r="E2147" t="n">
        <v>0.0034</v>
      </c>
      <c r="F2147" t="n">
        <v>0.0563</v>
      </c>
      <c r="G2147" t="n">
        <v>0.1111</v>
      </c>
      <c r="H2147" t="inlineStr">
        <is>
          <t>This code appears to be a Java implementation of a supervisor process for Apache Storm, which is a distributed real-time computation system. The code defines several classes and interfaces related to the supervisor's behavior and interactions with other components of the system.
The main class of interest appears to be `Supervisor`, which manages the lifecycle of worker processes and handles communication between them</t>
        </is>
      </c>
      <c r="I2147" t="n">
        <v>0.0034</v>
      </c>
      <c r="J2147" t="n">
        <v>0.0822</v>
      </c>
      <c r="K2147" t="n">
        <v>0.1111</v>
      </c>
      <c r="L2147" t="inlineStr">
        <is>
          <t>The provided code implements a Java class that extends the `Supervisor` class from the Apache Storm project. It overrides the `start()` method to start the supervisor process. The method first initializes some variables, then creates a new thread to run the `run()` method. The `run()` method reads data from a file and writes it to another file using the `FileReader`</t>
        </is>
      </c>
      <c r="M2147" t="n">
        <v>0.0036</v>
      </c>
      <c r="N2147" t="n">
        <v>0.0588</v>
      </c>
      <c r="O2147" t="n">
        <v>0.1136</v>
      </c>
    </row>
    <row r="2148">
      <c r="A2148" t="inlineStr">
        <is>
          <t>storm</t>
        </is>
      </c>
      <c r="B2148" t="inlineStr">
        <is>
          <t>storm-client/src/jvm/org/apache/storm/daemon/supervisor/ClientSupervisorUtils.java</t>
        </is>
      </c>
      <c r="C2148">
        <f>HYPERLINK("https://github.com/apache/storm/blob/master/storm-client/src/jvm/org/apache/storm/daemon/supervisor/ClientSupervisorUtils.java")</f>
        <v/>
      </c>
      <c r="D2148" t="inlineStr">
        <is>
          <t>This code appears to be part of a Java project that implements a supervisor process for Apache Storm, which is a real-time processing system. The main class `Supervisor` is responsible for managing the life cycle of Storm topologies running on the supervisor node. It does this by creating and stopping topology workers as needed based on the current load and available resources. Additionally, it mon</t>
        </is>
      </c>
      <c r="E2148" t="n">
        <v>0.0037</v>
      </c>
      <c r="F2148" t="n">
        <v>0.08110000000000001</v>
      </c>
      <c r="G2148" t="n">
        <v>0.146</v>
      </c>
      <c r="H2148" t="inlineStr">
        <is>
          <t>This code defines a Java package named `org.apache.storm.daemon.supervisor` that provides various methods for managing Storm supervisors. It includes classes such as `Supervisor`, `SupervisorInfo`, and `Worker`, which are used to manage the lifecycle of Storm workers and their associated processes. Additionally, it includes a class called `SupervisorUtils`</t>
        </is>
      </c>
      <c r="I2148" t="n">
        <v>0.0048</v>
      </c>
      <c r="J2148" t="n">
        <v>0.06900000000000001</v>
      </c>
      <c r="K2148" t="n">
        <v>0.1271</v>
      </c>
      <c r="L2148" t="inlineStr">
        <is>
          <t>This code implements a supervisor process that manages worker processes running Storm topologies. It performs the following functions:
* Monitors the health of worker processes and restarts them if necessary.
* Manages the lifecycle of worker processes, including starting and stopping them as needed.
* Handles communication between workers and the Nimbus server, which is responsible for distributing</t>
        </is>
      </c>
      <c r="M2148" t="n">
        <v>0.0041</v>
      </c>
      <c r="N2148" t="n">
        <v>0.127</v>
      </c>
      <c r="O2148" t="n">
        <v>0.1538</v>
      </c>
    </row>
    <row r="2149">
      <c r="A2149" t="inlineStr">
        <is>
          <t>storm</t>
        </is>
      </c>
      <c r="B2149" t="inlineStr">
        <is>
          <t>storm-client/src/jvm/org/apache/storm/daemon/common/FileWatcher.java</t>
        </is>
      </c>
      <c r="C2149">
        <f>HYPERLINK("https://github.com/apache/storm/blob/master/storm-client/src/jvm/org/apache/storm/daemon/common/FileWatcher.java")</f>
        <v/>
      </c>
      <c r="D2149" t="inlineStr">
        <is>
          <t>This Java code appears to be part of a Storm project, specifically the `Storm` package within the `org.apache.storm.daemon.common` namespace. It defines a class called `FileReader` that implements a watcher service using the `java.nio.file` API. The purpose of the class is to monitor a directory for changes to files, specifically when</t>
        </is>
      </c>
      <c r="E2149" t="n">
        <v>0.0044</v>
      </c>
      <c r="F2149" t="n">
        <v>0.0625</v>
      </c>
      <c r="G2149" t="n">
        <v>0.123</v>
      </c>
      <c r="H2149" t="inlineStr">
        <is>
          <t>This code defines a Java class called `FileMonitor` that implements the `java.nio.file.WatchService` interface. It watches a specified directory for changes made to files within it, using the `java.nio.file.Files#newDirectoryStream()` method to create a stream of events representing each change. Whenever a new event is detected, the `processEvents</t>
        </is>
      </c>
      <c r="I2149" t="n">
        <v>0.0048</v>
      </c>
      <c r="J2149" t="n">
        <v>0.06560000000000001</v>
      </c>
      <c r="K2149" t="n">
        <v>0.1271</v>
      </c>
      <c r="L2149" t="inlineStr">
        <is>
          <t>This Java package `org.apache.storm.daemon.common` appears to provide common functionalities for Storm daemons. It defines a class called `FileSystemWatcher`, which watches for changes to files in a directory using NIO. The class has a constructor that takes a path as input and sets up a watch service. Whenever a change occurs, the method</t>
        </is>
      </c>
      <c r="M2149" t="n">
        <v>0.0042</v>
      </c>
      <c r="N2149" t="n">
        <v>0.09379999999999999</v>
      </c>
      <c r="O2149" t="n">
        <v>0.121</v>
      </c>
    </row>
    <row r="2150">
      <c r="A2150" t="inlineStr">
        <is>
          <t>storm</t>
        </is>
      </c>
      <c r="B2150" t="inlineStr">
        <is>
          <t>storm-client/src/jvm/org/apache/storm/daemon/metrics/BuiltinMetricsUtil.java</t>
        </is>
      </c>
      <c r="C2150">
        <f>HYPERLINK("https://github.com/apache/storm/blob/master/storm-client/src/jvm/org/apache/storm/daemon/metrics/BuiltinMetricsUtil.java")</f>
        <v/>
      </c>
      <c r="D2150" t="inlineStr">
        <is>
          <t>This code appears to be part of a Java project that implements various metrics for Apache Storm, a distributed real-time computation system. It defines several classes related to metric collection and processing, including `Metric` and `StatefulObject`. These classes provide interfaces for implementing custom metrics and stateful objects, respectively. The code also includes a `NOTICE` file containing legal information about the Apache</t>
        </is>
      </c>
      <c r="E2150" t="n">
        <v>0.0039</v>
      </c>
      <c r="F2150" t="n">
        <v>0.0857</v>
      </c>
      <c r="G2150" t="n">
        <v>0.1504</v>
      </c>
      <c r="H2150" t="inlineStr">
        <is>
          <t>This code appears to be part of a Java project that implements various metrics tracking features for Apache Storm, a popular open-source data processing system. It defines several classes related to metric tracking, including `MetricsConsumer` and `MetricsProcessor`, which are responsible for consuming and processing metrics data from different sources. Additionally, it includes a number of utility methods for working with metrics data</t>
        </is>
      </c>
      <c r="I2150" t="n">
        <v>0.0039</v>
      </c>
      <c r="J2150" t="n">
        <v>0.08450000000000001</v>
      </c>
      <c r="K2150" t="n">
        <v>0.1493</v>
      </c>
      <c r="L2150" t="inlineStr">
        <is>
          <t>The provided code implements a custom Storm metric that collects and aggregates metrics from various sources within the cluster. It uses the `IMetric` interface to define the metric's name, description, and value type. The `IStatefulObject` interface is used to track changes in the metric over time. The code also includes comments describing the purpose of each method and variable, as</t>
        </is>
      </c>
      <c r="M2150" t="n">
        <v>0.0036</v>
      </c>
      <c r="N2150" t="n">
        <v>0.058</v>
      </c>
      <c r="O2150" t="n">
        <v>0.1136</v>
      </c>
    </row>
    <row r="2151">
      <c r="A2151" t="inlineStr">
        <is>
          <t>storm</t>
        </is>
      </c>
      <c r="B2151" t="inlineStr">
        <is>
          <t>storm-client/src/jvm/org/apache/storm/daemon/metrics/ClientMetricsUtils.java</t>
        </is>
      </c>
      <c r="C2151">
        <f>HYPERLINK("https://github.com/apache/storm/blob/master/storm-client/src/jvm/org/apache/storm/daemon/metrics/ClientMetricsUtils.java")</f>
        <v/>
      </c>
      <c r="D2151" t="inlineStr">
        <is>
          <t>This code appears to be part of a Java project that implements a Storm metrics system. It defines several classes related to metrics collection and reporting, including `Metric`, `MetricInfo`, `MetricSnapshot`, and `MetricRegistry`. These classes provide a way to collect and report metrics data from Storm topologies.
The `Metric` class represents a single metric value,</t>
        </is>
      </c>
      <c r="E2151" t="n">
        <v>0.0045</v>
      </c>
      <c r="F2151" t="n">
        <v>0.0968</v>
      </c>
      <c r="G2151" t="n">
        <v>0.1587</v>
      </c>
      <c r="H2151" t="inlineStr">
        <is>
          <t>This code defines a Java class named `MetricsConsumer` that consumes metrics from Storm's metrics system and processes them according to certain rules. It uses the Apache Storm library and implements the `IMetricsConsumer` interface defined in the Storm API. The class has several methods, including `init`, `handleDataPoints`, and `cleanup`. These methods are used to</t>
        </is>
      </c>
      <c r="I2151" t="n">
        <v>0.0045</v>
      </c>
      <c r="J2151" t="n">
        <v>0.0968</v>
      </c>
      <c r="K2151" t="n">
        <v>0.16</v>
      </c>
      <c r="L2151" t="inlineStr">
        <is>
          <t>This Java class `org.apache.storm.daemon.metrics.MetricsProcessor` processes metrics data from Storm topologies and provides insights into their performance. It takes input as a map of metric names and values, performs some processing on them, and then returns the processed results.
The class has several responsibilities, including:
* Reading configuration parameters</t>
        </is>
      </c>
      <c r="M2151" t="n">
        <v>0.0045</v>
      </c>
      <c r="N2151" t="n">
        <v>0.0667</v>
      </c>
      <c r="O2151" t="n">
        <v>0.125</v>
      </c>
    </row>
    <row r="2152">
      <c r="A2152" t="inlineStr">
        <is>
          <t>storm</t>
        </is>
      </c>
      <c r="B2152" t="inlineStr">
        <is>
          <t>storm-client/src/jvm/org/apache/storm/daemon/worker/WorkerState.java</t>
        </is>
      </c>
      <c r="C2152">
        <f>HYPERLINK("https://github.com/apache/storm/blob/master/storm-client/src/jvm/org/apache/storm/daemon/worker/WorkerState.java")</f>
        <v/>
      </c>
      <c r="D2152" t="inlineStr">
        <is>
          <t>This Java code appears to be part of a Storm worker daemon, which is responsible for executing tasks assigned by a Storm master node. It defines several classes and methods related to data processing, including `Worker`, `Task`, and `Executor`.
The main class, `Worker`, is responsible for managing the lifecycle of tasks and executors, as well as handling communication between the</t>
        </is>
      </c>
      <c r="E2152" t="n">
        <v>0.0036</v>
      </c>
      <c r="F2152" t="n">
        <v>0.0588</v>
      </c>
      <c r="G2152" t="n">
        <v>0.1136</v>
      </c>
      <c r="H2152" t="inlineStr">
        <is>
          <t>This code appears to be part of a Java project that implements various algorithms used in the Apache Storm data processing system. It defines several classes and interfaces related to worker processes, including the `Worker` class which represents a single worker process and its associated resources, and the `IConnection` interface which provides methods for establishing and managing connections between workers.
The code also includes some utility</t>
        </is>
      </c>
      <c r="I2152" t="n">
        <v>0.0036</v>
      </c>
      <c r="J2152" t="n">
        <v>0.08110000000000001</v>
      </c>
      <c r="K2152" t="n">
        <v>0.1449</v>
      </c>
      <c r="L2152" t="inlineStr">
        <is>
          <t>The provided code is part of an Apache Storm worker daemon that processes incoming tuples from spouts and bolts. It reads data from a queue, deserializes it into a ByteBuffer object, and then passes it to a collection of tasks for processing. The tasks are responsible for executing the actual business logic of the topology, such as filtering, aggregating, or transforming data.</t>
        </is>
      </c>
      <c r="M2152" t="n">
        <v>0.0029</v>
      </c>
      <c r="N2152" t="n">
        <v>0.0571</v>
      </c>
      <c r="O2152" t="n">
        <v>0.0746</v>
      </c>
    </row>
    <row r="2153">
      <c r="A2153" t="inlineStr">
        <is>
          <t>storm</t>
        </is>
      </c>
      <c r="B2153" t="inlineStr">
        <is>
          <t>storm-client/src/jvm/org/apache/storm/daemon/worker/LogConfigManager.java</t>
        </is>
      </c>
      <c r="C2153">
        <f>HYPERLINK("https://github.com/apache/storm/blob/master/storm-client/src/jvm/org/apache/storm/daemon/worker/LogConfigManager.java")</f>
        <v/>
      </c>
      <c r="D2153" t="inlineStr">
        <is>
          <t>This code appears to be part of a Java project that implements a worker process for Storm, which is a distributed real-time computation system. The code defines several classes and interfaces related to the worker process, including `Worker`, `WorkerState`, `WorkerStats`, and `WorkerTopologyContext`. It also includes some utility methods for working with maps and sets, as well as a few other</t>
        </is>
      </c>
      <c r="E2153" t="n">
        <v>0.004</v>
      </c>
      <c r="F2153" t="n">
        <v>0.08699999999999999</v>
      </c>
      <c r="G2153" t="n">
        <v>0.2391</v>
      </c>
      <c r="H2153" t="inlineStr">
        <is>
          <t>This code appears to be part of a Java project that implements a worker process for Apache Storm, a real-time processing system. It includes several classes and interfaces related to data processing, including `Worker`, `Task`, and `Spout`. The code also defines some utility methods for working with maps and sets, as well as a custom implementation of the `TreeMap` class called `St</t>
        </is>
      </c>
      <c r="I2153" t="n">
        <v>0.0039</v>
      </c>
      <c r="J2153" t="n">
        <v>0.08450000000000001</v>
      </c>
      <c r="K2153" t="n">
        <v>0.2355</v>
      </c>
      <c r="L2153" t="inlineStr">
        <is>
          <t>The code defines a worker process that runs on a Storm cluster node. It receives input data from other workers and processes it using a set of user-defined functions. The output is then sent back to the original producer. The code uses Java's concurrent programming model to handle multiple tasks simultaneously and ensures thread safety through the use of atomic variables and synchronized blocks.</t>
        </is>
      </c>
      <c r="M2153" t="n">
        <v>0.0028</v>
      </c>
      <c r="N2153" t="n">
        <v>0.0541</v>
      </c>
      <c r="O2153" t="n">
        <v>0.0735</v>
      </c>
    </row>
    <row r="2154">
      <c r="A2154" t="inlineStr">
        <is>
          <t>storm</t>
        </is>
      </c>
      <c r="B2154" t="inlineStr">
        <is>
          <t>storm-client/src/jvm/org/apache/storm/daemon/worker/BackPressureTracker.java</t>
        </is>
      </c>
      <c r="C2154">
        <f>HYPERLINK("https://github.com/apache/storm/blob/master/storm-client/src/jvm/org/apache/storm/daemon/worker/BackPressureTracker.java")</f>
        <v/>
      </c>
      <c r="D2154" t="inlineStr">
        <is>
          <t>This Java code appears to be part of a Storm project, specifically the worker daemon component. It defines several classes and methods related to metrics collection and processing.
The `MetricRegistry` class is used to register and manage various types of metrics, including gauges, counters, and histograms. The `WorkerMetricsProcessor` class processes the collected metrics and updates them</t>
        </is>
      </c>
      <c r="E2154" t="n">
        <v>0.0039</v>
      </c>
      <c r="F2154" t="n">
        <v>0.0625</v>
      </c>
      <c r="G2154" t="n">
        <v>0.1172</v>
      </c>
      <c r="H2154" t="inlineStr">
        <is>
          <t>This code is part of an open source project called Apache Storm. It appears to be a Java package that provides a worker node component for running tasks in a distributed computing system. The package includes several classes and interfaces related to task execution, including a `Worker` class that represents a single worker node, a `Task` interface that defines the methods required to execute a task, and a `Top</t>
        </is>
      </c>
      <c r="I2154" t="n">
        <v>0.0031</v>
      </c>
      <c r="J2154" t="n">
        <v>0.0519</v>
      </c>
      <c r="K2154" t="n">
        <v>0.1064</v>
      </c>
      <c r="L2154" t="inlineStr">
        <is>
          <t>This code implements a worker process that runs on top of Apache Storm, which is a distributed real-time computation system. It provides a high-level abstraction over the underlying infrastructure, allowing developers to focus on implementing their business logic without worrying about low-level details such as resource allocation and failover handling.
The code defines several classes and interfaces related to the worker process,</t>
        </is>
      </c>
      <c r="M2154" t="n">
        <v>0.0039</v>
      </c>
      <c r="N2154" t="n">
        <v>0.0822</v>
      </c>
      <c r="O2154" t="n">
        <v>0.1493</v>
      </c>
    </row>
    <row r="2155">
      <c r="A2155" t="inlineStr">
        <is>
          <t>storm</t>
        </is>
      </c>
      <c r="B2155" t="inlineStr">
        <is>
          <t>storm-client/src/jvm/org/apache/storm/daemon/worker/Worker.java</t>
        </is>
      </c>
      <c r="C2155">
        <f>HYPERLINK("https://github.com/apache/storm/blob/master/storm-client/src/jvm/org/apache/storm/daemon/worker/Worker.java")</f>
        <v/>
      </c>
      <c r="D2155" t="inlineStr">
        <is>
          <t>This Java code appears to be part of a Storm worker process, which is responsible for executing tasks assigned by a Storm supervisor node. It uses the Codahale metrics library to track various performance metrics, such as the number of tuples processed per second. The code also defines a `Worker` class that implements the `StormWorker` interface, which provides methods for initializing and</t>
        </is>
      </c>
      <c r="E2155" t="n">
        <v>0.0039</v>
      </c>
      <c r="F2155" t="n">
        <v>0.0857</v>
      </c>
      <c r="G2155" t="n">
        <v>0.1493</v>
      </c>
      <c r="H2155" t="inlineStr">
        <is>
          <t>This code appears to be part of a Java project that implements a Storm worker process. It defines a class named `Worker` that extends `Thread`, which represents a background thread responsible for executing tasks assigned to it by the Storm master node.
The `Worker` class has several important methods, including:
* `run()`: This method is where the actual task execution takes place</t>
        </is>
      </c>
      <c r="I2155" t="n">
        <v>0.0035</v>
      </c>
      <c r="J2155" t="n">
        <v>0.058</v>
      </c>
      <c r="K2155" t="n">
        <v>0.1119</v>
      </c>
      <c r="L2155" t="inlineStr">
        <is>
          <t>The provided code defines a worker process that runs on top of Storm's daemon. It imports various classes from the `com.codahale.metrics` package and uses them to create and register metrics objects. Specifically, it creates a meter object called `worker-metrics-meter` and registers it with the shared metric registry using the constant `WORKER_METR</t>
        </is>
      </c>
      <c r="M2155" t="n">
        <v>0.0036</v>
      </c>
      <c r="N2155" t="n">
        <v>0.0308</v>
      </c>
      <c r="O2155" t="n">
        <v>0.0813</v>
      </c>
    </row>
    <row r="2156">
      <c r="A2156" t="inlineStr">
        <is>
          <t>storm</t>
        </is>
      </c>
      <c r="B2156" t="inlineStr">
        <is>
          <t>storm-client/src/jvm/org/apache/storm/daemon/worker/WorkerTransfer.java</t>
        </is>
      </c>
      <c r="C2156">
        <f>HYPERLINK("https://github.com/apache/storm/blob/master/storm-client/src/jvm/org/apache/storm/daemon/worker/WorkerTransfer.java")</f>
        <v/>
      </c>
      <c r="D2156" t="inlineStr">
        <is>
          <t>This code appears to be part of a Java project that implements a worker process for Apache Storm, which is an open-source distributed real-time computation system. The code defines several classes related to the worker process, including `Worker`, `Executor`, and `Tuple`.
The `Worker` class is responsible for managing the lifecycle of executors and handling incoming tuples from</t>
        </is>
      </c>
      <c r="E2156" t="n">
        <v>0.0042</v>
      </c>
      <c r="F2156" t="n">
        <v>0.0896</v>
      </c>
      <c r="G2156" t="n">
        <v>0.155</v>
      </c>
      <c r="H2156" t="inlineStr">
        <is>
          <t>This Java package `org.apache.storm.daemon.worker` contains the source code for a Storm worker process that runs on top of Apache Storm, which is a distributed real-time computation system. The package includes several classes and interfaces that provide the implementation of various core algorithms used in the Storm ecosystem.
The main class in this package is `Worker`, which</t>
        </is>
      </c>
      <c r="I2156" t="n">
        <v>0.0043</v>
      </c>
      <c r="J2156" t="n">
        <v>0.08699999999999999</v>
      </c>
      <c r="K2156" t="n">
        <v>0.1953</v>
      </c>
      <c r="L2156" t="inlineStr">
        <is>
          <t>The provided code is part of the Storm project's worker daemon component. It implements the `Worker` interface, which provides methods for managing tasks and tuples within a worker process.
The class defines several fields, including `executors`, `inputQueues`, `outputQueues`, and `transferThread`. These fields represent the set of executors that execute tasks</t>
        </is>
      </c>
      <c r="M2156" t="n">
        <v>0.0044</v>
      </c>
      <c r="N2156" t="n">
        <v>0.0678</v>
      </c>
      <c r="O2156" t="n">
        <v>0.123</v>
      </c>
    </row>
    <row r="2157">
      <c r="A2157" t="inlineStr">
        <is>
          <t>storm</t>
        </is>
      </c>
      <c r="B2157" t="inlineStr">
        <is>
          <t>storm-client/src/jvm/org/apache/storm/serialization/ThriftSerializationDelegate.java</t>
        </is>
      </c>
      <c r="C2157">
        <f>HYPERLINK("https://github.com/apache/storm/blob/master/storm-client/src/jvm/org/apache/storm/serialization/ThriftSerializationDelegate.java")</f>
        <v/>
      </c>
      <c r="D2157" t="inlineStr">
        <is>
          <t>This Java package `org.apache.storm.serialization` defines classes related to serializing and deserializing data using Thrift protocol buffers. It includes two main classes:
1. `ThriftSerializer`: A class that provides methods for serializing and deserializing Thrift objects. It uses the `TDeserializer` class from the Thrift</t>
        </is>
      </c>
      <c r="E2157" t="n">
        <v>0.0052</v>
      </c>
      <c r="F2157" t="n">
        <v>0.0755</v>
      </c>
      <c r="G2157" t="n">
        <v>0.1316</v>
      </c>
      <c r="H2157" t="inlineStr">
        <is>
          <t>This code implements a serialization library for Thrift objects in Java. It provides methods for deserializing Thrift data from a byte array into a TBase object, as well as serializing a TBase object into a byte array that can be sent over the network. The library also includes support for custom serializers and deserializers for user-defined types.
The complexity of</t>
        </is>
      </c>
      <c r="I2157" t="n">
        <v>0.004</v>
      </c>
      <c r="J2157" t="n">
        <v>0.08699999999999999</v>
      </c>
      <c r="K2157" t="n">
        <v>0.1136</v>
      </c>
      <c r="L2157" t="inlineStr">
        <is>
          <t>This code implements a serialization mechanism for Thrift objects using the `TDeserializer` class from the Apache Storm library. It takes a `TBase` object as input and returns a byte array representing the serialized form of that object. The method also includes some error handling to catch any exceptions that might occur during deserialization.</t>
        </is>
      </c>
      <c r="M2157" t="n">
        <v>0.0045</v>
      </c>
      <c r="N2157" t="n">
        <v>0.0984</v>
      </c>
      <c r="O2157" t="n">
        <v>0.16</v>
      </c>
    </row>
    <row r="2158">
      <c r="A2158" t="inlineStr">
        <is>
          <t>storm</t>
        </is>
      </c>
      <c r="B2158" t="inlineStr">
        <is>
          <t>storm-client/src/jvm/org/apache/storm/serialization/KryoTupleDeserializer.java</t>
        </is>
      </c>
      <c r="C2158">
        <f>HYPERLINK("https://github.com/apache/storm/blob/master/storm-client/src/jvm/org/apache/storm/serialization/KryoTupleDeserializer.java")</f>
        <v/>
      </c>
      <c r="D2158" t="inlineStr">
        <is>
          <t>This code appears to be part of an open source project called Apache Storm, which is a distributed real-time computation system. It implements serialization functions for various data types using the Kryo library. The code defines several methods that take input streams and return deserialized objects of different types, such as lists and maps. These methods are used in the context of a general topology context,</t>
        </is>
      </c>
      <c r="E2158" t="n">
        <v>0.0036</v>
      </c>
      <c r="F2158" t="n">
        <v>0.1067</v>
      </c>
      <c r="G2158" t="n">
        <v>0.1449</v>
      </c>
      <c r="H2158" t="inlineStr">
        <is>
          <t>This code appears to be part of a Java project that implements serialization and deserialization of data using the Kryo library. It defines several classes and interfaces related to serialization and deserialization, including `KryoSerializer`, `KryoDeserializer`, and `KryoSerializable`. These classes implement the `java.io.Externalizable` interface</t>
        </is>
      </c>
      <c r="I2158" t="n">
        <v>0.0056</v>
      </c>
      <c r="J2158" t="n">
        <v>0.1132</v>
      </c>
      <c r="K2158" t="n">
        <v>0.1739</v>
      </c>
      <c r="L2158" t="inlineStr">
        <is>
          <t>This Java class implements the `SerializationDelegate` interface from the Storm framework. It provides serialization and deserialization methods for various data types, including lists and maps. The class takes a `GeneralTopologyContext` object as input during initialization, which allows it to access topology configuration parameters. The `serialize()` method takes a list of objects and returns a byte array representation of those</t>
        </is>
      </c>
      <c r="M2158" t="n">
        <v>0.0041</v>
      </c>
      <c r="N2158" t="n">
        <v>0.0896</v>
      </c>
      <c r="O2158" t="n">
        <v>0.1145</v>
      </c>
    </row>
    <row r="2159">
      <c r="A2159" t="inlineStr">
        <is>
          <t>storm</t>
        </is>
      </c>
      <c r="B2159" t="inlineStr">
        <is>
          <t>storm-client/src/jvm/org/apache/storm/serialization/SerializationDelegate.java</t>
        </is>
      </c>
      <c r="C2159">
        <f>HYPERLINK("https://github.com/apache/storm/blob/master/storm-client/src/jvm/org/apache/storm/serialization/SerializationDelegate.java")</f>
        <v/>
      </c>
      <c r="D2159" t="inlineStr">
        <is>
          <t>This code defines an interface called `SerializationDelegate` that allows the `Utils` class from the Apache Storm project to delegate the serialization of metadata. The interface has no methods, but it provides a way to implement custom serialization logic for the `Utils` class.</t>
        </is>
      </c>
      <c r="E2159" t="n">
        <v>0.0044</v>
      </c>
      <c r="F2159" t="n">
        <v>0.12</v>
      </c>
      <c r="G2159" t="n">
        <v>0.0877</v>
      </c>
      <c r="H2159" t="inlineStr">
        <is>
          <t>This code defines an interface called `SerializationDelegate` that allows the `Utils` class from the `org.apache.storm.utils` package to delegate meta serialization. It specifies a single method called `serialize()` that takes a map as input and returns a byte array representing the serialized data. The implementation of this method is left up to the implementing classes.</t>
        </is>
      </c>
      <c r="I2159" t="n">
        <v>0.004</v>
      </c>
      <c r="J2159" t="n">
        <v>0.0615</v>
      </c>
      <c r="K2159" t="n">
        <v>0.1587</v>
      </c>
      <c r="L2159" t="inlineStr">
        <is>
          <t>This class implements the `SerializationDelegate` interface and provides a way for the `Utils` class to delegate meta serialization. It is used to allow different implementations of serialization for different types of data.</t>
        </is>
      </c>
      <c r="M2159" t="n">
        <v>0.0077</v>
      </c>
      <c r="N2159" t="n">
        <v>0.15</v>
      </c>
      <c r="O2159" t="n">
        <v>0.1923</v>
      </c>
    </row>
    <row r="2160">
      <c r="A2160" t="inlineStr">
        <is>
          <t>storm</t>
        </is>
      </c>
      <c r="B2160" t="inlineStr">
        <is>
          <t>storm-client/src/jvm/org/apache/storm/serialization/IKryoFactory.java</t>
        </is>
      </c>
      <c r="C2160">
        <f>HYPERLINK("https://github.com/apache/storm/blob/master/storm-client/src/jvm/org/apache/storm/serialization/IKryoFactory.java")</f>
        <v/>
      </c>
      <c r="D2160" t="inlineStr">
        <is>
          <t>This class provides an interface for controlling the Kryo instance used by Storm for serialization. It defines two methods: `register` and `get`.
The `register` method takes a map of type parameters and returns a new Kryo instance configured with those parameters. The `get` method returns the current Kryo instance being used by Storm.
It'</t>
        </is>
      </c>
      <c r="E2160" t="n">
        <v>0.004</v>
      </c>
      <c r="F2160" t="n">
        <v>0.0645</v>
      </c>
      <c r="G2160" t="n">
        <v>0.119</v>
      </c>
      <c r="H2160" t="inlineStr">
        <is>
          <t>This code defines an interface called `ISerializer` which has a single method called `serialize`. It takes two arguments: a `Kryo` object and a `Map` object. The method returns a byte array representing the serialized form of the map using the specified Kryo instance. The purpose of this interface is to provide a way to customize the serialization process in</t>
        </is>
      </c>
      <c r="I2160" t="n">
        <v>0.0037</v>
      </c>
      <c r="J2160" t="n">
        <v>0.0597</v>
      </c>
      <c r="K2160" t="n">
        <v>0.1145</v>
      </c>
      <c r="L2160" t="inlineStr">
        <is>
          <t>This code defines a custom implementation of the `ISerializer` interface from the Apache Storm project. It provides a way to configure and manage the Kryo instance used for object serialization within Storm. The interface allows users to specify a map of class names to their corresponding Kryo registrars, which can be used to register classes with Kryo for efficient serialization. The implementation also</t>
        </is>
      </c>
      <c r="M2160" t="n">
        <v>0.0034</v>
      </c>
      <c r="N2160" t="n">
        <v>0.08450000000000001</v>
      </c>
      <c r="O2160" t="n">
        <v>0.1481</v>
      </c>
    </row>
    <row r="2161">
      <c r="A2161" t="inlineStr">
        <is>
          <t>storm</t>
        </is>
      </c>
      <c r="B2161" t="inlineStr">
        <is>
          <t>storm-client/src/jvm/org/apache/storm/serialization/GzipThriftSerializationDelegate.java</t>
        </is>
      </c>
      <c r="C2161">
        <f>HYPERLINK("https://github.com/apache/storm/blob/master/storm-client/src/jvm/org/apache/storm/serialization/GzipThriftSerializationDelegate.java")</f>
        <v/>
      </c>
      <c r="D2161" t="inlineStr">
        <is>
          <t>This code appears to be part of a Java library for serializing and deserializing Thrift objects. It defines several classes related to Thrift serialization, including `ThriftSerializer`, which implements the `ISerialization` interface from the Storm project's `serialization` package. The class has methods for serializing and deserializing Thrift objects using the Thrift binary</t>
        </is>
      </c>
      <c r="E2161" t="n">
        <v>0.0047</v>
      </c>
      <c r="F2161" t="n">
        <v>0.1</v>
      </c>
      <c r="G2161" t="n">
        <v>0.1626</v>
      </c>
      <c r="H2161" t="inlineStr">
        <is>
          <t>This code defines a Java package called `org.apache.storm.serialization` that provides serialization and deserialization methods for Thrift objects. It includes a class called `ThriftSerializer` that implements the `ISerialization` interface from Storm's `org.apache.storm.serialization` package. The `ThriftSerializer` class has several</t>
        </is>
      </c>
      <c r="I2161" t="n">
        <v>0.0066</v>
      </c>
      <c r="J2161" t="n">
        <v>0.0769</v>
      </c>
      <c r="K2161" t="n">
        <v>0.1376</v>
      </c>
      <c r="L2161" t="inlineStr">
        <is>
          <t>This code defines a serializer class that implements the `ISerializable` interface from Apache Storm's Thrift library. It takes in a map of field names to values, and uses the Thrift deserializer to convert them into a Thrift object. The resulting object can then be used for further processing or storage.</t>
        </is>
      </c>
      <c r="M2161" t="n">
        <v>0.0048</v>
      </c>
      <c r="N2161" t="n">
        <v>0.1017</v>
      </c>
      <c r="O2161" t="n">
        <v>0.1639</v>
      </c>
    </row>
    <row r="2162">
      <c r="A2162" t="inlineStr">
        <is>
          <t>storm</t>
        </is>
      </c>
      <c r="B2162" t="inlineStr">
        <is>
          <t>storm-client/src/jvm/org/apache/storm/serialization/SerializationRegister.java</t>
        </is>
      </c>
      <c r="C2162">
        <f>HYPERLINK("https://github.com/apache/storm/blob/master/storm-client/src/jvm/org/apache/storm/serialization/SerializationRegister.java")</f>
        <v/>
      </c>
      <c r="D2162" t="inlineStr">
        <is>
          <t>This code defines a class called `SerializerRegister` that provides a way to register Kryo serializers with the `SerializationFactory` using a service loader. It does this by implementing the `ServiceLoader` interface and providing a method called `registerSerializers()` which registers the serializers with the factory. The method takes a single argument, a reference to the factory instance, and uses</t>
        </is>
      </c>
      <c r="E2162" t="n">
        <v>0.0038</v>
      </c>
      <c r="F2162" t="n">
        <v>0.09229999999999999</v>
      </c>
      <c r="G2162" t="n">
        <v>0.155</v>
      </c>
      <c r="H2162" t="inlineStr">
        <is>
          <t>This code defines a class called `KryoSerializer` that extends the `com.esotericsoftware.kryo.Serializer` class from the Kryo library. It provides a way to register Kryo serializers with the `SerializationFactory` using a service loader mechanism.</t>
        </is>
      </c>
      <c r="I2162" t="n">
        <v>0.0058</v>
      </c>
      <c r="J2162" t="n">
        <v>0.0465</v>
      </c>
      <c r="K2162" t="n">
        <v>0.09619999999999999</v>
      </c>
      <c r="L2162" t="inlineStr">
        <is>
          <t>The `KryoSerializerRegister` class provides a way to register Kryo serializers with the `SerializationFactory` using a service loader pattern. It allows developers to add custom serializers without modifying the existing codebase.</t>
        </is>
      </c>
      <c r="M2162" t="n">
        <v>0</v>
      </c>
      <c r="N2162" t="n">
        <v>0</v>
      </c>
      <c r="O2162" t="n">
        <v>0.049</v>
      </c>
    </row>
    <row r="2163">
      <c r="A2163" t="inlineStr">
        <is>
          <t>storm</t>
        </is>
      </c>
      <c r="B2163" t="inlineStr">
        <is>
          <t>storm-client/src/jvm/org/apache/storm/serialization/IKryoDecorator.java</t>
        </is>
      </c>
      <c r="C2163">
        <f>HYPERLINK("https://github.com/apache/storm/blob/master/storm-client/src/jvm/org/apache/storm/serialization/IKryoDecorator.java")</f>
        <v/>
      </c>
      <c r="D2163" t="inlineStr">
        <is>
          <t>This code defines an interface called `IKryoDecorator` that provides a method called `decorate()` which takes a single argument of type `Kryo`. The purpose of this method is to decorate the `Kryo` instance with custom serializations.
The implementation of this interface is responsible for adding any necessary serializers, deserializers, or other configurations</t>
        </is>
      </c>
      <c r="E2163" t="n">
        <v>0.0036</v>
      </c>
      <c r="F2163" t="n">
        <v>0.0678</v>
      </c>
      <c r="G2163" t="n">
        <v>0.0813</v>
      </c>
      <c r="H2163" t="inlineStr">
        <is>
          <t>This code defines an interface called `IKryoDecorator` that provides a method for decorating a Kryo instance with custom serializations. It specifies that the implementation must provide a method named `decorate` that takes a single argument of type `com.esotericsoftware.kryo.Kryo`. The method should return nothing but instead modify the passed</t>
        </is>
      </c>
      <c r="I2163" t="n">
        <v>0.0038</v>
      </c>
      <c r="J2163" t="n">
        <v>0.0678</v>
      </c>
      <c r="K2163" t="n">
        <v>0.0833</v>
      </c>
      <c r="L2163" t="inlineStr">
        <is>
          <t>The `IKryoDecorator` interface defines a method called `decorate`, which takes a `Kryo` instance as input and returns a decorated version of it that includes custom serializations. The implementation of this interface is responsible for adding any necessary serializers, deserializers, or other configuration options to the `Kryo` instance in order to support the desired</t>
        </is>
      </c>
      <c r="M2163" t="n">
        <v>0.0035</v>
      </c>
      <c r="N2163" t="n">
        <v>0.0328</v>
      </c>
      <c r="O2163" t="n">
        <v>0.12</v>
      </c>
    </row>
    <row r="2164">
      <c r="A2164" t="inlineStr">
        <is>
          <t>storm</t>
        </is>
      </c>
      <c r="B2164" t="inlineStr">
        <is>
          <t>storm-client/src/jvm/org/apache/storm/serialization/SerializationFactory.java</t>
        </is>
      </c>
      <c r="C2164">
        <f>HYPERLINK("https://github.com/apache/storm/blob/master/storm-client/src/jvm/org/apache/storm/serialization/SerializationFactory.java")</f>
        <v/>
      </c>
      <c r="D2164" t="inlineStr">
        <is>
          <t>This code defines a serializer class for BigInteger objects using the Kryo library. It provides a custom implementation of the `Serializer` interface that allows Kryo to serialize and deserialize BigInteger objects efficiently. The serializer uses the default serializer for BigInteger objects provided by Kryo's DefaultSerializers class. The serializer also includes a method to register the serial</t>
        </is>
      </c>
      <c r="E2164" t="n">
        <v>0.0039</v>
      </c>
      <c r="F2164" t="n">
        <v>0.09229999999999999</v>
      </c>
      <c r="G2164" t="n">
        <v>0.1563</v>
      </c>
      <c r="H2164" t="inlineStr">
        <is>
          <t>This code appears to be part of a Java project that implements serialization using the Kryo library. It defines a custom serializer for BigInteger objects, which allows them to be efficiently serialized and deserialized. The serializer uses the DefaultSerializers.BigInteger class from the Kryo library to perform the actual serialization and deserialization. The README file</t>
        </is>
      </c>
      <c r="I2164" t="n">
        <v>0.0045</v>
      </c>
      <c r="J2164" t="n">
        <v>0.09520000000000001</v>
      </c>
      <c r="K2164" t="n">
        <v>0.1587</v>
      </c>
      <c r="L2164" t="inlineStr">
        <is>
          <t>This code defines a custom serializer for BigInteger objects using the Kryo library. It specifies that the serializer should be used when serializing BigInteger objects.</t>
        </is>
      </c>
      <c r="M2164" t="n">
        <v>0.0076</v>
      </c>
      <c r="N2164" t="n">
        <v>0.0606</v>
      </c>
      <c r="O2164" t="n">
        <v>0.1031</v>
      </c>
    </row>
    <row r="2165">
      <c r="A2165" t="inlineStr">
        <is>
          <t>storm</t>
        </is>
      </c>
      <c r="B2165" t="inlineStr">
        <is>
          <t>storm-client/src/jvm/org/apache/storm/serialization/ITupleDeserializer.java</t>
        </is>
      </c>
      <c r="C2165">
        <f>HYPERLINK("https://github.com/apache/storm/blob/master/storm-client/src/jvm/org/apache/storm/serialization/ITupleDeserializer.java")</f>
        <v/>
      </c>
      <c r="D2165" t="inlineStr">
        <is>
          <t>This code defines an interface called `ITupleDeserializer`, which has only one method named `deserialize`. It takes a byte array as input and returns a `Tuple` object. The purpose of this interface is to provide a way to deserialize a serialized tuple into its original form.</t>
        </is>
      </c>
      <c r="E2165" t="n">
        <v>0.0049</v>
      </c>
      <c r="F2165" t="n">
        <v>0.0755</v>
      </c>
      <c r="G2165" t="n">
        <v>0.08550000000000001</v>
      </c>
      <c r="H2165" t="inlineStr">
        <is>
          <t>This code defines an interface called `ITupleDeserializer` that has a single method called `deserialize`. It takes a byte array as input and returns a `Tuple` object. The `deserialize` method is responsible for converting the given byte array into a `Tuple` object. The interface is part of the `org.apache.storm.</t>
        </is>
      </c>
      <c r="I2165" t="n">
        <v>0.0045</v>
      </c>
      <c r="J2165" t="n">
        <v>0.06900000000000001</v>
      </c>
      <c r="K2165" t="n">
        <v>0.125</v>
      </c>
      <c r="L2165" t="inlineStr">
        <is>
          <t>The `ITupleDeserializer` interface defines a method called `deserialize`, which takes a byte array as input and returns a `Tuple`. The interface is part of the Apache Storm project's serialization system, and is used to deserialize tuples from binary data.</t>
        </is>
      </c>
      <c r="M2165" t="n">
        <v>0.0047</v>
      </c>
      <c r="N2165" t="n">
        <v>0.0417</v>
      </c>
      <c r="O2165" t="n">
        <v>0.0901</v>
      </c>
    </row>
    <row r="2166">
      <c r="A2166" t="inlineStr">
        <is>
          <t>storm</t>
        </is>
      </c>
      <c r="B2166" t="inlineStr">
        <is>
          <t>storm-client/src/jvm/org/apache/storm/serialization/GzipBridgeThriftSerializationDelegate.java</t>
        </is>
      </c>
      <c r="C2166">
        <f>HYPERLINK("https://github.com/apache/storm/blob/master/storm-client/src/jvm/org/apache/storm/serialization/GzipBridgeThriftSerializationDelegate.java")</f>
        <v/>
      </c>
      <c r="D2166" t="inlineStr">
        <is>
          <t>This Java class implements a serializer that can read and write data using GZip compression. It has a single method named `deserialize` that takes a byte array as input and returns an object of type `T`. The method first checks whether the input byte array is compressed using GZip by checking its header. If it is, the method uses a `GZIPInputStream`</t>
        </is>
      </c>
      <c r="E2166" t="n">
        <v>0.0039</v>
      </c>
      <c r="F2166" t="n">
        <v>0.08699999999999999</v>
      </c>
      <c r="G2166" t="n">
        <v>0.1504</v>
      </c>
      <c r="H2166" t="inlineStr">
        <is>
          <t>This code appears to be part of a Java library for serializing and deserializing data using GZip compression. It provides a class called `GzipSerializer` that implements the `ISerializer` interface from the `org.apache.storm.serialization` package. The class takes a `Map&lt;String, Object&gt;` as input and returns a byte array representing the serialized data</t>
        </is>
      </c>
      <c r="I2166" t="n">
        <v>0.0048</v>
      </c>
      <c r="J2166" t="n">
        <v>0.0968</v>
      </c>
      <c r="K2166" t="n">
        <v>0.1639</v>
      </c>
      <c r="L2166" t="inlineStr">
        <is>
          <t>The provided code defines a class that implements the `ISerialization` interface from Storm. It provides methods for serializing and deserializing data using GZip compression. The class has two main methods: `serialize()` and `deserialize()`.
The `serialize()` method takes a map as input and returns a byte array representing the serialized data. The method first checks</t>
        </is>
      </c>
      <c r="M2166" t="n">
        <v>0.004</v>
      </c>
      <c r="N2166" t="n">
        <v>0.0645</v>
      </c>
      <c r="O2166" t="n">
        <v>0.119</v>
      </c>
    </row>
    <row r="2167">
      <c r="A2167" t="inlineStr">
        <is>
          <t>storm</t>
        </is>
      </c>
      <c r="B2167" t="inlineStr">
        <is>
          <t>storm-client/src/jvm/org/apache/storm/serialization/ITupleSerializer.java</t>
        </is>
      </c>
      <c r="C2167">
        <f>HYPERLINK("https://github.com/apache/storm/blob/master/storm-client/src/jvm/org/apache/storm/serialization/ITupleSerializer.java")</f>
        <v/>
      </c>
      <c r="D2167" t="inlineStr">
        <is>
          <t>This code defines an interface called `ITupleSerializer` that provides methods for serializing and deserializing tuples from the Apache Storm project. The interface includes two methods:
* `serialize`: Takes a `Tuple` object as input and returns its serialized form as a byte array.
* `crc32`: Calculates the CRC32</t>
        </is>
      </c>
      <c r="E2167" t="n">
        <v>0.0046</v>
      </c>
      <c r="F2167" t="n">
        <v>0.0755</v>
      </c>
      <c r="G2167" t="n">
        <v>0.08400000000000001</v>
      </c>
      <c r="H2167" t="inlineStr">
        <is>
          <t>This code defines an interface called `ITupleSerializer` that provides methods for serializing and deserializing tuples from the Apache Storm project. The interface has only one method, `serialize`, which takes a `Tuple` object as input and returns its serialized form as a byte array. Additionally, there is a commented out method `crc32` that calculates</t>
        </is>
      </c>
      <c r="I2167" t="n">
        <v>0.0041</v>
      </c>
      <c r="J2167" t="n">
        <v>0.06560000000000001</v>
      </c>
      <c r="K2167" t="n">
        <v>0.08</v>
      </c>
      <c r="L2167" t="inlineStr">
        <is>
          <t>The given code defines an interface called `ITupleSerializer` that provides methods for serializing and deserializing tuples. It also includes comments related to copyright ownership and licensing.</t>
        </is>
      </c>
      <c r="M2167" t="n">
        <v>0.0073</v>
      </c>
      <c r="N2167" t="n">
        <v>0.0588</v>
      </c>
      <c r="O2167" t="n">
        <v>0.051</v>
      </c>
    </row>
    <row r="2168">
      <c r="A2168" t="inlineStr">
        <is>
          <t>storm</t>
        </is>
      </c>
      <c r="B2168" t="inlineStr">
        <is>
          <t>storm-client/src/jvm/org/apache/storm/serialization/SerializableSerializer.java</t>
        </is>
      </c>
      <c r="C2168">
        <f>HYPERLINK("https://github.com/apache/storm/blob/master/storm-client/src/jvm/org/apache/storm/serialization/SerializableSerializer.java")</f>
        <v/>
      </c>
      <c r="D2168" t="inlineStr">
        <is>
          <t>This code appears to be a Java implementation of a serializer using the Kryo library. It defines a custom `Serializer` class that overrides the `write` and `read` methods to serialize and deserialize objects of type `T`. The `write` method takes an object of type `T` as input and writes its state to an output stream using the `Output` class</t>
        </is>
      </c>
      <c r="E2168" t="n">
        <v>0.0037</v>
      </c>
      <c r="F2168" t="n">
        <v>0.0896</v>
      </c>
      <c r="G2168" t="n">
        <v>0.1527</v>
      </c>
      <c r="H2168" t="inlineStr">
        <is>
          <t>This code appears to be part of an open source project called Apache Storm, which is a distributed real-time computation system. It defines a custom serializer class that uses the Kryo library to serialize objects into byte arrays. The serialized data can then be sent over the network to other nodes in the cluster for processing.
The `add` method takes two arguments, `a</t>
        </is>
      </c>
      <c r="I2168" t="n">
        <v>0.0029</v>
      </c>
      <c r="J2168" t="n">
        <v>0.0278</v>
      </c>
      <c r="K2168" t="n">
        <v>0.0741</v>
      </c>
      <c r="L2168" t="inlineStr">
        <is>
          <t>This code defines a custom serializer for Storm's `Tuple` class using the Kryo library. It implements the `Serializer` interface and provides methods for serializing and deserializing tuples. The serializer uses the Kryo framework to perform the actual serialization and deserialization, which allows for efficient and compact representation of tuples. The serializer also includes</t>
        </is>
      </c>
      <c r="M2168" t="n">
        <v>0.0045</v>
      </c>
      <c r="N2168" t="n">
        <v>0.0968</v>
      </c>
      <c r="O2168" t="n">
        <v>0.16</v>
      </c>
    </row>
    <row r="2169">
      <c r="A2169" t="inlineStr">
        <is>
          <t>storm</t>
        </is>
      </c>
      <c r="B2169" t="inlineStr">
        <is>
          <t>storm-client/src/jvm/org/apache/storm/serialization/KryoValuesDeserializer.java</t>
        </is>
      </c>
      <c r="C2169">
        <f>HYPERLINK("https://github.com/apache/storm/blob/master/storm-client/src/jvm/org/apache/storm/serialization/KryoValuesDeserializer.java")</f>
        <v/>
      </c>
      <c r="D2169" t="inlineStr">
        <is>
          <t>This code appears to be part of a Java library for serializing data using the Kryo serialization framework. It defines several classes that provide custom serializers for various types, including lists and maps. The `Serialization` class provides a method called `serialize()` that takes an object as input and returns its serialized form as a byte array. The `Deserialization`</t>
        </is>
      </c>
      <c r="E2169" t="n">
        <v>0.0037</v>
      </c>
      <c r="F2169" t="n">
        <v>0.0606</v>
      </c>
      <c r="G2169" t="n">
        <v>0.1154</v>
      </c>
      <c r="H2169" t="inlineStr">
        <is>
          <t>This code defines a class called `Serialization` that implements the `ISerializer` interface from the `com.esotericsoftware.kryo` package. It provides methods for serializing and deserializing objects using the Kryo library. The class also includes a constructor that takes a list of classes as input, which it uses to register the classes with the Kryo</t>
        </is>
      </c>
      <c r="I2169" t="n">
        <v>0.0046</v>
      </c>
      <c r="J2169" t="n">
        <v>0.0968</v>
      </c>
      <c r="K2169" t="n">
        <v>0.1613</v>
      </c>
      <c r="L2169" t="inlineStr">
        <is>
          <t>The provided code defines a class called `Serializers` that provides methods for serializing and deserializing data using the Kryo library. It also includes some utility functions for working with lists and maps.
The main purpose of the code appears to be implementing custom serialization and deserialization methods for Storm's data processing engine. The code uses the Kryo library to</t>
        </is>
      </c>
      <c r="M2169" t="n">
        <v>0.0031</v>
      </c>
      <c r="N2169" t="n">
        <v>0.0588</v>
      </c>
      <c r="O2169" t="n">
        <v>0.1145</v>
      </c>
    </row>
    <row r="2170">
      <c r="A2170" t="inlineStr">
        <is>
          <t>storm</t>
        </is>
      </c>
      <c r="B2170" t="inlineStr">
        <is>
          <t>storm-client/src/jvm/org/apache/storm/serialization/DefaultKryoFactory.java</t>
        </is>
      </c>
      <c r="C2170">
        <f>HYPERLINK("https://github.com/apache/storm/blob/master/storm-client/src/jvm/org/apache/storm/serialization/DefaultKryoFactory.java")</f>
        <v/>
      </c>
      <c r="D2170" t="inlineStr">
        <is>
          <t>This code appears to be part of a Java library for serializing and deserializing data using the Kryo serialization framework. It defines a custom `Serializer` class that can be used to serialize and deserialize instances of the `Map` interface from the `java.util` package. The serializer uses the `com.esotericsoftware.kryo.Kry</t>
        </is>
      </c>
      <c r="E2170" t="n">
        <v>0.0045</v>
      </c>
      <c r="F2170" t="n">
        <v>0.0667</v>
      </c>
      <c r="G2170" t="n">
        <v>0.125</v>
      </c>
      <c r="H2170" t="inlineStr">
        <is>
          <t>This code defines a serializer class that implements the Serializer interface from the Esoteric Software's Kryo library. It takes a map as input and returns a byte array representing the serialized form of the map. The serialization process uses the Kryo framework, which is a high-performance, type-safe, and portable serialization framework. The serializer</t>
        </is>
      </c>
      <c r="I2170" t="n">
        <v>0.0045</v>
      </c>
      <c r="J2170" t="n">
        <v>0.09379999999999999</v>
      </c>
      <c r="K2170" t="n">
        <v>0.16</v>
      </c>
      <c r="L2170" t="inlineStr">
        <is>
          <t>This code defines a custom serializer for Storm's `Tuple` class using the Kryo library. It implements the `Serializer` interface from Kryo, which allows it to be used as a replacement for the default Java serialization mechanism in Storm.
The serializer takes a `Tuple` object as input and returns a byte array representing the serialized form of</t>
        </is>
      </c>
      <c r="M2170" t="n">
        <v>0.0043</v>
      </c>
      <c r="N2170" t="n">
        <v>0.09229999999999999</v>
      </c>
      <c r="O2170" t="n">
        <v>0.1563</v>
      </c>
    </row>
    <row r="2171">
      <c r="A2171" t="inlineStr">
        <is>
          <t>storm</t>
        </is>
      </c>
      <c r="B2171" t="inlineStr">
        <is>
          <t>storm-client/src/jvm/org/apache/storm/serialization/KryoValuesSerializer.java</t>
        </is>
      </c>
      <c r="C2171">
        <f>HYPERLINK("https://github.com/apache/storm/blob/master/storm-client/src/jvm/org/apache/storm/serialization/KryoValuesSerializer.java")</f>
        <v/>
      </c>
      <c r="D2171" t="inlineStr">
        <is>
          <t>This Java package `org.apache.storm.serialization` defines classes that provide serialization and deserialization methods for various data structures used in Storm, such as lists and maps. It uses the Kryo library for efficient serialization and deserialization. The package also includes a class called `ListDelegate`, which provides a delegate implementation of the `java.util.List</t>
        </is>
      </c>
      <c r="E2171" t="n">
        <v>0.0044</v>
      </c>
      <c r="F2171" t="n">
        <v>0.0635</v>
      </c>
      <c r="G2171" t="n">
        <v>0.1639</v>
      </c>
      <c r="H2171" t="inlineStr">
        <is>
          <t>This code implements a serializer for Storm, which is a real-time computation system. It uses the Kryo library to serialize data structures such as lists and maps. The serialized data can be stored in memory or written to disk for later processing. The complexity of the algorithm is O(N), where N is the number of elements in the list being serialized.</t>
        </is>
      </c>
      <c r="I2171" t="n">
        <v>0.0039</v>
      </c>
      <c r="J2171" t="n">
        <v>0.08450000000000001</v>
      </c>
      <c r="K2171" t="n">
        <v>0.1504</v>
      </c>
      <c r="L2171" t="inlineStr">
        <is>
          <t>This code defines a custom serializer for Storm that uses Kryo to serialize objects. It provides a way to serialize lists and maps using the Kryo library, which can be useful when working with complex data structures in Storm. The serializer also includes comments about the Apache License and copyright notice.</t>
        </is>
      </c>
      <c r="M2171" t="n">
        <v>0.0043</v>
      </c>
      <c r="N2171" t="n">
        <v>0.0678</v>
      </c>
      <c r="O2171" t="n">
        <v>0.122</v>
      </c>
    </row>
    <row r="2172">
      <c r="A2172" t="inlineStr">
        <is>
          <t>storm</t>
        </is>
      </c>
      <c r="B2172" t="inlineStr">
        <is>
          <t>storm-client/src/jvm/org/apache/storm/serialization/KryoTupleSerializer.java</t>
        </is>
      </c>
      <c r="C2172">
        <f>HYPERLINK("https://github.com/apache/storm/blob/master/storm-client/src/jvm/org/apache/storm/serialization/KryoTupleSerializer.java")</f>
        <v/>
      </c>
      <c r="D2172" t="inlineStr">
        <is>
          <t>This Java code appears to be part of a Storm topology's serializer implementation. It defines a class called `KryoSerializer` that implements the `ISerializationPlugin` interface from the Storm library. The class has several methods that are responsible for serializing and deserializing data using the Kryo library.
The constructor takes two arguments: a `GeneralTopology</t>
        </is>
      </c>
      <c r="E2172" t="n">
        <v>0.0046</v>
      </c>
      <c r="F2172" t="n">
        <v>0.0984</v>
      </c>
      <c r="G2172" t="n">
        <v>0.1613</v>
      </c>
      <c r="H2172" t="inlineStr">
        <is>
          <t>This code appears to be part of a Java library for serializing data using the Kryo serialization framework. It defines a class called `KryoSerializationDelegate` that implements the `ISerializationDelegate` interface from Storm's `org.apache.storm.serialization` package. The class has several methods that perform various tasks related to serialization and deserial</t>
        </is>
      </c>
      <c r="I2172" t="n">
        <v>0.0051</v>
      </c>
      <c r="J2172" t="n">
        <v>0.1017</v>
      </c>
      <c r="K2172" t="n">
        <v>0.1681</v>
      </c>
      <c r="L2172" t="inlineStr">
        <is>
          <t>This Java class implements the `Serializable` interface and provides methods for serializing and deserializing data using the Kryo library. It takes a `GeneralTopologyContext` object as input and uses it to access the topology's configuration and task information. The class also defines two methods for serializing and deserializing data: `write()` and `read()`. These methods take</t>
        </is>
      </c>
      <c r="M2172" t="n">
        <v>0.0045</v>
      </c>
      <c r="N2172" t="n">
        <v>0.09520000000000001</v>
      </c>
      <c r="O2172" t="n">
        <v>0.1587</v>
      </c>
    </row>
    <row r="2173">
      <c r="A2173" t="inlineStr">
        <is>
          <t>storm</t>
        </is>
      </c>
      <c r="B2173" t="inlineStr">
        <is>
          <t>storm-client/src/jvm/org/apache/storm/serialization/GzipSerializationDelegate.java</t>
        </is>
      </c>
      <c r="C2173">
        <f>HYPERLINK("https://github.com/apache/storm/blob/master/storm-client/src/jvm/org/apache/storm/serialization/GzipSerializationDelegate.java")</f>
        <v/>
      </c>
      <c r="D2173" t="inlineStr">
        <is>
          <t>This Java class implements serialization and deserialization of objects using Java's built-in object serialization mechanism. It uses `ObjectOutputStream` and `ObjectInputStream` classes to write and read objects to and from a byte array stream. The `serialize()` method takes an object as input and returns its serialized form as a byte array, while the `deserialize()` method</t>
        </is>
      </c>
      <c r="E2173" t="n">
        <v>0.0045</v>
      </c>
      <c r="F2173" t="n">
        <v>0.09379999999999999</v>
      </c>
      <c r="G2173" t="n">
        <v>0.1587</v>
      </c>
      <c r="H2173" t="inlineStr">
        <is>
          <t>This is a Java package named `org.apache.storm.serialization` that provides serialization and deserialization functions for various data types. The package includes classes for serializing and deserializing objects using Java's built-in serialization mechanism as well as custom implementations for other data types such as strings and lists.
The package also includes a class called `Serial</t>
        </is>
      </c>
      <c r="I2173" t="n">
        <v>0.0041</v>
      </c>
      <c r="J2173" t="n">
        <v>0.09089999999999999</v>
      </c>
      <c r="K2173" t="n">
        <v>0.16</v>
      </c>
      <c r="L2173" t="inlineStr">
        <is>
          <t>The provided code defines a serializer class that implements the `Serializable` interface from Java's standard library. It takes an object as input and returns a byte array representation of that object using Java's built-in serialization mechanism. The serialized data can then be written to disk or transmitted over a network.
The class has two methods: `serialize()` and</t>
        </is>
      </c>
      <c r="M2173" t="n">
        <v>0.0038</v>
      </c>
      <c r="N2173" t="n">
        <v>0.0588</v>
      </c>
      <c r="O2173" t="n">
        <v>0.1163</v>
      </c>
    </row>
    <row r="2174">
      <c r="A2174" t="inlineStr">
        <is>
          <t>storm</t>
        </is>
      </c>
      <c r="B2174" t="inlineStr">
        <is>
          <t>storm-client/src/jvm/org/apache/storm/serialization/types/HashSetSerializer.java</t>
        </is>
      </c>
      <c r="C2174">
        <f>HYPERLINK("https://github.com/apache/storm/blob/master/storm-client/src/jvm/org/apache/storm/serialization/types/HashSetSerializer.java")</f>
        <v/>
      </c>
      <c r="D2174" t="inlineStr">
        <is>
          <t>This code appears to be part of a Java project that uses the Kryo serialization library to serialize and deserialize data. It defines a class called `MyCustomCollectionSerializer` that extends the `CollectionSerializer` class from Kryo. The `MyCustomCollectionSerializer` class overrides the `write` method to write custom data to a stream, and the `read` method</t>
        </is>
      </c>
      <c r="E2174" t="n">
        <v>0.0042</v>
      </c>
      <c r="F2174" t="n">
        <v>0.0667</v>
      </c>
      <c r="G2174" t="n">
        <v>0.121</v>
      </c>
      <c r="H2174" t="inlineStr">
        <is>
          <t>This code defines a Java class that implements serialization and deserialization of data using the Kryo library. It provides methods for serializing and deserializing objects of type C, which is a generic type parameter. The class also includes a constructor method that takes a Kryo instance as input and uses it to serialize and deserialize objects of type C. Additionally, the class has</t>
        </is>
      </c>
      <c r="I2174" t="n">
        <v>0.0038</v>
      </c>
      <c r="J2174" t="n">
        <v>0.08450000000000001</v>
      </c>
      <c r="K2174" t="n">
        <v>0.1481</v>
      </c>
      <c r="L2174" t="inlineStr">
        <is>
          <t>This code defines a custom serializer for Java collections using the Kryo library. It provides a way to serialize and deserialize instances of classes that implement the `java.util.Collection` interface, such as `List`, `Set`, and `Map`. The serializer uses the Kryo framework's built-in support for collection types, which allows for efficient serialization and</t>
        </is>
      </c>
      <c r="M2174" t="n">
        <v>0.0042</v>
      </c>
      <c r="N2174" t="n">
        <v>0.09379999999999999</v>
      </c>
      <c r="O2174" t="n">
        <v>0.1613</v>
      </c>
    </row>
    <row r="2175">
      <c r="A2175" t="inlineStr">
        <is>
          <t>storm</t>
        </is>
      </c>
      <c r="B2175" t="inlineStr">
        <is>
          <t>storm-client/src/jvm/org/apache/storm/serialization/types/ListDelegateSerializer.java</t>
        </is>
      </c>
      <c r="C2175">
        <f>HYPERLINK("https://github.com/apache/storm/blob/master/storm-client/src/jvm/org/apache/storm/serialization/types/ListDelegateSerializer.java")</f>
        <v/>
      </c>
      <c r="D2175" t="inlineStr">
        <is>
          <t>This code appears to be part of a Java project that uses the Kryo serialization library to serialize and deserialize data. It defines a custom `CollectionSerializer` class that extends the built-in Kryo collection serializer and adds support for serializing instances of the `java.util.C` class. The class also includes some comments describing its purpose and providing information about the</t>
        </is>
      </c>
      <c r="E2175" t="n">
        <v>0.0037</v>
      </c>
      <c r="F2175" t="n">
        <v>0.058</v>
      </c>
      <c r="G2175" t="n">
        <v>0.1154</v>
      </c>
      <c r="H2175" t="inlineStr">
        <is>
          <t>This code defines a serializer class for Java collections that uses the Kryo library to serialize and deserialize data. It implements the CollectionSerializer interface from Kryo and provides methods for serializing and deserializing collection objects. The class also includes a constructor that takes a Kryo instance as an argument and sets up the necessary dependencies. Overall, this code appears to be a</t>
        </is>
      </c>
      <c r="I2175" t="n">
        <v>0.0039</v>
      </c>
      <c r="J2175" t="n">
        <v>0.0857</v>
      </c>
      <c r="K2175" t="n">
        <v>0.1493</v>
      </c>
      <c r="L2175" t="inlineStr">
        <is>
          <t>This code defines a custom serializer for Java collections using the Kryo library. It takes in a collection as input and returns a byte array representing the serialized form of that collection. The serializer uses the CollectionSerializer class from the Kryo library to perform the actual serialization. The resulting byte array can be stored or transmitted across different systems, allowing for efficient deserialization</t>
        </is>
      </c>
      <c r="M2175" t="n">
        <v>0.0034</v>
      </c>
      <c r="N2175" t="n">
        <v>0.0563</v>
      </c>
      <c r="O2175" t="n">
        <v>0.1111</v>
      </c>
    </row>
    <row r="2176">
      <c r="A2176" t="inlineStr">
        <is>
          <t>storm</t>
        </is>
      </c>
      <c r="B2176" t="inlineStr">
        <is>
          <t>storm-client/src/jvm/org/apache/storm/serialization/types/ArrayListSerializer.java</t>
        </is>
      </c>
      <c r="C2176">
        <f>HYPERLINK("https://github.com/apache/storm/blob/master/storm-client/src/jvm/org/apache/storm/serialization/types/ArrayListSerializer.java")</f>
        <v/>
      </c>
      <c r="D2176" t="inlineStr">
        <is>
          <t>This code appears to be part of a Java project that uses the Kryo serialization library to serialize and deserialize data structures such as lists and maps. It defines a custom collection serializer class called `CustomCollectionSerializer` that extends the `CollectionSerializer` class from Kryo. This serializer is used to serialize and deserialize instances of classes that implement the `java.util</t>
        </is>
      </c>
      <c r="E2176" t="n">
        <v>0.0037</v>
      </c>
      <c r="F2176" t="n">
        <v>0.0597</v>
      </c>
      <c r="G2176" t="n">
        <v>0.1538</v>
      </c>
      <c r="H2176" t="inlineStr">
        <is>
          <t>This code defines a serializer class for Java collections using the Kryo library. It provides methods for serializing and deserializing collection objects into binary data. The class uses the CollectionSerializer from the Kryo library to perform the actual serialization and deserialization operations. The serialized data can be stored in a database or transmitted over a network. The class also includes comments</t>
        </is>
      </c>
      <c r="I2176" t="n">
        <v>0.0036</v>
      </c>
      <c r="J2176" t="n">
        <v>0.058</v>
      </c>
      <c r="K2176" t="n">
        <v>0.1128</v>
      </c>
      <c r="L2176" t="inlineStr">
        <is>
          <t>This code implements a custom serializer for Java collections using the Kryo library. It provides a way to serialize and deserialize collections of arbitrary type, including lists, sets, maps, and arrays. The serializer uses the Kryo framework's built-in support for collection types, which allows for efficient serialization and deserialization of large amounts of data. The implementation also</t>
        </is>
      </c>
      <c r="M2176" t="n">
        <v>0.0042</v>
      </c>
      <c r="N2176" t="n">
        <v>0.0896</v>
      </c>
      <c r="O2176" t="n">
        <v>0.155</v>
      </c>
    </row>
    <row r="2177">
      <c r="A2177" t="inlineStr">
        <is>
          <t>storm</t>
        </is>
      </c>
      <c r="B2177" t="inlineStr">
        <is>
          <t>storm-client/src/jvm/org/apache/storm/serialization/types/HashMapSerializer.java</t>
        </is>
      </c>
      <c r="C2177">
        <f>HYPERLINK("https://github.com/apache/storm/blob/master/storm-client/src/jvm/org/apache/storm/serialization/types/HashMapSerializer.java")</f>
        <v/>
      </c>
      <c r="D2177" t="inlineStr">
        <is>
          <t>This code appears to be a Java implementation of a serializer for a `HashMap` object using the Kryo library. It defines a custom `MapSerializer` class that extends the default `MapSerializer` class from Kryo. The `MapSerializer` class provides methods for serializing and deserializing maps, which can be used to serialize and deserialize objects that implement the `</t>
        </is>
      </c>
      <c r="E2177" t="n">
        <v>0.0039</v>
      </c>
      <c r="F2177" t="n">
        <v>0.09520000000000001</v>
      </c>
      <c r="G2177" t="n">
        <v>0.1563</v>
      </c>
      <c r="H2177" t="inlineStr">
        <is>
          <t>This code appears to be part of a Java project that uses the Kryo serialization library to serialize and deserialize data. It defines a class called `MyCustomMap` that extends the `HashMap` class and adds some custom behavior around serializing and deserializing map objects using Kryo.
The `add` method takes two parameters, `a` and `b</t>
        </is>
      </c>
      <c r="I2177" t="n">
        <v>0.004</v>
      </c>
      <c r="J2177" t="n">
        <v>0.0645</v>
      </c>
      <c r="K2177" t="n">
        <v>0.119</v>
      </c>
      <c r="L2177" t="inlineStr">
        <is>
          <t>This code defines a custom serializer for Java's `HashMap` class using the Kryo library. It provides a way to serialize and deserialize `HashMap` objects efficiently, which can be useful when working with large data sets or complex object graphs. The serializer uses the Kryo framework to perform the actual serialization and deserialization, and it also includes some additional features</t>
        </is>
      </c>
      <c r="M2177" t="n">
        <v>0.0037</v>
      </c>
      <c r="N2177" t="n">
        <v>0.0588</v>
      </c>
      <c r="O2177" t="n">
        <v>0.1145</v>
      </c>
    </row>
    <row r="2178">
      <c r="A2178" t="inlineStr">
        <is>
          <t>storm</t>
        </is>
      </c>
      <c r="B2178" t="inlineStr">
        <is>
          <t>storm-client/src/jvm/org/apache/storm/utils/ShellUtils.java</t>
        </is>
      </c>
      <c r="C2178">
        <f>HYPERLINK("https://github.com/apache/storm/blob/master/storm-client/src/jvm/org/apache/storm/utils/ShellUtils.java")</f>
        <v/>
      </c>
      <c r="D2178" t="inlineStr">
        <is>
          <t>This Java code is part of the Apache Storm project's utilities package. It provides methods for working with files and streams, as well as metrics tracking using Codahale's Metrics library. The code is licensed under the Apache License, which means it can be used freely by anyone who wants to contribute to the project.</t>
        </is>
      </c>
      <c r="E2178" t="n">
        <v>0.004</v>
      </c>
      <c r="F2178" t="n">
        <v>0.0625</v>
      </c>
      <c r="G2178" t="n">
        <v>0.119</v>
      </c>
      <c r="H2178" t="inlineStr">
        <is>
          <t>This code appears to be a Java library containing various utility classes and methods used in Apache Storm, a distributed real-time computation system. The code is licensed under the Apache License 2.0 and includes comments explaining its purpose and usage. It also has a README file that describes the project's goals and provides some context about the codebase.
The code imports several</t>
        </is>
      </c>
      <c r="I2178" t="n">
        <v>0.0035</v>
      </c>
      <c r="J2178" t="n">
        <v>0.0548</v>
      </c>
      <c r="K2178" t="n">
        <v>0.1119</v>
      </c>
      <c r="L2178" t="inlineStr">
        <is>
          <t>The provided code is part of the Apache Storm project's utilities package. It implements a method called `readLines` that reads lines from a given input stream and returns them as a list of strings. The method uses a buffered reader to read the input line by line, and it also takes into account any errors that might occur during reading. The method is designed to be used for</t>
        </is>
      </c>
      <c r="M2178" t="n">
        <v>0.0032</v>
      </c>
      <c r="N2178" t="n">
        <v>0.0519</v>
      </c>
      <c r="O2178" t="n">
        <v>0.1071</v>
      </c>
    </row>
    <row r="2179">
      <c r="A2179" t="inlineStr">
        <is>
          <t>storm</t>
        </is>
      </c>
      <c r="B2179" t="inlineStr">
        <is>
          <t>storm-client/src/jvm/org/apache/storm/utils/NimbusClient.java</t>
        </is>
      </c>
      <c r="C2179">
        <f>HYPERLINK("https://github.com/apache/storm/blob/master/storm-client/src/jvm/org/apache/storm/utils/NimbusClient.java")</f>
        <v/>
      </c>
      <c r="D2179" t="inlineStr">
        <is>
          <t>This code appears to be a Java implementation of a Storm client that interacts with a Nimbus server to submit topology configurations and retrieve information about running topologies. It uses the `Storm` library to communicate with the Nimbus server and the `Config` class from the same library to read configuration options. The code also defines several utility methods for working with maps and lists. Over</t>
        </is>
      </c>
      <c r="E2179" t="n">
        <v>0.0033</v>
      </c>
      <c r="F2179" t="n">
        <v>0.0822</v>
      </c>
      <c r="G2179" t="n">
        <v>0.2304</v>
      </c>
      <c r="H2179" t="inlineStr">
        <is>
          <t>This code appears to be part of a Java project that implements various utility functions used by Apache Storm, a distributed real-time computation system. The code defines several classes and interfaces related to authentication, authorization, and other security-related tasks. It also includes some basic data structures such as maps and lists.
The `AuthUtils` class provides methods for authenticating users based on their credentials</t>
        </is>
      </c>
      <c r="I2179" t="n">
        <v>0.0038</v>
      </c>
      <c r="J2179" t="n">
        <v>0.1096</v>
      </c>
      <c r="K2179" t="n">
        <v>0.1481</v>
      </c>
      <c r="L2179" t="inlineStr">
        <is>
          <t>This Java package `org.apache.storm.utils` provides utility functions for Apache Storm. It includes several classes and methods that help with various tasks such as authentication, configuration management, and data processing.
The package's primary function appears to be providing utilities for implementing the Nimbus server component of Storm, which manages the topology layout and execution. The package also</t>
        </is>
      </c>
      <c r="M2179" t="n">
        <v>0.0039</v>
      </c>
      <c r="N2179" t="n">
        <v>0.0882</v>
      </c>
      <c r="O2179" t="n">
        <v>0.1563</v>
      </c>
    </row>
    <row r="2180">
      <c r="A2180" t="inlineStr">
        <is>
          <t>springboot</t>
        </is>
      </c>
      <c r="B2180" t="inlineStr">
        <is>
          <t>integration-test/spring-boot-integration-tests/src/test/java/org/springframework/boot/web/servlet/support/ErrorPageFilterIntegrationTests.java</t>
        </is>
      </c>
      <c r="C2180">
        <f>HYPERLINK("https://github.com/spring-projects/spring-boot/blob/master/integration-test/spring-boot-integration-tests/src/test/java/org/springframework/boot/web/servlet/support/ErrorPageFilterIntegrationTests.java")</f>
        <v/>
      </c>
      <c r="D2180" t="inlineStr">
        <is>
          <t>This Java code appears to be part of a Spring Boot web application. It defines a class called `WebApplicationContextUtils` that provides utility methods for working with web applications. The class has several methods that can be used to get various objects from the current web application context, such as the servlet request and response, the HTTP session, and the ServletContext. Additionally, it also includes a</t>
        </is>
      </c>
      <c r="E2180" t="n">
        <v>0.0033</v>
      </c>
      <c r="F2180" t="n">
        <v>0.0548</v>
      </c>
      <c r="G2180" t="n">
        <v>0.1095</v>
      </c>
      <c r="H2180" t="inlineStr">
        <is>
          <t>This Java package `org.springframework.boot.web.servlet.support` contains classes that provide support for Spring Boot web applications. The package includes a class called `AbstractErrorController`, which provides a base implementation for handling errors in a Spring Boot application. It also includes a class called `ErrorAttributes`, which provides a way to access error attributes from within a controller. Additionally, there is</t>
        </is>
      </c>
      <c r="I2180" t="n">
        <v>0.0033</v>
      </c>
      <c r="J2180" t="n">
        <v>0.058</v>
      </c>
      <c r="K2180" t="n">
        <v>0.0781</v>
      </c>
      <c r="L2180" t="inlineStr">
        <is>
          <t>The provided code defines a class named `WebMvcIntegrationTests` that extends `AbstractDispatcherServletIntegrationTests`. It provides integration tests for Spring MVC applications using JUnit Jupiter. The test class uses the `@ExtendWith` annotation to enable the use of the `SpringExtension`, which sets up the application context and injects dependencies into the test instance.
The test method</t>
        </is>
      </c>
      <c r="M2180" t="n">
        <v>0.0035</v>
      </c>
      <c r="N2180" t="n">
        <v>0.0333</v>
      </c>
      <c r="O2180" t="n">
        <v>0.0806</v>
      </c>
    </row>
    <row r="2181">
      <c r="A2181" t="inlineStr">
        <is>
          <t>springboot</t>
        </is>
      </c>
      <c r="B2181" t="inlineStr">
        <is>
          <t>integration-test/spring-boot-loader-integration-tests/spring-boot-loader-tests-signed-jar/src/main/java/org/springframework/boot/loaderapp/LoaderSignedJarTestApplication.java</t>
        </is>
      </c>
      <c r="C2181">
        <f>HYPERLINK("https://github.com/spring-projects/spring-boot/blob/master/integration-test/spring-boot-loader-integration-tests/spring-boot-loader-tests-signed-jar/src/main/java/org/springframework/boot/loaderapp/LoaderSignedJarTestApplication.java")</f>
        <v/>
      </c>
      <c r="D2181" t="inlineStr">
        <is>
          <t>The provided code defines a Spring Boot application that uses the `LoaderSignedJar` test application to demonstrate how to sign a JAR file using the Bouncy Castle provider. It imports several classes from the `javax.crypto` and `org.bouncycastle.jce` packages, as well as the `SpringBootApplication` annotation from the `spring-boot</t>
        </is>
      </c>
      <c r="E2181" t="n">
        <v>0.004</v>
      </c>
      <c r="F2181" t="n">
        <v>0.0345</v>
      </c>
      <c r="G2181" t="n">
        <v>0.0847</v>
      </c>
      <c r="H2181" t="inlineStr">
        <is>
          <t>This Java Spring Boot application implements a signed JAR test using the `LoaderSignedJarTest` package. The application uses the `SpringBootApplication` annotation to indicate that it is a Spring Boot application. It also imports several other packages, including `java.security`, `javax.crypto`, and `org.bouncycastle`.
The main entry point of the</t>
        </is>
      </c>
      <c r="I2181" t="n">
        <v>0.0053</v>
      </c>
      <c r="J2181" t="n">
        <v>0.1053</v>
      </c>
      <c r="K2181" t="n">
        <v>0.1695</v>
      </c>
      <c r="L2181" t="inlineStr">
        <is>
          <t>The provided Java code defines a Spring Boot application that uses Bouncy Castle's `BouncyCastleProvider` to sign a JAR file. It imports necessary packages, sets up security settings, and launches the Spring Application using the `SpringApplication` class.</t>
        </is>
      </c>
      <c r="M2181" t="n">
        <v>0.0052</v>
      </c>
      <c r="N2181" t="n">
        <v>0.0444</v>
      </c>
      <c r="O2181" t="n">
        <v>0.0926</v>
      </c>
    </row>
    <row r="2182">
      <c r="A2182" t="inlineStr">
        <is>
          <t>springboot</t>
        </is>
      </c>
      <c r="B2182" t="inlineStr">
        <is>
          <t>integration-test/spring-boot-loader-integration-tests/spring-boot-loader-tests-app/src/main/java/org/springframework/boot/loaderapp/LoaderTestApplication.java</t>
        </is>
      </c>
      <c r="C2182">
        <f>HYPERLINK("https://github.com/spring-projects/spring-boot/blob/master/integration-test/spring-boot-loader-integration-tests/spring-boot-loader-tests-app/src/main/java/org/springframework/boot/loaderapp/LoaderTestApplication.java")</f>
        <v/>
      </c>
      <c r="D2182" t="inlineStr">
        <is>
          <t>This Java code defines a class called `LoaderApp` that implements the `Command` interface from Spring Boot. The class has several methods, including a constructor, a `run()` method, and a `getClasspathUrls()` method.
The `run()` method takes no arguments and returns nothing. It appears to be the main entry point of the application, as it is called</t>
        </is>
      </c>
      <c r="E2182" t="n">
        <v>0.0044</v>
      </c>
      <c r="F2182" t="n">
        <v>0.09520000000000001</v>
      </c>
      <c r="G2182" t="n">
        <v>0.1181</v>
      </c>
      <c r="H2182" t="inlineStr">
        <is>
          <t>This is Java source code that defines a Spring Boot application. It includes several classes and interfaces related to the Spring Framework, including `SpringBootApplication`, `WebMvcConfigurerAdapter`, `ResourceHandlerRegistry`, `ViewControllerRegistry`, and others. The code also includes some custom classes and methods that are used to configure and initialize the Spring Boot application.
The main class of the application is</t>
        </is>
      </c>
      <c r="I2182" t="n">
        <v>0.0039</v>
      </c>
      <c r="J2182" t="n">
        <v>0.0625</v>
      </c>
      <c r="K2182" t="n">
        <v>0.1172</v>
      </c>
      <c r="L2182" t="inlineStr">
        <is>
          <t>The code defines a class named `LoaderApplication` that extends the `SpringBootApplication` class from the Spring Boot framework. It provides a custom implementation of the `run()` method that initializes and starts the application.
The code uses various dependencies and libraries such as Spring Boot, Jakarta Servlet, and Java NIO to perform various tasks related to loading and starting the application.</t>
        </is>
      </c>
      <c r="M2182" t="n">
        <v>0.0031</v>
      </c>
      <c r="N2182" t="n">
        <v>0.0597</v>
      </c>
      <c r="O2182" t="n">
        <v>0.1145</v>
      </c>
    </row>
    <row r="2183">
      <c r="A2183" t="inlineStr">
        <is>
          <t>springboot</t>
        </is>
      </c>
      <c r="B2183" t="inlineStr">
        <is>
          <t>integration-test/spring-boot-loader-integration-tests/src/dockerTest/java/org/springframework/boot/loader/LoaderIntegrationTests.java</t>
        </is>
      </c>
      <c r="C2183">
        <f>HYPERLINK("https://github.com/spring-projects/spring-boot/blob/master/integration-test/spring-boot-loader-integration-tests/src/dockerTest/java/org/springframework/boot/loader/LoaderIntegrationTests.java")</f>
        <v/>
      </c>
      <c r="D2183" t="inlineStr">
        <is>
          <t>The provided code defines a `Main` class that runs unit tests using JUnit Jupiter. It uses TestContainers to run Docker containers as part of the test suite. The `Main` class has several methods that perform different tasks related to running the tests, such as starting the container, running the tests, and stopping the container. The code also includes comments and documentation explaining the purpose</t>
        </is>
      </c>
      <c r="E2183" t="n">
        <v>0.0028</v>
      </c>
      <c r="F2183" t="n">
        <v>0.0278</v>
      </c>
      <c r="G2183" t="n">
        <v>0.0735</v>
      </c>
      <c r="H2183" t="inlineStr">
        <is>
          <t>This code defines a Java package named `org.springframework.boot.loader` that provides various utility classes and methods for working with Spring Boot applications. The package includes several files, including a `pom.xml` file that specifies dependencies and build settings, as well as several source code files containing the actual implementation.
The main class of the package is called `SpringBootLoader`,</t>
        </is>
      </c>
      <c r="I2183" t="n">
        <v>0.0039</v>
      </c>
      <c r="J2183" t="n">
        <v>0.0588</v>
      </c>
      <c r="K2183" t="n">
        <v>0.1172</v>
      </c>
      <c r="L2183" t="inlineStr">
        <is>
          <t>The code in question is a Java class that implements a unit test using JUnit 5's parameterized testing feature. It defines several methods that provide input data for the tests, as well as a method that runs the actual tests. The class also imports various other libraries, including Spring Boot Loader, JUnit 5, and TestContainers.
The main purpose of</t>
        </is>
      </c>
      <c r="M2183" t="n">
        <v>0.0037</v>
      </c>
      <c r="N2183" t="n">
        <v>0.0588</v>
      </c>
      <c r="O2183" t="n">
        <v>0.1145</v>
      </c>
    </row>
    <row r="2184">
      <c r="A2184" t="inlineStr">
        <is>
          <t>springboot</t>
        </is>
      </c>
      <c r="B2184" t="inlineStr">
        <is>
          <t>integration-test/spring-boot-server-integration-tests/spring-boot-server-tests-app/src/main/java/com/example/JettyServerCustomizerConfig.java</t>
        </is>
      </c>
      <c r="C2184">
        <f>HYPERLINK("https://github.com/spring-projects/spring-boot/blob/master/integration-test/spring-boot-server-integration-tests/spring-boot-server-tests-app/src/main/java/com/example/JettyServerCustomizerConfig.java")</f>
        <v/>
      </c>
      <c r="D2184" t="inlineStr">
        <is>
          <t>This Java code defines a Spring Boot application that uses Jetty as its web server. It sets up a context handler and adds a HTTP connection factory to it. The code also imports several other classes from the Eclipse Jetty library, including `UriCompliance` and `AllowedResourceAliasChecker`. The code has been written using Java 8 syntax and includes comments explaining what each part</t>
        </is>
      </c>
      <c r="E2184" t="n">
        <v>0.0036</v>
      </c>
      <c r="F2184" t="n">
        <v>0.058</v>
      </c>
      <c r="G2184" t="n">
        <v>0.1128</v>
      </c>
      <c r="H2184" t="inlineStr">
        <is>
          <t>This code appears to be a Java project that uses Spring Boot as its framework. It defines several classes and interfaces related to HTTP server configuration and handling. The main class, `Application`, sets up a Jetty server instance using the `JettyServer` class, which provides a basic HTTP server implementation. The `JettyServer` class also includes a number of other classes and interfaces</t>
        </is>
      </c>
      <c r="I2184" t="n">
        <v>0.0036</v>
      </c>
      <c r="J2184" t="n">
        <v>0.08699999999999999</v>
      </c>
      <c r="K2184" t="n">
        <v>0.1128</v>
      </c>
      <c r="L2184" t="inlineStr">
        <is>
          <t>The provided code defines a Spring Boot application that utilizes Jetty as the web server. It sets up various configurations related to HTTP connections, including the use of the HttpConnectionFactory class from the Jetty library. Additionally, it includes customizations such as setting the allowed resource alias checker and enabling URI compliance.</t>
        </is>
      </c>
      <c r="M2184" t="n">
        <v>0.0036</v>
      </c>
      <c r="N2184" t="n">
        <v>0.0339</v>
      </c>
      <c r="O2184" t="n">
        <v>0.0813</v>
      </c>
    </row>
    <row r="2185">
      <c r="A2185" t="inlineStr">
        <is>
          <t>springboot</t>
        </is>
      </c>
      <c r="B2185" t="inlineStr">
        <is>
          <t>integration-test/spring-boot-server-integration-tests/spring-boot-server-tests-app/src/main/java/com/example/ResourceHandlingApplication.java</t>
        </is>
      </c>
      <c r="C2185">
        <f>HYPERLINK("https://github.com/spring-projects/spring-boot/blob/master/integration-test/spring-boot-server-integration-tests/spring-boot-server-tests-app/src/main/java/com/example/ResourceHandlingApplication.java")</f>
        <v/>
      </c>
      <c r="D2185" t="inlineStr">
        <is>
          <t>This Java code appears to be part of a web application that uses Spring Boot as its framework. It defines a `HelloWorld` class that extends `HttpServlet`, which provides a basic HTTP endpoint for handling requests. The servlet's `doGet()` method prints a simple message to the console when a GET request is received. Additionally, it includes some boilerplate code related to licens</t>
        </is>
      </c>
      <c r="E2185" t="n">
        <v>0.003</v>
      </c>
      <c r="F2185" t="n">
        <v>0.0286</v>
      </c>
      <c r="G2185" t="n">
        <v>0.0752</v>
      </c>
      <c r="H2185" t="inlineStr">
        <is>
          <t>This code appears to be a Java web application using Spring Boot. It defines a class called `com.example.Main` that extends `HttpServlet`, which provides a RESTful API for interacting with data stored in a database. The `doGet()` method retrieves data from the database based on a query parameter passed in the request URL, and returns it as JSON data in the response</t>
        </is>
      </c>
      <c r="I2185" t="n">
        <v>0.0036</v>
      </c>
      <c r="J2185" t="n">
        <v>0.0563</v>
      </c>
      <c r="K2185" t="n">
        <v>0.1128</v>
      </c>
      <c r="L2185" t="inlineStr">
        <is>
          <t>The provided code is a Java servlet that handles HTTP requests and responses. It imports various libraries such as Jakarta Servlet API, Spring Boot Autoconfiguration, and Java I/O. The servlet class extends HttpServlet and overrides the service method to handle GET requests. The service method first checks if the request URI matches a certain pattern and then calls a function called getData() to retrieve data</t>
        </is>
      </c>
      <c r="M2185" t="n">
        <v>0.0028</v>
      </c>
      <c r="N2185" t="n">
        <v>0.027</v>
      </c>
      <c r="O2185" t="n">
        <v>0.073</v>
      </c>
    </row>
    <row r="2186">
      <c r="A2186" t="inlineStr">
        <is>
          <t>springboot</t>
        </is>
      </c>
      <c r="B2186" t="inlineStr">
        <is>
          <t>integration-test/spring-boot-server-integration-tests/spring-boot-server-tests-app/src/main/java/com/autoconfig/ExampleAutoConfiguration.java</t>
        </is>
      </c>
      <c r="C2186">
        <f>HYPERLINK("https://github.com/spring-projects/spring-boot/blob/master/integration-test/spring-boot-server-integration-tests/spring-boot-server-tests-app/src/main/java/com/autoconfig/ExampleAutoConfiguration.java")</f>
        <v/>
      </c>
      <c r="D2186" t="inlineStr">
        <is>
          <t>This Java code defines a servlet class named `AutoConfig` that extends the `HttpServlet` class from Jakarta Servlet API. The servlet is annotated with `@AutoConfiguration`, which indicates that it should be automatically configured when the application starts up. Additionally, the servlet is conditionally enabled only if the application is running as a war file (`@ConditionalOnWarDep`).</t>
        </is>
      </c>
      <c r="E2186" t="n">
        <v>0.0034</v>
      </c>
      <c r="F2186" t="n">
        <v>0.0323</v>
      </c>
      <c r="G2186" t="n">
        <v>0.0794</v>
      </c>
      <c r="H2186" t="inlineStr">
        <is>
          <t>The provided code defines a Java servlet that serves as the entry point for the application. It imports various libraries, including Spring Boot's AutoConfiguration framework and Jakarta Servlet API, and declares a class named `com.autoconfig` that extends `HttpServlet`. The servlet uses the `doGet()` method to handle GET requests and the `doPost()` method to handle POST requests</t>
        </is>
      </c>
      <c r="I2186" t="n">
        <v>0.0033</v>
      </c>
      <c r="J2186" t="n">
        <v>0.0303</v>
      </c>
      <c r="K2186" t="n">
        <v>0.0781</v>
      </c>
      <c r="L2186" t="inlineStr">
        <is>
          <t>The provided code defines a Java class named `AutoConfig` that extends the `HttpServlet` class from Jakarta Servlet API. It is annotated with `@AutoConfiguration` and `@ConditionalOnWarDep`, which indicate that this configuration should be automatically applied when the application is running as a war deployment.
The `doGet()` method handles GET requests to the servlet'</t>
        </is>
      </c>
      <c r="M2186" t="n">
        <v>0.0035</v>
      </c>
      <c r="N2186" t="n">
        <v>0.0333</v>
      </c>
      <c r="O2186" t="n">
        <v>0.121</v>
      </c>
    </row>
    <row r="2187">
      <c r="A2187" t="inlineStr">
        <is>
          <t>springboot</t>
        </is>
      </c>
      <c r="B2187" t="inlineStr">
        <is>
          <t>integration-test/spring-boot-server-integration-tests/src/intTest/java/org/springframework/boot/context/embedded/EmbeddedServerContainerInvocationContextProvider.java</t>
        </is>
      </c>
      <c r="C2187">
        <f>HYPERLINK("https://github.com/spring-projects/spring-boot/blob/master/integration-test/spring-boot-server-integration-tests/src/intTest/java/org/springframework/boot/context/embedded/EmbeddedServerContainerInvocationContextProvider.java")</f>
        <v/>
      </c>
      <c r="D2187" t="inlineStr">
        <is>
          <t>This code appears to be part of a Java project that provides various utility methods for working with files and directories. The main class `FileSystemUtils` defines several static methods for performing common operations such as copying, moving, deleting, and listing files and directories. It also includes some additional helper methods for working with URLs, URIs, and other types of resources.
The code uses</t>
        </is>
      </c>
      <c r="E2187" t="n">
        <v>0.0034</v>
      </c>
      <c r="F2187" t="n">
        <v>0.0563</v>
      </c>
      <c r="G2187" t="n">
        <v>0.1111</v>
      </c>
      <c r="H2187" t="inlineStr">
        <is>
          <t>This Java code defines a class named `EmbeddedServletContainerFactory` that implements the `org.springframework.boot.context.embedded.EmbeddedServletContainerFactory` interface. The class has several methods that provide various functionalities related to creating and managing embedded servlet containers. These include:
* `createServletContainer()`: Creates an instance of an embedded servlet</t>
        </is>
      </c>
      <c r="I2187" t="n">
        <v>0.0059</v>
      </c>
      <c r="J2187" t="n">
        <v>0.1509</v>
      </c>
      <c r="K2187" t="n">
        <v>0.177</v>
      </c>
      <c r="L2187" t="inlineStr">
        <is>
          <t>The provided code defines a class called `EmbeddedServletContainerFactory` that creates instances of embedded servlet containers. It provides several methods for configuring the container, such as setting the port number, enabling SSL support, and adding custom initialization parameters. Additionally, it has a constructor that takes a map of configuration properties and uses them to configure the container.</t>
        </is>
      </c>
      <c r="M2187" t="n">
        <v>0.0033</v>
      </c>
      <c r="N2187" t="n">
        <v>0.0312</v>
      </c>
      <c r="O2187" t="n">
        <v>0.0781</v>
      </c>
    </row>
    <row r="2188">
      <c r="A2188" t="inlineStr">
        <is>
          <t>springboot</t>
        </is>
      </c>
      <c r="B2188" t="inlineStr">
        <is>
          <t>integration-test/spring-boot-server-integration-tests/src/intTest/java/org/springframework/boot/context/embedded/EmbeddedServletContainerWarDevelopmentIntegrationTests.java</t>
        </is>
      </c>
      <c r="C2188">
        <f>HYPERLINK("https://github.com/spring-projects/spring-boot/blob/master/integration-test/spring-boot-server-integration-tests/src/intTest/java/org/springframework/boot/context/embedded/EmbeddedServletContainerWarDevelopmentIntegrationTests.java")</f>
        <v/>
      </c>
      <c r="D2188" t="inlineStr">
        <is>
          <t>This code appears to be part of a Java project that implements various utility methods for working with HTTP requests and responses. The `HttpRequest` class provides a simple interface for sending HTTP requests and receiving their responses, while the `HttpResponse` class represents the response received from the server. Both classes are designed to work seamlessly with Spring's `RestTemplate` class, which simplifies the</t>
        </is>
      </c>
      <c r="E2188" t="n">
        <v>0.0039</v>
      </c>
      <c r="F2188" t="n">
        <v>0.08450000000000001</v>
      </c>
      <c r="G2188" t="n">
        <v>0.1493</v>
      </c>
      <c r="H2188" t="inlineStr">
        <is>
          <t>This code appears to be part of a Spring Boot application that provides an embedded web server. The `EmbeddedServletContainerFactory` interface defines a factory method for creating instances of `ConfigurableEmbeddedServletContainer`. The `DefaultEmbeddedServletContainerFactory` class implements this interface and provides a default implementation of the container factory. It also includes several other methods related to configuring</t>
        </is>
      </c>
      <c r="I2188" t="n">
        <v>0.0045</v>
      </c>
      <c r="J2188" t="n">
        <v>0.0984</v>
      </c>
      <c r="K2188" t="n">
        <v>0.16</v>
      </c>
      <c r="L2188" t="inlineStr">
        <is>
          <t>The provided code defines a Java class that implements the `EmbeddedServletContainer` interface from Spring Boot. It provides a simple implementation of a web server using the Jetty library. The class takes a list of `WebServerFactoryCustomizer` instances as input, which can be used to customize the embedded servlet container before it starts.
The `start()` method initializes the</t>
        </is>
      </c>
      <c r="M2188" t="n">
        <v>0.0033</v>
      </c>
      <c r="N2188" t="n">
        <v>0.0312</v>
      </c>
      <c r="O2188" t="n">
        <v>0.0781</v>
      </c>
    </row>
    <row r="2189">
      <c r="A2189" t="inlineStr">
        <is>
          <t>springboot</t>
        </is>
      </c>
      <c r="B2189" t="inlineStr">
        <is>
          <t>integration-test/spring-boot-server-integration-tests/src/intTest/java/org/springframework/boot/context/embedded/PackagedApplicationLauncher.java</t>
        </is>
      </c>
      <c r="C2189">
        <f>HYPERLINK("https://github.com/spring-projects/spring-boot/blob/master/integration-test/spring-boot-server-integration-tests/src/intTest/java/org/springframework/boot/context/embedded/PackagedApplicationLauncher.java")</f>
        <v/>
      </c>
      <c r="D2189" t="inlineStr">
        <is>
          <t>The `PackagedApplicationLauncher` class is a subclass of `AbstractApplicationLauncher` that launches a packaged Spring Boot application using the `java -jar` command. It takes no arguments in its constructor and has only one method, `launch`, which starts the application by calling the `start` method of the `SpringApplication` class.</t>
        </is>
      </c>
      <c r="E2189" t="n">
        <v>0.004</v>
      </c>
      <c r="F2189" t="n">
        <v>0.037</v>
      </c>
      <c r="G2189" t="n">
        <v>0.0847</v>
      </c>
      <c r="H2189" t="inlineStr">
        <is>
          <t>This code defines a class called `PackagedApplicationLauncher` that inherits from `AbstractApplicationLauncher`. It is used to launch a packaged Spring Boot application using the `java -jar` command. The class has several methods, including a constructor, getters, setters, and a main method. The main method is responsible for launching the application. The class also includes</t>
        </is>
      </c>
      <c r="I2189" t="n">
        <v>0.0041</v>
      </c>
      <c r="J2189" t="n">
        <v>0.06560000000000001</v>
      </c>
      <c r="K2189" t="n">
        <v>0.12</v>
      </c>
      <c r="L2189" t="inlineStr">
        <is>
          <t>The `PackagedApplicationLauncher` class is a custom implementation of the `AbstractApplicationLauncher` interface in Java. It provides a way to launch a packaged Spring Boot application using the `java -jar` command. The class takes care of finding the necessary files and arguments needed to run the application.
The class has three main methods: `launch`, `getArguments`,</t>
        </is>
      </c>
      <c r="M2189" t="n">
        <v>0.0035</v>
      </c>
      <c r="N2189" t="n">
        <v>0.06560000000000001</v>
      </c>
      <c r="O2189" t="n">
        <v>0.12</v>
      </c>
    </row>
    <row r="2190">
      <c r="A2190" t="inlineStr">
        <is>
          <t>springboot</t>
        </is>
      </c>
      <c r="B2190" t="inlineStr">
        <is>
          <t>integration-test/spring-boot-server-integration-tests/src/intTest/java/org/springframework/boot/context/embedded/EmbeddedServletContainerJarPackagingIntegrationTests.java</t>
        </is>
      </c>
      <c r="C2190">
        <f>HYPERLINK("https://github.com/spring-projects/spring-boot/blob/master/integration-test/spring-boot-server-integration-tests/src/intTest/java/org/springframework/boot/context/embedded/EmbeddedServletContainerJarPackagingIntegrationTests.java")</f>
        <v/>
      </c>
      <c r="D2190" t="inlineStr">
        <is>
          <t>The provided Java code defines a Spring Boot application that provides a RESTful API for managing user accounts. It uses JUnit Jupiter test annotations to define tests for the application's behavior, including testing the HTTP status codes returned by the API endpoints. The code also includes comments describing the purpose of each method and class, as well as the complexity and size of the codebase.</t>
        </is>
      </c>
      <c r="E2190" t="n">
        <v>0.0028</v>
      </c>
      <c r="F2190" t="n">
        <v>0.027</v>
      </c>
      <c r="G2190" t="n">
        <v>0.073</v>
      </c>
      <c r="H2190" t="inlineStr">
        <is>
          <t>This repository contains Java source files that implement various backend software components using Spring Boot. The code is well-documented and includes JUnit test cases to ensure its correctness. It also includes comments explaining the implementation of certain features. The complexity of the code is O(N), where N is the number of input parameters. The repository has been committed once, and it currently consists of approximately</t>
        </is>
      </c>
      <c r="I2190" t="n">
        <v>0.0037</v>
      </c>
      <c r="J2190" t="n">
        <v>0.1067</v>
      </c>
      <c r="K2190" t="n">
        <v>0.1825</v>
      </c>
      <c r="L2190" t="inlineStr">
        <is>
          <t>The provided code defines a class named `EmbeddedServletContainerFactory` that implements the `SpringBootApplication` interface. It provides a factory method for creating embedded servlet containers using Spring Boot's auto-configuration capabilities. The class also includes unit tests using JUnit Jupiter and AssertJ for testing the container creation process.</t>
        </is>
      </c>
      <c r="M2190" t="n">
        <v>0.0049</v>
      </c>
      <c r="N2190" t="n">
        <v>0.0727</v>
      </c>
      <c r="O2190" t="n">
        <v>0.1282</v>
      </c>
    </row>
    <row r="2191">
      <c r="A2191" t="inlineStr">
        <is>
          <t>springboot</t>
        </is>
      </c>
      <c r="B2191" t="inlineStr">
        <is>
          <t>integration-test/spring-boot-server-integration-tests/src/intTest/java/org/springframework/boot/context/embedded/EmbeddedServletContainerWarPackagingIntegrationTests.java</t>
        </is>
      </c>
      <c r="C2191">
        <f>HYPERLINK("https://github.com/spring-projects/spring-boot/blob/master/integration-test/spring-boot-server-integration-tests/src/intTest/java/org/springframework/boot/context/embedded/EmbeddedServletContainerWarPackagingIntegrationTests.java")</f>
        <v/>
      </c>
      <c r="D2191" t="inlineStr">
        <is>
          <t>This code defines a class called `EmbeddedServletContainerFactory` that provides a factory method for creating embedded servlet containers. The class has several methods, including `getPort()`, `setPort()`, `createBuilder()`, and `getDocumentRoot()`. It also imports various packages, such as `java.io`, `java.util`, and `org.springframework.http`.
The</t>
        </is>
      </c>
      <c r="E2191" t="n">
        <v>0.0055</v>
      </c>
      <c r="F2191" t="n">
        <v>0.0769</v>
      </c>
      <c r="G2191" t="n">
        <v>0.0893</v>
      </c>
      <c r="H2191" t="inlineStr">
        <is>
          <t>This code appears to be part of a Java project that implements a web application using Spring Boot. The `EmbeddedServletContainer` class defines a custom embedded container that can be used to run a web application within another process. It provides methods for starting and stopping the container, as well as configuring it with various options such as port number and context path.
The `Embed</t>
        </is>
      </c>
      <c r="I2191" t="n">
        <v>0.0037</v>
      </c>
      <c r="J2191" t="n">
        <v>0.0833</v>
      </c>
      <c r="K2191" t="n">
        <v>0.1471</v>
      </c>
      <c r="L2191" t="inlineStr">
        <is>
          <t>The code defines a class named `EmbeddedServletContainerFactory` that provides a factory method for creating embedded servlet containers. It uses JUnit 5 annotations such as `@TestTemplate`, `@DisabledOnOs`, and `@OS` to define test methods that run on different operating systems. The class also imports classes from the Spring framework's `HttpStatus` enum and `org.</t>
        </is>
      </c>
      <c r="M2191" t="n">
        <v>0.0036</v>
      </c>
      <c r="N2191" t="n">
        <v>0.0333</v>
      </c>
      <c r="O2191" t="n">
        <v>0.0813</v>
      </c>
    </row>
    <row r="2192">
      <c r="A2192" t="inlineStr">
        <is>
          <t>springboot</t>
        </is>
      </c>
      <c r="B2192" t="inlineStr">
        <is>
          <t>integration-test/spring-boot-server-integration-tests/src/intTest/java/org/springframework/boot/context/embedded/EmbeddedServletContainerTest.java</t>
        </is>
      </c>
      <c r="C2192">
        <f>HYPERLINK("https://github.com/spring-projects/spring-boot/blob/master/integration-test/spring-boot-server-integration-tests/src/intTest/java/org/springframework/boot/context/embedded/EmbeddedServletContainerTest.java")</f>
        <v/>
      </c>
      <c r="D2192" t="inlineStr">
        <is>
          <t>The `ServletContainerTest` annotation is used to configure servlet container tests. It is annotated with `@Retention(RetentionPolicy.RUNTIME)` which means that it will be retained at runtime. The annotation has no methods, but it does have a single field called `value`, which is also annotated with `@Configuration`. This field is a reference to a configuration class that provides</t>
        </is>
      </c>
      <c r="E2192" t="n">
        <v>0.0033</v>
      </c>
      <c r="F2192" t="n">
        <v>0.0308</v>
      </c>
      <c r="G2192" t="n">
        <v>0.07870000000000001</v>
      </c>
      <c r="H2192" t="inlineStr">
        <is>
          <t>This Java annotation is used to configure servlet container tests. It is part of the Spring Boot framework's embedded package. The annotation is defined as follows:
```
@Retention(RetentionPolicy.RUNTIME)
@Target({ElementType.TYPE})
public @interface EmbeddedServletContainer {
    // ...
}
```
The annotation has no parameters</t>
        </is>
      </c>
      <c r="I2192" t="n">
        <v>0.0044</v>
      </c>
      <c r="J2192" t="n">
        <v>0.0408</v>
      </c>
      <c r="K2192" t="n">
        <v>0.0877</v>
      </c>
      <c r="L2192" t="inlineStr">
        <is>
          <t>The code defines an annotation called `ServletContainer` that can be used to configure servlet container tests. It is part of the Spring Boot framework's embedded web server implementation.</t>
        </is>
      </c>
      <c r="M2192" t="n">
        <v>0</v>
      </c>
      <c r="N2192" t="n">
        <v>0.0541</v>
      </c>
      <c r="O2192" t="n">
        <v>0.05</v>
      </c>
    </row>
    <row r="2193">
      <c r="A2193" t="inlineStr">
        <is>
          <t>springboot</t>
        </is>
      </c>
      <c r="B2193" t="inlineStr">
        <is>
          <t>integration-test/spring-boot-server-integration-tests/src/intTest/java/org/springframework/boot/context/embedded/IdeApplicationLauncher.java</t>
        </is>
      </c>
      <c r="C2193">
        <f>HYPERLINK("https://github.com/spring-projects/spring-boot/blob/master/integration-test/spring-boot-server-integration-tests/src/intTest/java/org/springframework/boot/context/embedded/IdeApplicationLauncher.java")</f>
        <v/>
      </c>
      <c r="D2193" t="inlineStr">
        <is>
          <t>This code appears to be part of a Java project that uses Spring Boot's embedded server capabilities to serve web content from a JAR file. The code defines several classes related to serving files from a JAR file, including `JarFileServer` and `JarFileResource`. These classes provide methods for listing the contents of a JAR file, reading the contents of a particular entry</t>
        </is>
      </c>
      <c r="E2193" t="n">
        <v>0.0036</v>
      </c>
      <c r="F2193" t="n">
        <v>0.0571</v>
      </c>
      <c r="G2193" t="n">
        <v>0.1128</v>
      </c>
      <c r="H2193" t="inlineStr">
        <is>
          <t>This code defines a class called `EmbeddedServletContainer` that extends the `AbstractConfigurableWebServerFactory` class from Spring Boot's `WebApplicationContext`. The class provides various methods for configuring and starting an embedded servlet container, such as setting the port number, context path, and document root. It also includes several utility methods for working with JAR files and directories.</t>
        </is>
      </c>
      <c r="I2193" t="n">
        <v>0.0041</v>
      </c>
      <c r="J2193" t="n">
        <v>0.0645</v>
      </c>
      <c r="K2193" t="n">
        <v>0.12</v>
      </c>
      <c r="L2193" t="inlineStr">
        <is>
          <t>The provided code defines a class called `JarLauncher` that implements the `ApplicationRunner` interface from Spring Boot. It takes a jar file as input and extracts all files from the jar into a temporary directory before launching the application using the `SpringApplication` class. The code also handles errors related to reading and writing files, as well as exceptions thrown by the `SpringApplication</t>
        </is>
      </c>
      <c r="M2193" t="n">
        <v>0.0036</v>
      </c>
      <c r="N2193" t="n">
        <v>0.058</v>
      </c>
      <c r="O2193" t="n">
        <v>0.1128</v>
      </c>
    </row>
    <row r="2194">
      <c r="A2194" t="inlineStr">
        <is>
          <t>springboot</t>
        </is>
      </c>
      <c r="B2194" t="inlineStr">
        <is>
          <t>integration-test/spring-boot-server-integration-tests/src/intTest/java/org/springframework/boot/context/embedded/BootRunApplicationLauncher.java</t>
        </is>
      </c>
      <c r="C2194">
        <f>HYPERLINK("https://github.com/spring-projects/spring-boot/blob/master/integration-test/spring-boot-server-integration-tests/src/intTest/java/org/springframework/boot/context/embedded/BootRunApplicationLauncher.java")</f>
        <v/>
      </c>
      <c r="D2194" t="inlineStr">
        <is>
          <t>The code defines a class called `EmbeddedServletContainer` that extends `AbstractEmbeddedServletContainer`. It provides a way to run a Spring Boot application as a standalone server. The class has several methods that allow users to customize the behavior of the embedded container, such as setting the port number, enabling SSL support, and adding additional servlets or filters.</t>
        </is>
      </c>
      <c r="E2194" t="n">
        <v>0.0033</v>
      </c>
      <c r="F2194" t="n">
        <v>0.0317</v>
      </c>
      <c r="G2194" t="n">
        <v>0.07870000000000001</v>
      </c>
      <c r="H2194" t="inlineStr">
        <is>
          <t>This code is part of a Spring Boot application that provides embedded web server capabilities. It includes several classes and methods related to serving static assets from within a JAR file. The main class, `EmbeddedWebApplicationContext`, extends the `SpringBootServletInitializer` class and overrides its `configure` method to set up the embedded web server. The `getResourcePath` method</t>
        </is>
      </c>
      <c r="I2194" t="n">
        <v>0.004</v>
      </c>
      <c r="J2194" t="n">
        <v>0.0645</v>
      </c>
      <c r="K2194" t="n">
        <v>0.119</v>
      </c>
      <c r="L2194" t="inlineStr">
        <is>
          <t>The code defines a class called `EmbeddedServletContainerFactory` that provides a factory method for creating instances of embedded servlet containers. It takes a list of configuration classes as input and returns a new instance of `ConfigurableEmbeddedServletContainer`. The `ConfigurableEmbeddedServletContainer` interface extends `EmbeddedServletContainer`, which provides methods for starting and stopping the container</t>
        </is>
      </c>
      <c r="M2194" t="n">
        <v>0.0037</v>
      </c>
      <c r="N2194" t="n">
        <v>0.0351</v>
      </c>
      <c r="O2194" t="n">
        <v>0.0413</v>
      </c>
    </row>
    <row r="2195">
      <c r="A2195" t="inlineStr">
        <is>
          <t>springboot</t>
        </is>
      </c>
      <c r="B2195" t="inlineStr">
        <is>
          <t>integration-test/spring-boot-server-integration-tests/src/intTest/java/org/springframework/boot/context/embedded/Application.java</t>
        </is>
      </c>
      <c r="C2195">
        <f>HYPERLINK("https://github.com/spring-projects/spring-boot/blob/master/integration-test/spring-boot-server-integration-tests/src/intTest/java/org/springframework/boot/context/embedded/Application.java")</f>
        <v/>
      </c>
      <c r="D2195" t="inlineStr">
        <is>
          <t>The `Application` class represents a pre-built application that can be launched. It has two properties: `packaging`, which specifies the type of packaging used for the application, and `container`, which specifies the container technology used to run the application. The constructor takes these values as parameters. The class also includes a `getPackaging()` method and a `getContainer()`</t>
        </is>
      </c>
      <c r="E2195" t="n">
        <v>0.0033</v>
      </c>
      <c r="F2195" t="n">
        <v>0.0312</v>
      </c>
      <c r="G2195" t="n">
        <v>0.07870000000000001</v>
      </c>
      <c r="H2195" t="inlineStr">
        <is>
          <t>This code defines a class called `Application` that represents a pre-built application that can be launched. It has three fields: `packaging`, which specifies how the application should be packaged, `container`, which specifies what kind of container the application will run in, and a constructor that takes these values as parameters. The class also includes a method called `getPackaging()`</t>
        </is>
      </c>
      <c r="I2195" t="n">
        <v>0.0037</v>
      </c>
      <c r="J2195" t="n">
        <v>0.0597</v>
      </c>
      <c r="K2195" t="n">
        <v>0.1154</v>
      </c>
      <c r="L2195" t="inlineStr">
        <is>
          <t>The `Application` class represents a pre-built application that can be launched. It has two fields: `packaging`, which specifies the type of packaging used for the application, and `container`, which specifies the container technology used to launch the application. The constructor takes these values as arguments and sets them as instance variables. The `getPackaging()` method returns the value of</t>
        </is>
      </c>
      <c r="M2195" t="n">
        <v>0.0031</v>
      </c>
      <c r="N2195" t="n">
        <v>0.0299</v>
      </c>
      <c r="O2195" t="n">
        <v>0.0769</v>
      </c>
    </row>
    <row r="2196">
      <c r="A2196" t="inlineStr">
        <is>
          <t>springboot</t>
        </is>
      </c>
      <c r="B2196" t="inlineStr">
        <is>
          <t>integration-test/spring-boot-server-integration-tests/src/intTest/java/org/springframework/boot/context/embedded/ExplodedApplicationLauncher.java</t>
        </is>
      </c>
      <c r="C2196">
        <f>HYPERLINK("https://github.com/spring-projects/spring-boot/blob/master/integration-test/spring-boot-server-integration-tests/src/intTest/java/org/springframework/boot/context/embedded/ExplodedApplicationLauncher.java")</f>
        <v/>
      </c>
      <c r="D2196" t="inlineStr">
        <is>
          <t>This Java class implements the `EmbeddedServletContainer` interface from Spring Boot's `org.springframework.boot.context.embedded` package. It provides a way to embed a servlet container within another application, allowing it to serve web requests. The class takes a list of files as input and extracts them into a temporary directory, then creates a jar file containing those files and</t>
        </is>
      </c>
      <c r="E2196" t="n">
        <v>0.0044</v>
      </c>
      <c r="F2196" t="n">
        <v>0.0882</v>
      </c>
      <c r="G2196" t="n">
        <v>0.1181</v>
      </c>
      <c r="H2196" t="inlineStr">
        <is>
          <t>This Java class implements a utility method that extracts files from a JAR archive into a target directory. The method takes three arguments:
* `jarPath`: the path to the JAR file containing the files to be extracted
* `targetDir`: the directory where the files should be extracted
* `filter`: an optional filter used to selectively include or exclude certain files from</t>
        </is>
      </c>
      <c r="I2196" t="n">
        <v>0.0036</v>
      </c>
      <c r="J2196" t="n">
        <v>0.0606</v>
      </c>
      <c r="K2196" t="n">
        <v>0.1128</v>
      </c>
      <c r="L2196" t="inlineStr">
        <is>
          <t>The provided code defines a class called `SpringBootEmbeddedJar` that extends the `AbstractProtocolHandler` class from Spring Boot's embedded web server module. It serves as a protocol handler for JAR files and provides methods for extracting resources from them.
The class has several important functionalities:
* It implements the `getResource()` method, which returns</t>
        </is>
      </c>
      <c r="M2196" t="n">
        <v>0.0043</v>
      </c>
      <c r="N2196" t="n">
        <v>0.0678</v>
      </c>
      <c r="O2196" t="n">
        <v>0.0813</v>
      </c>
    </row>
    <row r="2197">
      <c r="A2197" t="inlineStr">
        <is>
          <t>springboot</t>
        </is>
      </c>
      <c r="B2197" t="inlineStr">
        <is>
          <t>integration-test/spring-boot-server-integration-tests/src/intTest/java/org/springframework/boot/context/embedded/EmbeddedServletContainerJarDevelopmentIntegrationTests.java</t>
        </is>
      </c>
      <c r="C2197">
        <f>HYPERLINK("https://github.com/spring-projects/spring-boot/blob/master/integration-test/spring-boot-server-integration-tests/src/intTest/java/org/springframework/boot/context/embedded/EmbeddedServletContainerJarDevelopmentIntegrationTests.java")</f>
        <v/>
      </c>
      <c r="D2197" t="inlineStr">
        <is>
          <t>This code defines a test template that uses JUnit Jupiter's `@TestTemplate` annotation to run a test method multiple times using different operating systems. The `DisabledOnOs` condition checks whether the current OS matches one of the specified values (`Windows`, `Mac`, `Linux`) and disables the test if it does. If the test is enabled, it sends a GET request</t>
        </is>
      </c>
      <c r="E2197" t="n">
        <v>0.0038</v>
      </c>
      <c r="F2197" t="n">
        <v>0.0606</v>
      </c>
      <c r="G2197" t="n">
        <v>0.1163</v>
      </c>
      <c r="H2197" t="inlineStr">
        <is>
          <t>This code implements a RESTful API using Spring Boot's embedded server. It includes a test suite that uses JUnit Jupiter and AssertJ to verify the correctness of the implemented algorithms. The code is licensed under the Apache License 2.0 and has been tested on Linux and Windows operating systems. The main class `Application` starts the application and exposes it as a REST</t>
        </is>
      </c>
      <c r="I2197" t="n">
        <v>0.0039</v>
      </c>
      <c r="J2197" t="n">
        <v>0.0833</v>
      </c>
      <c r="K2197" t="n">
        <v>0.1493</v>
      </c>
      <c r="L2197" t="inlineStr">
        <is>
          <t>The provided code defines a test method that uses JUnit Jupiter's `@TestTemplate` annotation to run a test case against a REST API endpoint. The test checks if the response status code matches the expected value of `HttpStatus.OK`. The test also uses the `DisabledOnOs` condition from JUnit Jupiter to disable the test when running on Windows operating system.</t>
        </is>
      </c>
      <c r="M2197" t="n">
        <v>0</v>
      </c>
      <c r="N2197" t="n">
        <v>0</v>
      </c>
      <c r="O2197" t="n">
        <v>0.0388</v>
      </c>
    </row>
    <row r="2198">
      <c r="A2198" t="inlineStr">
        <is>
          <t>springboot</t>
        </is>
      </c>
      <c r="B2198" t="inlineStr">
        <is>
          <t>integration-test/spring-boot-server-integration-tests/src/intTest/java/org/springframework/boot/context/embedded/AbstractApplicationLauncher.java</t>
        </is>
      </c>
      <c r="C2198">
        <f>HYPERLINK("https://github.com/spring-projects/spring-boot/blob/master/integration-test/spring-boot-server-integration-tests/src/intTest/java/org/springframework/boot/context/embedded/AbstractApplicationLauncher.java")</f>
        <v/>
      </c>
      <c r="D2198" t="inlineStr">
        <is>
          <t>This code is part of a Spring Boot application that provides embedded web server capabilities. It defines several classes related to the `EmbeddedServletContainer` interface, which is used to start and stop embedded servlet containers. The main class, `EmbeddedTomcat`, extends the `AbstractEmbeddedServletContainer` class and implements the `EmbeddedServletContainer` interface. It also</t>
        </is>
      </c>
      <c r="E2198" t="n">
        <v>0.0049</v>
      </c>
      <c r="F2198" t="n">
        <v>0.0702</v>
      </c>
      <c r="G2198" t="n">
        <v>0.1653</v>
      </c>
      <c r="H2198" t="inlineStr">
        <is>
          <t>This code defines a Java package named `org.springframework.boot.context.embedded` that provides various utility classes and methods related to embedded servers. The package includes several files, including a README file that describes the purpose of the repository and its contents, as well as several source files containing implementation details.
The main class in this package is `EmbeddedServletContainer</t>
        </is>
      </c>
      <c r="I2198" t="n">
        <v>0.004</v>
      </c>
      <c r="J2198" t="n">
        <v>0.0597</v>
      </c>
      <c r="K2198" t="n">
        <v>0.1181</v>
      </c>
      <c r="L2198" t="inlineStr">
        <is>
          <t>The code defines a class named `EmbeddedServletContainerFactory` that implements the `BeforeEachCallback` interface from JUnit Jupiter. It provides a factory method for creating embedded servlet containers based on different types of servers, such as Tomcat, Jetty, and Undertow. The class also includes methods for starting and stopping these containers.
The code uses Awaitility</t>
        </is>
      </c>
      <c r="M2198" t="n">
        <v>0.0042</v>
      </c>
      <c r="N2198" t="n">
        <v>0.0667</v>
      </c>
      <c r="O2198" t="n">
        <v>0.121</v>
      </c>
    </row>
    <row r="2199">
      <c r="A2199" t="inlineStr">
        <is>
          <t>springboot</t>
        </is>
      </c>
      <c r="B2199" t="inlineStr">
        <is>
          <t>integration-test/spring-boot-sni-integration-tests/spring-boot-sni-reactive-app/src/main/java/org/springframework/boot/sni/server/SniServerApplication.java</t>
        </is>
      </c>
      <c r="C2199">
        <f>HYPERLINK("https://github.com/spring-projects/spring-boot/blob/master/integration-test/spring-boot-sni-integration-tests/spring-boot-sni-reactive-app/src/main/java/org/springframework/boot/sni/server/SniServerApplication.java")</f>
        <v/>
      </c>
      <c r="D2199" t="inlineStr">
        <is>
          <t>This Java code defines a Spring Boot application that serves as a server component. It includes several classes and methods related to serving web requests, handling HTTP responses, and managing resources such as files and directories. The main entry point of the application is the `main` method in the `Server` class, which initializes the Spring Application Context and starts the server.
The `Server`</t>
        </is>
      </c>
      <c r="E2199" t="n">
        <v>0.0034</v>
      </c>
      <c r="F2199" t="n">
        <v>0.0563</v>
      </c>
      <c r="G2199" t="n">
        <v>0.0741</v>
      </c>
      <c r="H2199" t="inlineStr">
        <is>
          <t>This Java project uses Spring Boot as its foundation, providing a modular architecture for building web applications. The package `org.springframework.boot.sni.server` contains the main application class, which serves as the entry point for the program. It also includes several utility classes that provide additional functionality, such as reading files from the local filesystem and handling exceptions.
The project's</t>
        </is>
      </c>
      <c r="I2199" t="n">
        <v>0.0038</v>
      </c>
      <c r="J2199" t="n">
        <v>0.0857</v>
      </c>
      <c r="K2199" t="n">
        <v>0.1163</v>
      </c>
      <c r="L2199" t="inlineStr">
        <is>
          <t>The code defines a Spring Boot application that serves as a server for a web application. It uses the `SpringApplication` class to bootstrap the application and configure various features such as logging and error handling. The application also includes support for loading configuration files from a JAR file using the `JarURLConnection` class. The code is well-documented with comments explaining the purpose of each section</t>
        </is>
      </c>
      <c r="M2199" t="n">
        <v>0.0028</v>
      </c>
      <c r="N2199" t="n">
        <v>0.0274</v>
      </c>
      <c r="O2199" t="n">
        <v>0.0735</v>
      </c>
    </row>
    <row r="2200">
      <c r="A2200" t="inlineStr">
        <is>
          <t>springboot</t>
        </is>
      </c>
      <c r="B2200" t="inlineStr">
        <is>
          <t>integration-test/spring-boot-sni-integration-tests/spring-boot-sni-reactive-app/src/main/java/org/springframework/boot/sni/server/HelloController.java</t>
        </is>
      </c>
      <c r="C2200">
        <f>HYPERLINK("https://github.com/spring-projects/spring-boot/blob/master/integration-test/spring-boot-sni-integration-tests/spring-boot-sni-reactive-app/src/main/java/org/springframework/boot/sni/server/HelloController.java")</f>
        <v/>
      </c>
      <c r="D2200" t="inlineStr">
        <is>
          <t>The `HelloController` class defines a RESTful API endpoint that returns a string message when accessed via GET requests. The controller uses the `@GetMapping` annotation to specify the HTTP method and path for the endpoint. When a client sends a GET request to the `/hello` path, the `hello()` method is executed, which simply returns a hardcoded string message.</t>
        </is>
      </c>
      <c r="E2200" t="n">
        <v>0.0032</v>
      </c>
      <c r="F2200" t="n">
        <v>0.0308</v>
      </c>
      <c r="G2200" t="n">
        <v>0.0775</v>
      </c>
      <c r="H2200" t="inlineStr">
        <is>
          <t>This code defines a RESTful API using Spring WebFlux that returns a string message when a GET request is made to the root URL. The API uses the `ServerHttpRequest` object to extract information about the incoming request, such as the hostname and protocol used. The response body is set to the string "Hello from &lt;hostname&gt;".</t>
        </is>
      </c>
      <c r="I2200" t="n">
        <v>0.004</v>
      </c>
      <c r="J2200" t="n">
        <v>0.0635</v>
      </c>
      <c r="K2200" t="n">
        <v>0.1181</v>
      </c>
      <c r="L2200" t="inlineStr">
        <is>
          <t>The code provides a RESTful API endpoint that returns a greeting message when accessed via HTTP GET method. The endpoint accepts a `ServerHttpRequest` object as input and returns a string containing the message "Hello from ...".</t>
        </is>
      </c>
      <c r="M2200" t="n">
        <v>0.0052</v>
      </c>
      <c r="N2200" t="n">
        <v>0.0465</v>
      </c>
      <c r="O2200" t="n">
        <v>0.0463</v>
      </c>
    </row>
    <row r="2201">
      <c r="A2201" t="inlineStr">
        <is>
          <t>springboot</t>
        </is>
      </c>
      <c r="B2201" t="inlineStr">
        <is>
          <t>integration-test/spring-boot-sni-integration-tests/spring-boot-sni-servlet-app/src/main/java/org/springframework/boot/sni/server/SniServerApplication.java</t>
        </is>
      </c>
      <c r="C2201">
        <f>HYPERLINK("https://github.com/spring-projects/spring-boot/blob/master/integration-test/spring-boot-sni-integration-tests/spring-boot-sni-servlet-app/src/main/java/org/springframework/boot/sni/server/SniServerApplication.java")</f>
        <v/>
      </c>
      <c r="D2201" t="inlineStr">
        <is>
          <t>This code appears to be part of a Spring Boot application that serves as a server for some kind of service. It includes several classes and methods related to serving files from the local filesystem or from within JAR archives. The `Server` class is the main entry point for the application, and it sets up the necessary dependencies and starts the server. The `serve()` method is responsible for handling</t>
        </is>
      </c>
      <c r="E2201" t="n">
        <v>0.0031</v>
      </c>
      <c r="F2201" t="n">
        <v>0.0519</v>
      </c>
      <c r="G2201" t="n">
        <v>0.1064</v>
      </c>
      <c r="H2201" t="inlineStr">
        <is>
          <t>This code appears to be a Java Spring Boot application that serves as a server component for a web application. It defines several classes and methods related to the implementation of the core algorithms and the management of resources such as files and directories. The main class, `Server`, extends from `SpringApplication` and sets up the necessary dependencies and configuration for the application. The `add()` method takes two arguments</t>
        </is>
      </c>
      <c r="I2201" t="n">
        <v>0.0035</v>
      </c>
      <c r="J2201" t="n">
        <v>0.1053</v>
      </c>
      <c r="K2201" t="n">
        <v>0.1429</v>
      </c>
      <c r="L2201" t="inlineStr">
        <is>
          <t>The provided code is a Java application that uses Spring Boot to run a server. It reads configuration files from a JAR URL connection and writes them to a local directory. The code also includes comments describing the purpose of the application and the licensing terms.</t>
        </is>
      </c>
      <c r="M2201" t="n">
        <v>0.004</v>
      </c>
      <c r="N2201" t="n">
        <v>0.037</v>
      </c>
      <c r="O2201" t="n">
        <v>0.0847</v>
      </c>
    </row>
    <row r="2202">
      <c r="A2202" t="inlineStr">
        <is>
          <t>springboot</t>
        </is>
      </c>
      <c r="B2202" t="inlineStr">
        <is>
          <t>integration-test/spring-boot-sni-integration-tests/spring-boot-sni-servlet-app/src/main/java/org/springframework/boot/sni/server/HelloController.java</t>
        </is>
      </c>
      <c r="C2202">
        <f>HYPERLINK("https://github.com/spring-projects/spring-boot/blob/master/integration-test/spring-boot-sni-integration-tests/spring-boot-sni-servlet-app/src/main/java/org/springframework/boot/sni/server/HelloController.java")</f>
        <v/>
      </c>
      <c r="D2202" t="inlineStr">
        <is>
          <t>The code defines a RESTful API endpoint that returns a string message when requested using GET method. The message includes the hostname of the server where the API is running. The implementation uses Spring Web MVC framework and Jakarta Servlet API.</t>
        </is>
      </c>
      <c r="E2202" t="n">
        <v>0.0045</v>
      </c>
      <c r="F2202" t="n">
        <v>0.08160000000000001</v>
      </c>
      <c r="G2202" t="n">
        <v>0.1327</v>
      </c>
      <c r="H2202" t="inlineStr">
        <is>
          <t>This code defines a RESTful API using Spring Boot that responds to GET requests at the root URL ("/") with a string containing the text "Hello from ". The response also includes information about the request, such as its method, headers, and parameters.</t>
        </is>
      </c>
      <c r="I2202" t="n">
        <v>0.0051</v>
      </c>
      <c r="J2202" t="n">
        <v>0.08160000000000001</v>
      </c>
      <c r="K2202" t="n">
        <v>0.1304</v>
      </c>
      <c r="L2202" t="inlineStr">
        <is>
          <t>The provided code defines a Spring Boot application that includes a single RESTful endpoint exposed through a GET mapping. When accessed, the endpoint returns a string message indicating that the server is up and running. The endpoint takes no parameters and relies on the `request` object passed as a parameter to access the current HTTP request's URL.</t>
        </is>
      </c>
      <c r="M2202" t="n">
        <v>0.0032</v>
      </c>
      <c r="N2202" t="n">
        <v>0.0303</v>
      </c>
      <c r="O2202" t="n">
        <v>0.0388</v>
      </c>
    </row>
    <row r="2203">
      <c r="A2203" t="inlineStr">
        <is>
          <t>springboot</t>
        </is>
      </c>
      <c r="B2203" t="inlineStr">
        <is>
          <t>integration-test/spring-boot-sni-integration-tests/spring-boot-sni-client-app/src/main/java/org/springframework/boot/sni/client/SniClientApplication.java</t>
        </is>
      </c>
      <c r="C2203">
        <f>HYPERLINK("https://github.com/spring-projects/spring-boot/blob/master/integration-test/spring-boot-sni-integration-tests/spring-boot-sni-client-app/src/main/java/org/springframework/boot/sni/client/SniClientApplication.java")</f>
        <v/>
      </c>
      <c r="D2203" t="inlineStr">
        <is>
          <t>The code defines a Spring Boot application that serves as a server component for a web application. It includes several modules, including a REST client module, which provides a way to make HTTP requests from within the application, and a Command Line Runner module, which allows the application to be run from the command line. The main method sets up the Spring Application Builder and runs it using the WebApplication</t>
        </is>
      </c>
      <c r="E2203" t="n">
        <v>0.0026</v>
      </c>
      <c r="F2203" t="n">
        <v>0.0513</v>
      </c>
      <c r="G2203" t="n">
        <v>0.0704</v>
      </c>
      <c r="H2203" t="inlineStr">
        <is>
          <t>This code appears to be a Spring Boot application that serves as a server component for a RESTful API. It includes several dependencies, including Spring Boot and Spring Data Rest, which provide the necessary infrastructure for building a web service. The `add` method is defined within the `Server` class, which is annotated with `@Component`. The method takes two integer arguments and returns their sum.</t>
        </is>
      </c>
      <c r="I2203" t="n">
        <v>0.0034</v>
      </c>
      <c r="J2203" t="n">
        <v>0.0556</v>
      </c>
      <c r="K2203" t="n">
        <v>0.0735</v>
      </c>
      <c r="L2203" t="inlineStr">
        <is>
          <t>The provided code defines a Spring Boot application that serves as a server component for a RESTful API. It uses the `SpringApplicationBuilder` class to build the Spring Boot application, which includes the necessary dependencies and configuration for running a web application. The `CommandLineRunner` interface is implemented to provide a custom initialization routine that sets up the REST client used to communicate with the API. The application</t>
        </is>
      </c>
      <c r="M2203" t="n">
        <v>0.0028</v>
      </c>
      <c r="N2203" t="n">
        <v>0.027</v>
      </c>
      <c r="O2203" t="n">
        <v>0.1087</v>
      </c>
    </row>
    <row r="2204">
      <c r="A2204" t="inlineStr">
        <is>
          <t>springboot</t>
        </is>
      </c>
      <c r="B2204" t="inlineStr">
        <is>
          <t>integration-test/spring-boot-sni-integration-tests/src/intTest/java/org/springframework/boot/sni/SniIntegrationTests.java</t>
        </is>
      </c>
      <c r="C2204">
        <f>HYPERLINK("https://github.com/spring-projects/spring-boot/blob/master/integration-test/spring-boot-sni-integration-tests/src/intTest/java/org/springframework/boot/sni/SniIntegrationTests.java")</f>
        <v/>
      </c>
      <c r="D2204" t="inlineStr">
        <is>
          <t>This Java code appears to be part of a Spring Boot application that uses TestContainers to run integration tests against a Docker container. The code defines several test methods that use Awaitility to wait for certain conditions to be met before proceeding. It also includes some utility functions for working with files and dates. Overall, it seems like this code is intended to provide a framework for testing</t>
        </is>
      </c>
      <c r="E2204" t="n">
        <v>0.0032</v>
      </c>
      <c r="F2204" t="n">
        <v>0.0789</v>
      </c>
      <c r="G2204" t="n">
        <v>0.1071</v>
      </c>
      <c r="H2204" t="inlineStr">
        <is>
          <t>This code appears to be a Java project that uses Spring Boot as its framework. It defines several classes and methods related to testing and containerization using TestContainers. The main class, `SpringBootSniApplication`, is annotated with `@SpringBootApplication` and extends `SpringBootServletInitializer`. The application has a single endpoint `/api/greeting` that returns a</t>
        </is>
      </c>
      <c r="I2204" t="n">
        <v>0.0045</v>
      </c>
      <c r="J2204" t="n">
        <v>0.06900000000000001</v>
      </c>
      <c r="K2204" t="n">
        <v>0.124</v>
      </c>
      <c r="L2204" t="inlineStr">
        <is>
          <t>The provided code is part of a Spring Boot application that uses TestContainers to run integration tests against a Docker container. It defines a test method that takes a CSV input parameter representing the expected output of the application's REST API endpoint. The test method first starts a new instance of the application using TestContainers, then sends a request to the endpoint with the given input parameters and</t>
        </is>
      </c>
      <c r="M2204" t="n">
        <v>0.0027</v>
      </c>
      <c r="N2204" t="n">
        <v>0.026</v>
      </c>
      <c r="O2204" t="n">
        <v>0.07140000000000001</v>
      </c>
    </row>
    <row r="2205">
      <c r="A2205" t="inlineStr">
        <is>
          <t>springboot</t>
        </is>
      </c>
      <c r="B2205" t="inlineStr">
        <is>
          <t>integration-test/spring-boot-actuator-integration-tests/src/test/java/org/springframework/boot/actuate/context/properties/ConfigurationPropertiesReportEndpointWebIntegrationTests.java</t>
        </is>
      </c>
      <c r="C2205">
        <f>HYPERLINK("https://github.com/spring-projects/spring-boot/blob/master/integration-test/spring-boot-actuator-integration-tests/src/test/java/org/springframework/boot/actuate/context/properties/ConfigurationPropertiesReportEndpointWebIntegrationTests.java")</f>
        <v/>
      </c>
      <c r="D2205" t="inlineStr">
        <is>
          <t>This code appears to be part of a Spring Boot application that provides an endpoint for displaying configuration properties. The `ContextPropertiesEndpoint` class defines a single method called `invoke`, which returns a list of `PropertyEntry` objects representing the current values of all configuration properties. Each `PropertyEntry` object has two fields: `name` and `value`.
The `ContextPropertiesEndpoint`</t>
        </is>
      </c>
      <c r="E2205" t="n">
        <v>0.004</v>
      </c>
      <c r="F2205" t="n">
        <v>0.0645</v>
      </c>
      <c r="G2205" t="n">
        <v>0.119</v>
      </c>
      <c r="H2205" t="inlineStr">
        <is>
          <t>This code appears to be part of a Spring Boot application that provides an endpoint for displaying configuration properties. The `ContextPropertiesEndpoint` class implements the `Show` interface and defines a `handle()` method that returns a list of configuration properties as JSON data. The endpoint is annotated with `@RestController`, which means it will handle HTTP GET requests and return the configured properties as JSON. The endpoint</t>
        </is>
      </c>
      <c r="I2205" t="n">
        <v>0.0037</v>
      </c>
      <c r="J2205" t="n">
        <v>0.0833</v>
      </c>
      <c r="K2205" t="n">
        <v>0.1471</v>
      </c>
      <c r="L2205" t="inlineStr">
        <is>
          <t>The provided code defines a Spring Boot Actuator endpoint that exposes configuration properties as JSON data. It uses JUnit 5 for testing and Java 8+ features such as lambda expressions and method references. The endpoint's purpose is to provide a simple way to access application configuration details, including property values and descriptions.</t>
        </is>
      </c>
      <c r="M2205" t="n">
        <v>0.0035</v>
      </c>
      <c r="N2205" t="n">
        <v>0.0328</v>
      </c>
      <c r="O2205" t="n">
        <v>0.0806</v>
      </c>
    </row>
    <row r="2206">
      <c r="A2206" t="inlineStr">
        <is>
          <t>springboot</t>
        </is>
      </c>
      <c r="B2206" t="inlineStr">
        <is>
          <t>integration-test/spring-boot-actuator-integration-tests/src/test/java/org/springframework/boot/actuate/env/EnvironmentEndpointWebIntegrationTests.java</t>
        </is>
      </c>
      <c r="C2206">
        <f>HYPERLINK("https://github.com/spring-projects/spring-boot/blob/master/integration-test/spring-boot-actuator-integration-tests/src/test/java/org/springframework/boot/actuate/env/EnvironmentEndpointWebIntegrationTests.java")</f>
        <v/>
      </c>
      <c r="D2206" t="inlineStr">
        <is>
          <t>The code defines a class called `EnvironmentEndpoint` that extends the Spring Boot Actuator's `AbstractEndpoint` class. It provides information about the current environment, including the active profiles, property sources, and system properties.
The endpoint has two methods: `getProperties()` and `getSystemProperties()`. The former returns all the properties defined in the application context, while the latter</t>
        </is>
      </c>
      <c r="E2206" t="n">
        <v>0.0035</v>
      </c>
      <c r="F2206" t="n">
        <v>0.0323</v>
      </c>
      <c r="G2206" t="n">
        <v>0.04</v>
      </c>
      <c r="H2206" t="inlineStr">
        <is>
          <t>This code appears to be part of a Spring Boot Actuator endpoint that provides information about the current environment variables. The `EnvironmentEndpoint` class defines a single method called `get()` which returns a map of all environment variables as key-value pairs. The map is populated using the `System.getenv()` method, which retrieves all environment variables from the operating system. The returned map</t>
        </is>
      </c>
      <c r="I2206" t="n">
        <v>0.003</v>
      </c>
      <c r="J2206" t="n">
        <v>0.0286</v>
      </c>
      <c r="K2206" t="n">
        <v>0.07580000000000001</v>
      </c>
      <c r="L2206" t="inlineStr">
        <is>
          <t>The provided code defines a class named `EnvironmentEndpoint` that extends Spring Boot's `AbstractEndpoint` class and implements the `Show` interface. It provides a web endpoint for retrieving environment variables.
The class has several methods, including a constructor, a `getId()` method, and a `invoke()` method that returns a map of environment variables. Additionally, there are several</t>
        </is>
      </c>
      <c r="M2206" t="n">
        <v>0.004</v>
      </c>
      <c r="N2206" t="n">
        <v>0.0635</v>
      </c>
      <c r="O2206" t="n">
        <v>0.119</v>
      </c>
    </row>
    <row r="2207">
      <c r="A2207" t="inlineStr">
        <is>
          <t>springboot</t>
        </is>
      </c>
      <c r="B2207" t="inlineStr">
        <is>
          <t>integration-test/spring-boot-actuator-integration-tests/src/test/java/org/springframework/boot/actuate/autoconfigure/endpoint/web/WebEndpointsAutoConfigurationIntegrationTests.java</t>
        </is>
      </c>
      <c r="C2207">
        <f>HYPERLINK("https://github.com/spring-projects/spring-boot/blob/master/integration-test/spring-boot-actuator-integration-tests/src/test/java/org/springframework/boot/actuate/autoconfigure/endpoint/web/WebEndpointsAutoConfigurationIntegrationTests.java")</f>
        <v/>
      </c>
      <c r="D2207" t="inlineStr">
        <is>
          <t>The code defines a Spring Boot Actuator endpoint that provides information about the health of a system. It uses JUnit tests to verify its functionality. The endpoint is defined using Java annotations, specifically the `@Endpoint` annotation from the `spring-boot-actuator` package. The endpoint's configuration is done through the `HealthEndpoint` class, which is also annotated with</t>
        </is>
      </c>
      <c r="E2207" t="n">
        <v>0</v>
      </c>
      <c r="F2207" t="n">
        <v>0.0308</v>
      </c>
      <c r="G2207" t="n">
        <v>0.0397</v>
      </c>
      <c r="H2207" t="inlineStr">
        <is>
          <t>This code defines a Spring Boot application that provides health endpoint information using the HealthEndpoint class from the Actuator module. The application is configured using annotations such as @SpringBootConfiguration and @EnableAutoConfiguration, which enable autoconfiguration of the application based on certain conditions. The README file describes the purpose of the repository and its contents, while the comments provide additional context about the implementation details</t>
        </is>
      </c>
      <c r="I2207" t="n">
        <v>0.0034</v>
      </c>
      <c r="J2207" t="n">
        <v>0.08450000000000001</v>
      </c>
      <c r="K2207" t="n">
        <v>0.1481</v>
      </c>
      <c r="L2207" t="inlineStr">
        <is>
          <t>The provided code defines a Spring Boot Actuator endpoint configuration class named `WebEndpointAutoConfiguration`. It enables autoconfiguration of web endpoints using the `SpringBootApplication` annotation. The class imports several other classes, including `HealthEndpoint`, which provides health checks for the application. The class also includes a JUnit test method named `testWebEndpointAutoConfiguration`.</t>
        </is>
      </c>
      <c r="M2207" t="n">
        <v>0</v>
      </c>
      <c r="N2207" t="n">
        <v>0</v>
      </c>
      <c r="O2207" t="n">
        <v>0.0417</v>
      </c>
    </row>
    <row r="2208">
      <c r="A2208" t="inlineStr">
        <is>
          <t>springboot</t>
        </is>
      </c>
      <c r="B2208" t="inlineStr">
        <is>
          <t>integration-test/spring-boot-actuator-integration-tests/src/test/java/org/springframework/boot/actuate/autoconfigure/endpoint/jmx/JmxEndpointAccessIntegrationTests.java</t>
        </is>
      </c>
      <c r="C2208">
        <f>HYPERLINK("https://github.com/spring-projects/spring-boot/blob/master/integration-test/spring-boot-actuator-integration-tests/src/test/java/org/springframework/boot/actuate/autoconfigure/endpoint/jmx/JmxEndpointAccessIntegrationTests.java")</f>
        <v/>
      </c>
      <c r="D2208" t="inlineStr">
        <is>
          <t>The provided code defines a class called `JmxEndpointExporter` that exposes Spring Boot Actuator endpoints as JMX beans. It imports several dependencies from other packages, including `javax.management.*`, `org.springframework.boot.actuate.autoconfigure.beans.BeansEndpointAutoConfiguration`, and `org.springframework.context.annotation.Import`.</t>
        </is>
      </c>
      <c r="E2208" t="n">
        <v>0.0065</v>
      </c>
      <c r="F2208" t="n">
        <v>0.0417</v>
      </c>
      <c r="G2208" t="n">
        <v>0.0495</v>
      </c>
      <c r="H2208" t="inlineStr">
        <is>
          <t>This code appears to be part of a Spring Boot application that provides JMX endpoints for exposing various metrics and information about the running application. The `JmxEndpointExporter` class is responsible for registering MBean operations with the platform MBean server and exposing them as JMX endpoints. It does this by creating an instance of `MBeanOperationInfo` for</t>
        </is>
      </c>
      <c r="I2208" t="n">
        <v>0.004</v>
      </c>
      <c r="J2208" t="n">
        <v>0.0635</v>
      </c>
      <c r="K2208" t="n">
        <v>0.1181</v>
      </c>
      <c r="L2208" t="inlineStr">
        <is>
          <t>The code defines a JMX endpoint that exposes Spring Boot Actuator beans as MBeans. It uses the `javax.management` package to interact with the MBean server and create ObjectNames for the exposed beans. The endpoint also provides metadata about each bean operation using the `MBeanOperationInfo` class.
The code is well-documented, with</t>
        </is>
      </c>
      <c r="M2208" t="n">
        <v>0.0037</v>
      </c>
      <c r="N2208" t="n">
        <v>0.0333</v>
      </c>
      <c r="O2208" t="n">
        <v>0.082</v>
      </c>
    </row>
    <row r="2209">
      <c r="A2209" t="inlineStr">
        <is>
          <t>springboot</t>
        </is>
      </c>
      <c r="B2209" t="inlineStr">
        <is>
          <t>integration-test/spring-boot-actuator-integration-tests/src/test/java/org/springframework/boot/actuate/autoconfigure/endpoint/jmx/JmxEndpointIntegrationTests.java</t>
        </is>
      </c>
      <c r="C2209">
        <f>HYPERLINK("https://github.com/spring-projects/spring-boot/blob/master/integration-test/spring-boot-actuator-integration-tests/src/test/java/org/springframework/boot/actuate/autoconfigure/endpoint/jmx/JmxEndpointIntegrationTests.java")</f>
        <v/>
      </c>
      <c r="D2209" t="inlineStr">
        <is>
          <t>The code defines several classes related to JMX endpoint management in Spring Boot Actuator. It includes a `JmxEndpointExporter` class that exports endpoints as MBeans, a `JmxEndpointRegistrar` class that registers endpoints with the platform's MBean server, and a `JmxEndpointRepository` class that manages the lifecycle of registered</t>
        </is>
      </c>
      <c r="E2209" t="n">
        <v>0.0041</v>
      </c>
      <c r="F2209" t="n">
        <v>0.037</v>
      </c>
      <c r="G2209" t="n">
        <v>0.0427</v>
      </c>
      <c r="H2209" t="inlineStr">
        <is>
          <t>This code defines a Java package named `org.springframework.boot.actuate.autoconfigure.endpoint.jmx` that provides classes related to JMX endpoint management. The package includes several classes that implement the `javax.management.MBeanServer` interface, which allows it to interact with the MBean server.
The main class in this package is `JmxEndpoint</t>
        </is>
      </c>
      <c r="I2209" t="n">
        <v>0.0043</v>
      </c>
      <c r="J2209" t="n">
        <v>0.0678</v>
      </c>
      <c r="K2209" t="n">
        <v>0.08699999999999999</v>
      </c>
      <c r="L2209" t="inlineStr">
        <is>
          <t>The code defines a class that provides JMX endpoint management for Spring Boot Actuator endpoints. It accomplishes this through the following methods:
* `registerEndpoint`: Registers an MBean for an endpoint with the given name and description.
* `unregisterEndpoint`: Unregisters an MBean for an endpoint with the given name.
* `getEndpoints</t>
        </is>
      </c>
      <c r="M2209" t="n">
        <v>0.0037</v>
      </c>
      <c r="N2209" t="n">
        <v>0.0727</v>
      </c>
      <c r="O2209" t="n">
        <v>0.082</v>
      </c>
    </row>
    <row r="2210">
      <c r="A2210" t="inlineStr">
        <is>
          <t>springboot</t>
        </is>
      </c>
      <c r="B2210" t="inlineStr">
        <is>
          <t>integration-test/spring-boot-actuator-integration-tests/src/test/java/org/springframework/boot/actuate/sbom/SbomEndpointSyftWebIntegrationTests.java</t>
        </is>
      </c>
      <c r="C2210">
        <f>HYPERLINK("https://github.com/spring-projects/spring-boot/blob/master/integration-test/spring-boot-actuator-integration-tests/src/test/java/org/springframework/boot/actuate/sbom/SbomEndpointSyftWebIntegrationTests.java")</f>
        <v/>
      </c>
      <c r="D2210" t="inlineStr">
        <is>
          <t>This code defines a Spring Boot Actuator endpoint that provides a Software Bill of Materials (SBOM) for the application. The endpoint is defined using the `@Bean` annotation in the `SpringBootActuatorConfig` class, which is annotated as a Spring configuration class. The `getSbom()` method returns a JSON object containing information about the SBOM, including</t>
        </is>
      </c>
      <c r="E2210" t="n">
        <v>0.0035</v>
      </c>
      <c r="F2210" t="n">
        <v>0.0667</v>
      </c>
      <c r="G2210" t="n">
        <v>0.121</v>
      </c>
      <c r="H2210" t="inlineStr">
        <is>
          <t>This code defines a Spring Boot Actuator endpoint that generates a Software Bill of Materials (SBOM) for a web application. The SBOM includes information about the dependencies used by the application, such as their version numbers and licensing terms. The endpoint uses the `SpringBootActuator` framework to generate the SBOM based on the application's configuration and dependency</t>
        </is>
      </c>
      <c r="I2210" t="n">
        <v>0.0039</v>
      </c>
      <c r="J2210" t="n">
        <v>0.09229999999999999</v>
      </c>
      <c r="K2210" t="n">
        <v>0.1563</v>
      </c>
      <c r="L2210" t="inlineStr">
        <is>
          <t>The provided code defines a Spring Boot Actuator endpoint that generates a Software Bill of Materials (SBOM) for the application. It uses the `SpringBootActuator` annotation to indicate that it is an actuator endpoint, and the `WebFlux` annotation to enable web flux support. The endpoint exposes a GET request at `/actuator/sbom` that</t>
        </is>
      </c>
      <c r="M2210" t="n">
        <v>0.0036</v>
      </c>
      <c r="N2210" t="n">
        <v>0.0667</v>
      </c>
      <c r="O2210" t="n">
        <v>0.122</v>
      </c>
    </row>
    <row r="2211">
      <c r="A2211" t="inlineStr">
        <is>
          <t>springboot</t>
        </is>
      </c>
      <c r="B2211" t="inlineStr">
        <is>
          <t>integration-test/spring-boot-actuator-integration-tests/src/test/java/org/springframework/boot/actuate/sbom/SbomEndpointSpdxWebIntegrationTests.java</t>
        </is>
      </c>
      <c r="C2211">
        <f>HYPERLINK("https://github.com/spring-projects/spring-boot/blob/master/integration-test/spring-boot-actuator-integration-tests/src/test/java/org/springframework/boot/actuate/sbom/SbomEndpointSpdxWebIntegrationTests.java")</f>
        <v/>
      </c>
      <c r="D2211" t="inlineStr">
        <is>
          <t>This code defines a Spring Boot Actuator endpoint that provides a Software Bill of Materials (SBOM) for the application. The endpoint is defined using the `@Bean` annotation and returns a `Mono` object containing the SBOM data. The endpoint is configured using the `@Configuration` annotation and takes a `ResourceLoader` as a dependency. The `ResourceLoader` is used</t>
        </is>
      </c>
      <c r="E2211" t="n">
        <v>0.004</v>
      </c>
      <c r="F2211" t="n">
        <v>0.09520000000000001</v>
      </c>
      <c r="G2211" t="n">
        <v>0.1575</v>
      </c>
      <c r="H2211" t="inlineStr">
        <is>
          <t>This code defines a Spring Boot Actuator endpoint that generates a Software Bill of Materials (SBOM) for the application. The SBOM includes information about the dependencies used by the application, such as their versions and licensing terms. The endpoint uses the `SpringBootActuator` library to generate the SBOM and returns it as a JSON object. The endpoint also</t>
        </is>
      </c>
      <c r="I2211" t="n">
        <v>0.0038</v>
      </c>
      <c r="J2211" t="n">
        <v>0.09229999999999999</v>
      </c>
      <c r="K2211" t="n">
        <v>0.155</v>
      </c>
      <c r="L2211" t="inlineStr">
        <is>
          <t>The provided code defines a Spring Boot Actuator SBOM endpoint that generates a Software Bill of Materials (SBOM) for the application. It uses the `SpringBootActuator` annotation to enable the endpoint and the `WebEndpointTest` class to test the endpoint's functionality. The endpoint is configured using the `@Configuration` annotation and provides a `Bean` named `</t>
        </is>
      </c>
      <c r="M2211" t="n">
        <v>0.0035</v>
      </c>
      <c r="N2211" t="n">
        <v>0.0984</v>
      </c>
      <c r="O2211" t="n">
        <v>0.12</v>
      </c>
    </row>
    <row r="2212">
      <c r="A2212" t="inlineStr">
        <is>
          <t>springboot</t>
        </is>
      </c>
      <c r="B2212" t="inlineStr">
        <is>
          <t>integration-test/spring-boot-actuator-integration-tests/src/test/java/org/springframework/boot/actuate/sbom/SbomEndpointWebIntegrationTests.java</t>
        </is>
      </c>
      <c r="C2212">
        <f>HYPERLINK("https://github.com/spring-projects/spring-boot/blob/master/integration-test/spring-boot-actuator-integration-tests/src/test/java/org/springframework/boot/actuate/sbom/SbomEndpointWebIntegrationTests.java")</f>
        <v/>
      </c>
      <c r="D2212" t="inlineStr">
        <is>
          <t>This code defines a Spring Boot Actuator endpoint that generates a Software Bill of Materials (SBOM) from a given list of dependencies. The SBOM includes information about each dependency's version, license, and other relevant metadata. The endpoint uses the `net.minidev.json` library to generate JSON output.
The endpoint is defined as a `@Bean`</t>
        </is>
      </c>
      <c r="E2212" t="n">
        <v>0.0042</v>
      </c>
      <c r="F2212" t="n">
        <v>0.09520000000000001</v>
      </c>
      <c r="G2212" t="n">
        <v>0.1613</v>
      </c>
      <c r="H2212" t="inlineStr">
        <is>
          <t>This code defines a Spring Boot Actuator endpoint that generates a Software Bill of Materials (SBOM) based on the dependencies declared in a project's `pom.xml` file. The endpoint uses the `net.minidev.json.JSONArray` class to generate JSON data representing the SBOM, which can then be used by other parts of the application to display</t>
        </is>
      </c>
      <c r="I2212" t="n">
        <v>0.0035</v>
      </c>
      <c r="J2212" t="n">
        <v>0.0615</v>
      </c>
      <c r="K2212" t="n">
        <v>0.121</v>
      </c>
      <c r="L2212" t="inlineStr">
        <is>
          <t>The provided code defines a Spring Boot Actuator endpoint that generates a Software Bill of Materials (SBOM) for the application. It uses the `net.minidev.json` library to parse JSON data and the `Spring` framework's dependency injection mechanism to configure the endpoint. The endpoint accepts HTTP GET requests and returns a JSON response containing the SBOM data.</t>
        </is>
      </c>
      <c r="M2212" t="n">
        <v>0.0033</v>
      </c>
      <c r="N2212" t="n">
        <v>0.0606</v>
      </c>
      <c r="O2212" t="n">
        <v>0.1181</v>
      </c>
    </row>
    <row r="2213">
      <c r="A2213" t="inlineStr">
        <is>
          <t>springboot</t>
        </is>
      </c>
      <c r="B2213" t="inlineStr">
        <is>
          <t>integration-test/spring-boot-actuator-integration-tests/src/test/java/org/springframework/boot/actuate/sbom/SbomEndpointCycloneDxWebIntegrationTests.java</t>
        </is>
      </c>
      <c r="C2213">
        <f>HYPERLINK("https://github.com/spring-projects/spring-boot/blob/master/integration-test/spring-boot-actuator-integration-tests/src/test/java/org/springframework/boot/actuate/sbom/SbomEndpointCycloneDxWebIntegrationTests.java")</f>
        <v/>
      </c>
      <c r="D2213" t="inlineStr">
        <is>
          <t>This code defines a Spring Boot Actuator endpoint that generates a Software Bill of Materials (SBOM) for the application. The endpoint uses the `SpringBootActuator` library to generate the SBOM based on the dependencies declared in the application's POM file. The generated SBOM can be accessed through a web interface using the `/sbom` endpoint. The</t>
        </is>
      </c>
      <c r="E2213" t="n">
        <v>0.0034</v>
      </c>
      <c r="F2213" t="n">
        <v>0.0635</v>
      </c>
      <c r="G2213" t="n">
        <v>0.119</v>
      </c>
      <c r="H2213" t="inlineStr">
        <is>
          <t>This code defines a Spring Boot Actuator endpoint that generates a Software Bill of Materials (SBOM) for the application. It uses the `SpringBootActuator` library and implements the `WebEndpointTest` interface. The endpoint returns a JSON response containing information about the application's dependencies, including their versions and licensing details. The code also includes comments explaining the purpose</t>
        </is>
      </c>
      <c r="I2213" t="n">
        <v>0.0044</v>
      </c>
      <c r="J2213" t="n">
        <v>0.125</v>
      </c>
      <c r="K2213" t="n">
        <v>0.1969</v>
      </c>
      <c r="L2213" t="inlineStr">
        <is>
          <t>The code defines a Spring Boot Actuator endpoint that generates a Software Bill of Materials (SBOM) for the application. It uses the `SpringBootActuator` annotation to enable the SBOM generation feature, and provides a configuration class that exposes the `/sbom` endpoint. The endpoint returns a JSON representation of the SBOM data, which includes information about the</t>
        </is>
      </c>
      <c r="M2213" t="n">
        <v>0.0033</v>
      </c>
      <c r="N2213" t="n">
        <v>0.0635</v>
      </c>
      <c r="O2213" t="n">
        <v>0.1181</v>
      </c>
    </row>
    <row r="2214">
      <c r="A2214" t="inlineStr">
        <is>
          <t>springboot</t>
        </is>
      </c>
      <c r="B2214" t="inlineStr">
        <is>
          <t>integration-test/spring-boot-actuator-integration-tests/src/test/java/org/springframework/boot/actuate/web/mappings/MappingsEndpointIntegrationTests.java</t>
        </is>
      </c>
      <c r="C2214">
        <f>HYPERLINK("https://github.com/spring-projects/spring-boot/blob/master/integration-test/spring-boot-actuator-integration-tests/src/test/java/org/springframework/boot/actuate/web/mappings/MappingsEndpointIntegrationTests.java")</f>
        <v/>
      </c>
      <c r="D2214" t="inlineStr">
        <is>
          <t>This code defines a class called `WebMappings` that provides information about the mappings configured in a web application. It does so by using the `ServletContext` object to retrieve information about the registered servlets and filters, and then building a map of mappings based on that information. The resulting map can be used to generate documentation or other reports about the mappings in the application.</t>
        </is>
      </c>
      <c r="E2214" t="n">
        <v>0.0034</v>
      </c>
      <c r="F2214" t="n">
        <v>0.0556</v>
      </c>
      <c r="G2214" t="n">
        <v>0.1103</v>
      </c>
      <c r="H2214" t="inlineStr">
        <is>
          <t>This Java package `org.springframework.boot.actuate.web.mappings` provides a set of classes that implement various web mapping related functionalities. The package includes several classes such as `EndpointMapping`, `HandlerMapping`, and `ResourceMapping`. These classes provide methods for registering mappings, handling requests, and processing responses. Additionally, there are also some utility classes like `</t>
        </is>
      </c>
      <c r="I2214" t="n">
        <v>0.0045</v>
      </c>
      <c r="J2214" t="n">
        <v>0.1333</v>
      </c>
      <c r="K2214" t="n">
        <v>0.1667</v>
      </c>
      <c r="L2214" t="inlineStr">
        <is>
          <t>The code defines a class named `MappingsEndpoint` that extends Spring Boot's `AbstractEndpoint` class. It provides a mapping of all registered servlets and filters in a web application. The endpoint exposes two endpoints: `/mappings` and `/mappings/{name}`. The former returns a list of all mappings, while the latter returns details about a specific mapping.</t>
        </is>
      </c>
      <c r="M2214" t="n">
        <v>0.0035</v>
      </c>
      <c r="N2214" t="n">
        <v>0.0323</v>
      </c>
      <c r="O2214" t="n">
        <v>0.0806</v>
      </c>
    </row>
    <row r="2215">
      <c r="A2215" t="inlineStr">
        <is>
          <t>springboot</t>
        </is>
      </c>
      <c r="B2215" t="inlineStr">
        <is>
          <t>integration-test/spring-boot-actuator-integration-tests/src/test/java/org/springframework/boot/actuate/logging/LoggersEndpointWebIntegrationTests.java</t>
        </is>
      </c>
      <c r="C2215">
        <f>HYPERLINK("https://github.com/spring-projects/spring-boot/blob/master/integration-test/spring-boot-actuator-integration-tests/src/test/java/org/springframework/boot/actuate/logging/LoggersEndpointWebIntegrationTests.java")</f>
        <v/>
      </c>
      <c r="D2215" t="inlineStr">
        <is>
          <t>The provided code defines a Spring Boot Actuator logging component that provides various features for managing application logs. It includes a JSON array class called `LogMessage` that represents log messages, as well as several utility methods for working with log message data. Additionally, there are tests using Mockito for testing the component's behavior.</t>
        </is>
      </c>
      <c r="E2215" t="n">
        <v>0</v>
      </c>
      <c r="F2215" t="n">
        <v>0</v>
      </c>
      <c r="G2215" t="n">
        <v>0.04</v>
      </c>
      <c r="H2215" t="inlineStr">
        <is>
          <t>This code appears to be part of a Java project that implements a logging system using Spring Boot Actuator. The main class `LoggingSystem` defines several methods related to logging, including `add`, which adds a log message to the system, and `getMessages`, which retrieves all messages from the system.
The code also includes some unit tests using JUnit, as well</t>
        </is>
      </c>
      <c r="I2215" t="n">
        <v>0.0041</v>
      </c>
      <c r="J2215" t="n">
        <v>0.0896</v>
      </c>
      <c r="K2215" t="n">
        <v>0.1527</v>
      </c>
      <c r="L2215" t="inlineStr">
        <is>
          <t>The provided code defines a class named `LoggersEndpoint` that extends Spring Boot's `AbstractEndpoint` class. It provides a RESTful endpoint for retrieving log messages from the application. The endpoint uses the `LoggingSystem` interface to retrieve logs from the underlying logging system, which can be any implementation of the `LoggingSystem` interface. The endpoint also supports filtering logs based</t>
        </is>
      </c>
      <c r="M2215" t="n">
        <v>0</v>
      </c>
      <c r="N2215" t="n">
        <v>0.0308</v>
      </c>
      <c r="O2215" t="n">
        <v>0.0781</v>
      </c>
    </row>
    <row r="2216">
      <c r="A2216" t="inlineStr">
        <is>
          <t>springboot</t>
        </is>
      </c>
      <c r="B2216" t="inlineStr">
        <is>
          <t>integration-test/spring-boot-actuator-integration-tests/src/test/java/org/springframework/boot/actuate/logging/LogFileWebEndpointWebIntegrationTests.java</t>
        </is>
      </c>
      <c r="C2216">
        <f>HYPERLINK("https://github.com/spring-projects/spring-boot/blob/master/integration-test/spring-boot-actuator-integration-tests/src/test/java/org/springframework/boot/actuate/logging/LogFileWebEndpointWebIntegrationTests.java")</f>
        <v/>
      </c>
      <c r="D2216" t="inlineStr">
        <is>
          <t>This code appears to be part of a Spring Boot application that provides logging capabilities through an Actuator endpoint. It includes a `LogFile` class that represents a log file and provides methods for reading and writing to it. The `LogFile` class also has a constructor that takes a `java.io.File` object as its argument, which allows it to read from and write to</t>
        </is>
      </c>
      <c r="E2216" t="n">
        <v>0.0035</v>
      </c>
      <c r="F2216" t="n">
        <v>0.0556</v>
      </c>
      <c r="G2216" t="n">
        <v>0.1119</v>
      </c>
      <c r="H2216" t="inlineStr">
        <is>
          <t>This code appears to be part of a Spring Boot Actuator logging module. It defines a `LogFile` class that provides information about log files, including their location and size. The class also has a method to delete old log files based on a specified retention policy. Additionally, it includes JUnit test cases using the `@WebEndpointTest` annotation from the Spring Boot testing framework.</t>
        </is>
      </c>
      <c r="I2216" t="n">
        <v>0.0035</v>
      </c>
      <c r="J2216" t="n">
        <v>0.0857</v>
      </c>
      <c r="K2216" t="n">
        <v>0.1119</v>
      </c>
      <c r="L2216" t="inlineStr">
        <is>
          <t>The code defines a class named `LogFile` that represents a log file used by Spring Boot Actuator's logging endpoint. It provides methods for reading and writing logs, as well as checking whether a log file exists. The class also has a constructor that takes a `java.io.File` object representing the log file path.
The code uses JUnit 5 annotations</t>
        </is>
      </c>
      <c r="M2216" t="n">
        <v>0.0031</v>
      </c>
      <c r="N2216" t="n">
        <v>0.029</v>
      </c>
      <c r="O2216" t="n">
        <v>0.0769</v>
      </c>
    </row>
    <row r="2217">
      <c r="A2217" t="inlineStr">
        <is>
          <t>springboot</t>
        </is>
      </c>
      <c r="B2217" t="inlineStr">
        <is>
          <t>integration-test/spring-boot-actuator-integration-tests/src/test/java/org/springframework/boot/actuate/info/InfoEndpointWebIntegrationTests.java</t>
        </is>
      </c>
      <c r="C2217">
        <f>HYPERLINK("https://github.com/spring-projects/spring-boot/blob/master/integration-test/spring-boot-actuator-integration-tests/src/test/java/org/springframework/boot/actuate/info/InfoEndpointWebIntegrationTests.java")</f>
        <v/>
      </c>
      <c r="D2217" t="inlineStr">
        <is>
          <t>The code defines a Spring Boot Actuator endpoint called `InfoEndpoint` that provides information about the application. It uses a `InfoContributor` interface to collect data from various sources, such as the application context and the environment, and returns it as a map. The endpoint can be accessed through HTTP GET requests to `/actuator/info`.</t>
        </is>
      </c>
      <c r="E2217" t="n">
        <v>0.0035</v>
      </c>
      <c r="F2217" t="n">
        <v>0.0328</v>
      </c>
      <c r="G2217" t="n">
        <v>0.0806</v>
      </c>
      <c r="H2217" t="inlineStr">
        <is>
          <t>This code defines a Spring Boot Actuator endpoint that provides information about the application's environment and configuration. The endpoint uses the `InfoContributor` interface to contribute information from various sources, such as the application context, system properties, and beans defined in the application.
The code also includes a number of annotations used for dependency injection and configuration, including `@Component`, `@</t>
        </is>
      </c>
      <c r="I2217" t="n">
        <v>0.0037</v>
      </c>
      <c r="J2217" t="n">
        <v>0.0597</v>
      </c>
      <c r="K2217" t="n">
        <v>0.1145</v>
      </c>
      <c r="L2217" t="inlineStr">
        <is>
          <t>The provided code defines a Spring Boot Actuator Info endpoint that provides additional information about the application's environment, including the JVM version, memory usage, and system properties. It also includes customizable sections for adding additional information such as build information, Git metadata, and more.</t>
        </is>
      </c>
      <c r="M2217" t="n">
        <v>0.0042</v>
      </c>
      <c r="N2217" t="n">
        <v>0.0377</v>
      </c>
      <c r="O2217" t="n">
        <v>0.0431</v>
      </c>
    </row>
    <row r="2218">
      <c r="A2218" t="inlineStr">
        <is>
          <t>springboot</t>
        </is>
      </c>
      <c r="B2218" t="inlineStr">
        <is>
          <t>integration-test/spring-boot-actuator-integration-tests/src/test/java/org/springframework/boot/actuate/metrics/MetricsEndpointWebIntegrationTests.java</t>
        </is>
      </c>
      <c r="C2218">
        <f>HYPERLINK("https://github.com/spring-projects/spring-boot/blob/master/integration-test/spring-boot-actuator-integration-tests/src/test/java/org/springframework/boot/actuate/metrics/MetricsEndpointWebIntegrationTests.java")</f>
        <v/>
      </c>
      <c r="D2218" t="inlineStr">
        <is>
          <t>This code appears to be a Java implementation of a simple metrics system using Micrometer. It defines several classes related to metering and monitoring, including `MeterRegistry`, `JvmMemoryMetrics`, `SimpleConfig`, and `SimpleMet`. The main class, `Application`, creates a `MeterRegistry` instance and registers it as a bean in Spring Boot's application context</t>
        </is>
      </c>
      <c r="E2218" t="n">
        <v>0.0045</v>
      </c>
      <c r="F2218" t="n">
        <v>0.1034</v>
      </c>
      <c r="G2218" t="n">
        <v>0.1653</v>
      </c>
      <c r="H2218" t="inlineStr">
        <is>
          <t>This code defines a Java package named `org.springframework.boot.actuate.metrics` that provides various metrics related to the system's performance. The package includes classes such as `MeterRegistry`, `MockClock`, `JvmMemoryMetrics`, and `SimpleMet`. These classes provide functionalities such as meter registration, clock management, memory monitoring, and metric aggreg</t>
        </is>
      </c>
      <c r="I2218" t="n">
        <v>0.0051</v>
      </c>
      <c r="J2218" t="n">
        <v>0.1071</v>
      </c>
      <c r="K2218" t="n">
        <v>0.1304</v>
      </c>
      <c r="L2218" t="inlineStr">
        <is>
          <t>The provided code defines a Spring Boot Actuator Metrics class that registers JVM memory metrics using Micrometer. It imports necessary dependencies such as `io.micrometer.core.instrument` and `io.micrometer.core.instrument.binder.jvm.JvmMemoryMetrics`.
The class has two constructors, one that takes a</t>
        </is>
      </c>
      <c r="M2218" t="n">
        <v>0.0053</v>
      </c>
      <c r="N2218" t="n">
        <v>0.0769</v>
      </c>
      <c r="O2218" t="n">
        <v>0.0935</v>
      </c>
    </row>
    <row r="2219">
      <c r="A2219" t="inlineStr">
        <is>
          <t>springboot</t>
        </is>
      </c>
      <c r="B2219" t="inlineStr">
        <is>
          <t>integration-test/spring-boot-actuator-integration-tests/src/test/java/org/springframework/boot/actuate/metrics/export/prometheus/PrometheusScrapeEndpointIntegrationTests.java</t>
        </is>
      </c>
      <c r="C2219">
        <f>HYPERLINK("https://github.com/spring-projects/spring-boot/blob/master/integration-test/spring-boot-actuator-integration-tests/src/test/java/org/springframework/boot/actuate/metrics/export/prometheus/PrometheusScrapeEndpointIntegrationTests.java")</f>
        <v/>
      </c>
      <c r="D2219" t="inlineStr">
        <is>
          <t>This code defines a Prometheus exporter for Micrometer metrics, which allows for exporting metrics from a Micrometer registry as OpenMetrics text format. The exporter can be used to expose metrics to external systems that support the OpenMetrics text format, such as Prometheus.
The `PrometheusExporter` class implements the `io.promethe</t>
        </is>
      </c>
      <c r="E2219" t="n">
        <v>0.0045</v>
      </c>
      <c r="F2219" t="n">
        <v>0.0702</v>
      </c>
      <c r="G2219" t="n">
        <v>0.125</v>
      </c>
      <c r="H2219" t="inlineStr">
        <is>
          <t>The code defines a Java package named `org.springframework.boot.actuate.metrics.export.prometheus` that provides a Prometheus exporter for Micrometer metrics. It includes several classes and interfaces related to exporting metrics, such as `PrometheusExporter`, `PrometheusScraper`, and `PrometheusPushGateway`.</t>
        </is>
      </c>
      <c r="I2219" t="n">
        <v>0.0058</v>
      </c>
      <c r="J2219" t="n">
        <v>0.0435</v>
      </c>
      <c r="K2219" t="n">
        <v>0.0481</v>
      </c>
      <c r="L2219" t="inlineStr">
        <is>
          <t>The provided Java code defines a class that exports metrics from Micrometer to Prometheus. It takes in a `MeterRegistry` instance as a constructor argument and uses it to create a new `PrometheusMeterRegistry`. The registry is then used to export metrics to Prometheus using the Open Metrics Text Format.
The class also has a `properties` field</t>
        </is>
      </c>
      <c r="M2219" t="n">
        <v>0.0033</v>
      </c>
      <c r="N2219" t="n">
        <v>0.0317</v>
      </c>
      <c r="O2219" t="n">
        <v>0.07870000000000001</v>
      </c>
    </row>
    <row r="2220">
      <c r="A2220" t="inlineStr">
        <is>
          <t>springboot</t>
        </is>
      </c>
      <c r="B2220" t="inlineStr">
        <is>
          <t>integration-test/spring-boot-actuator-integration-tests/src/test/java/org/springframework/boot/actuate/endpoint/web/annotation/BaseConfiguration.java</t>
        </is>
      </c>
      <c r="C2220">
        <f>HYPERLINK("https://github.com/spring-projects/spring-boot/blob/master/integration-test/spring-boot-actuator-integration-tests/src/test/java/org/springframework/boot/actuate/endpoint/web/annotation/BaseConfiguration.java")</f>
        <v/>
      </c>
      <c r="D2220" t="inlineStr">
        <is>
          <t>This code defines a Spring Boot Actuator endpoint that allows users to invoke a method on a bean using HTTP requests. The endpoint supports multiple methods, including GET, POST, PUT, DELETE, and OPTIONS. It also supports custom headers and query parameters. The code uses the `ParameterValueMapper` interface to convert incoming request data into Java objects that can be used as method</t>
        </is>
      </c>
      <c r="E2220" t="n">
        <v>0.0036</v>
      </c>
      <c r="F2220" t="n">
        <v>0.058</v>
      </c>
      <c r="G2220" t="n">
        <v>0.1128</v>
      </c>
      <c r="H2220" t="inlineStr">
        <is>
          <t>This code defines a Spring Boot Actuator endpoint that allows invoking methods on beans in the application context. The endpoint supports method parameters and returns values as JSON objects. It also includes support for parameter conversion using a `ConversionService` instance. The code is well-documented and has been committed to version control.</t>
        </is>
      </c>
      <c r="I2220" t="n">
        <v>0.0043</v>
      </c>
      <c r="J2220" t="n">
        <v>0.0667</v>
      </c>
      <c r="K2220" t="n">
        <v>0.122</v>
      </c>
      <c r="L2220" t="inlineStr">
        <is>
          <t>The code defines a custom annotation that can be used to expose web endpoints in Spring Boot Actuator. It provides several features such as support for multiple HTTP methods, ability to define endpoint parameters, and integration with Spring's ConversionService.</t>
        </is>
      </c>
      <c r="M2220" t="n">
        <v>0.0047</v>
      </c>
      <c r="N2220" t="n">
        <v>0.0417</v>
      </c>
      <c r="O2220" t="n">
        <v>0.0901</v>
      </c>
    </row>
    <row r="2221">
      <c r="A2221" t="inlineStr">
        <is>
          <t>springboot</t>
        </is>
      </c>
      <c r="B2221" t="inlineStr">
        <is>
          <t>integration-test/spring-boot-actuator-integration-tests/src/test/java/org/springframework/boot/actuate/endpoint/web/annotation/AbstractWebEndpointIntegrationTests.java</t>
        </is>
      </c>
      <c r="C2221">
        <f>HYPERLINK("https://github.com/spring-projects/spring-boot/blob/master/integration-test/spring-boot-actuator-integration-tests/src/test/java/org/springframework/boot/actuate/endpoint/web/annotation/AbstractWebEndpointIntegrationTests.java")</f>
        <v/>
      </c>
      <c r="D2221" t="inlineStr">
        <is>
          <t>The provided Java code defines several classes related to Spring Boot Actuator endpoints. It appears to be part of a larger project, as it includes references to other packages such as `spring-boot` and `spring-core`.
The main class defined in the code is `WebEndpointAnnotationScanner`, which implements the `EndpointRegistrar` interface from the `spring-</t>
        </is>
      </c>
      <c r="E2221" t="n">
        <v>0.0043</v>
      </c>
      <c r="F2221" t="n">
        <v>0.0328</v>
      </c>
      <c r="G2221" t="n">
        <v>0.122</v>
      </c>
      <c r="H2221" t="inlineStr">
        <is>
          <t>This repository appears to contain Java source code for a web application using Spring Boot Actuator endpoints. The code includes several classes and interfaces related to endpoint management, including `Endpoint`, `WebEndpoint`, and `SecurityContext`. There is also a `pom.xml` file that defines the project's dependencies and build configuration.
The main class of the program seems to be `</t>
        </is>
      </c>
      <c r="I2221" t="n">
        <v>0.0038</v>
      </c>
      <c r="J2221" t="n">
        <v>0.0606</v>
      </c>
      <c r="K2221" t="n">
        <v>0.1163</v>
      </c>
      <c r="L2221" t="inlineStr">
        <is>
          <t>The provided code defines a custom annotation `WebEndpoint` that allows developers to easily create web endpoints for Spring Boot Actuator. It provides several features such as support for HTTP methods, path mapping, security, and caching. The annotation can be used to decorate a method in a controller class, allowing users to expose the method's functionality through a web endpoint.</t>
        </is>
      </c>
      <c r="M2221" t="n">
        <v>0.0037</v>
      </c>
      <c r="N2221" t="n">
        <v>0.0294</v>
      </c>
      <c r="O2221" t="n">
        <v>0.07630000000000001</v>
      </c>
    </row>
    <row r="2222">
      <c r="A2222" t="inlineStr">
        <is>
          <t>springboot</t>
        </is>
      </c>
      <c r="B2222" t="inlineStr">
        <is>
          <t>integration-test/spring-boot-actuator-integration-tests/src/test/java/org/springframework/boot/actuate/endpoint/web/jersey/JerseyWebEndpointIntegrationTests.java</t>
        </is>
      </c>
      <c r="C2222">
        <f>HYPERLINK("https://github.com/spring-projects/spring-boot/blob/master/integration-test/spring-boot-actuator-integration-tests/src/test/java/org/springframework/boot/actuate/endpoint/web/jersey/JerseyWebEndpointIntegrationTests.java")</f>
        <v/>
      </c>
      <c r="D2222" t="inlineStr">
        <is>
          <t>This Java code defines a Jersey filter that intercepts incoming HTTP requests and checks if they match any of the configured endpoints. If a matching endpoint is found, it processes the request using the appropriate handler method. The filter also handles errors and exceptions that occur during processing.
The `EndpointMatcher` class is responsible for matching incoming requests against registered endpoints. It uses a combination of</t>
        </is>
      </c>
      <c r="E2222" t="n">
        <v>0.0033</v>
      </c>
      <c r="F2222" t="n">
        <v>0.0548</v>
      </c>
      <c r="G2222" t="n">
        <v>0.1095</v>
      </c>
      <c r="H2222" t="inlineStr">
        <is>
          <t>This code appears to be part of a Java web application that uses Jersey as its REST API framework. The code defines several classes related to endpoint management, including `EndpointMvcAdapter`, which adapts Jersey endpoints to work within Spring Boot's MVC framework, and `JerseyHandlerMapping`, which maps incoming HTTP requests to Jersey resources. Additionally, there is a custom filter implementation called `</t>
        </is>
      </c>
      <c r="I2222" t="n">
        <v>0.0036</v>
      </c>
      <c r="J2222" t="n">
        <v>0.0588</v>
      </c>
      <c r="K2222" t="n">
        <v>0.1515</v>
      </c>
      <c r="L2222" t="inlineStr">
        <is>
          <t>The provided Java code defines a Jersey filter that implements Spring Boot's actuator endpoints. It performs several tasks related to endpoint handling, including parsing request parameters, validating input data, and serializing output responses using Jackson. The filter also includes error handling and logging capabilities. Overall, the code appears to be well-structured and follows best practices for Java web development.</t>
        </is>
      </c>
      <c r="M2222" t="n">
        <v>0.0037</v>
      </c>
      <c r="N2222" t="n">
        <v>0.058</v>
      </c>
      <c r="O2222" t="n">
        <v>0.1145</v>
      </c>
    </row>
    <row r="2223">
      <c r="A2223" t="inlineStr">
        <is>
          <t>springboot</t>
        </is>
      </c>
      <c r="B2223" t="inlineStr">
        <is>
          <t>integration-test/spring-boot-actuator-integration-tests/src/test/java/org/springframework/boot/actuate/endpoint/web/servlet/ControllerEndpointHandlerMappingIntegrationTests.java</t>
        </is>
      </c>
      <c r="C2223">
        <f>HYPERLINK("https://github.com/spring-projects/spring-boot/blob/master/integration-test/spring-boot-actuator-integration-tests/src/test/java/org/springframework/boot/actuate/endpoint/web/servlet/ControllerEndpointHandlerMappingIntegrationTests.java")</f>
        <v/>
      </c>
      <c r="D2223" t="inlineStr">
        <is>
          <t>The provided code defines a `WebMvcEndpointHandlerMapping` class that extends Spring's `AbstractHandlerMethodMapping` class and provides mapping between HTTP requests and endpoint methods. It also includes support for customizable access control using an `EndpointAccessResolver`.
The `WebMvcEndpointHandlerMapping` class has several important methods:
* `registerEndpoints`: This method registers all</t>
        </is>
      </c>
      <c r="E2223" t="n">
        <v>0.0049</v>
      </c>
      <c r="F2223" t="n">
        <v>0.0377</v>
      </c>
      <c r="G2223" t="n">
        <v>0.1282</v>
      </c>
      <c r="H2223" t="inlineStr">
        <is>
          <t>This repository contains Java source files that implement the Spring Boot Actuator Endpoint Web Servlet package. The code defines classes and methods related to endpoint access resolution, which is used to determine whether a user has permission to access certain endpoints based on their role or other factors. The implementation uses JUnit tests to verify the correctness of the code's behavior. The project's complexity</t>
        </is>
      </c>
      <c r="I2223" t="n">
        <v>0.0034</v>
      </c>
      <c r="J2223" t="n">
        <v>0.08110000000000001</v>
      </c>
      <c r="K2223" t="n">
        <v>0.1471</v>
      </c>
      <c r="L2223" t="inlineStr">
        <is>
          <t>The provided code defines a `ServletEndpointRegistrar` class that registers endpoints using Spring MVC's `RequestMappingHandlerMapping`. It also provides an implementation of the `EndpointAccessResolver` interface to resolve endpoint access based on the current request.
The `ServletEndpointRegistrar` class has several methods, including `registerEndpoints`, which registers all available endpoints,</t>
        </is>
      </c>
      <c r="M2223" t="n">
        <v>0</v>
      </c>
      <c r="N2223" t="n">
        <v>0.037</v>
      </c>
      <c r="O2223" t="n">
        <v>0.08550000000000001</v>
      </c>
    </row>
    <row r="2224">
      <c r="A2224" t="inlineStr">
        <is>
          <t>springboot</t>
        </is>
      </c>
      <c r="B2224" t="inlineStr">
        <is>
          <t>integration-test/spring-boot-actuator-integration-tests/src/test/java/org/springframework/boot/actuate/endpoint/web/servlet/MvcWebEndpointIntegrationTests.java</t>
        </is>
      </c>
      <c r="C2224">
        <f>HYPERLINK("https://github.com/spring-projects/spring-boot/blob/master/integration-test/spring-boot-actuator-integration-tests/src/test/java/org/springframework/boot/actuate/endpoint/web/servlet/MvcWebEndpointIntegrationTests.java")</f>
        <v/>
      </c>
      <c r="D2224" t="inlineStr">
        <is>
          <t>This Java code defines a custom filter that can be used to handle HTTP requests and responses. The filter implements the `jakarta.servlet.Filter` interface and has three methods: `doFilter`, `init`, and `destroy`.
The `doFilter` method takes two parameters: a `HttpServletRequest` object and a `HttpServletResponse` object. It checks if the request URL</t>
        </is>
      </c>
      <c r="E2224" t="n">
        <v>0.0048</v>
      </c>
      <c r="F2224" t="n">
        <v>0.1</v>
      </c>
      <c r="G2224" t="n">
        <v>0.1639</v>
      </c>
      <c r="H2224" t="inlineStr">
        <is>
          <t>This repository contains Java source files that implement a web application using Spring Boot Actuator. The code is licensed under the Apache License 2.0 and includes unit tests written using JUnit Jupiter. The main class is `EndpointWebMvcAutoConfiguration`, which provides configuration for the actuator endpoints. The repository also includes a test class named `EndpointWebMvcAutoConfigurationTests`</t>
        </is>
      </c>
      <c r="I2224" t="n">
        <v>0.0041</v>
      </c>
      <c r="J2224" t="n">
        <v>0.0968</v>
      </c>
      <c r="K2224" t="n">
        <v>0.16</v>
      </c>
      <c r="L2224" t="inlineStr">
        <is>
          <t>The provided code defines a custom filter that implements the `jakarta.servlet.Filter` interface. It is used to handle HTTP requests and responses within Spring Boot Actuator endpoints. The filter's primary responsibility is to check whether the incoming request matches any of the predefined patterns, and if so, to execute a set of actions defined in the `doFilter()` method. These actions</t>
        </is>
      </c>
      <c r="M2224" t="n">
        <v>0.0037</v>
      </c>
      <c r="N2224" t="n">
        <v>0.0571</v>
      </c>
      <c r="O2224" t="n">
        <v>0.1145</v>
      </c>
    </row>
    <row r="2225">
      <c r="A2225" t="inlineStr">
        <is>
          <t>springboot</t>
        </is>
      </c>
      <c r="B2225" t="inlineStr">
        <is>
          <t>integration-test/spring-boot-actuator-integration-tests/src/test/java/org/springframework/boot/actuate/endpoint/web/reactive/ControllerEndpointHandlerMappingIntegrationTests.java</t>
        </is>
      </c>
      <c r="C2225">
        <f>HYPERLINK("https://github.com/spring-projects/spring-boot/blob/master/integration-test/spring-boot-actuator-integration-tests/src/test/java/org/springframework/boot/actuate/endpoint/web/reactive/ControllerEndpointHandlerMappingIntegrationTests.java")</f>
        <v/>
      </c>
      <c r="D2225" t="inlineStr">
        <is>
          <t>The provided code defines a class called `WebFluxEndpointHandlerMapping` that extends Spring WebFlux's `AbstractHandlerMapping`. It provides a mapping between HTTP requests and endpoint handlers, which are responsible for handling incoming requests and returning responses.
The class has several methods, including `registerEndpoint`, which registers a new endpoint handler with the mapping, and `getHandlerInternal`,</t>
        </is>
      </c>
      <c r="E2225" t="n">
        <v>0.0036</v>
      </c>
      <c r="F2225" t="n">
        <v>0.0333</v>
      </c>
      <c r="G2225" t="n">
        <v>0.0813</v>
      </c>
      <c r="H2225" t="inlineStr">
        <is>
          <t>This code appears to be part of a Spring Boot Actuator web endpoint implementation. The `WebFluxEndpointHandlerMapping` class maps HTTP requests to endpoint handlers based on their URL paths. It also provides support for custom access control using the `EndpointAccessResolver` interface.
The `add()` method takes two arguments, `a` and `b`, which represent the values to</t>
        </is>
      </c>
      <c r="I2225" t="n">
        <v>0.004</v>
      </c>
      <c r="J2225" t="n">
        <v>0.0968</v>
      </c>
      <c r="K2225" t="n">
        <v>0.119</v>
      </c>
      <c r="L2225" t="inlineStr">
        <is>
          <t>The provided code defines a class named `WebFluxEndpointHandlerMapping` that extends Spring Boot's `EndpointHandlerMapping` class. It provides a mapping between HTTP requests and actuator endpoints, which are used to expose various system metrics and health checks through REST APIs.
The class has several methods, including `registerEndpoints()`, `getRootPath()` and `handleInternal</t>
        </is>
      </c>
      <c r="M2225" t="n">
        <v>0.0038</v>
      </c>
      <c r="N2225" t="n">
        <v>0.0351</v>
      </c>
      <c r="O2225" t="n">
        <v>0.0833</v>
      </c>
    </row>
    <row r="2226">
      <c r="A2226" t="inlineStr">
        <is>
          <t>springboot</t>
        </is>
      </c>
      <c r="B2226" t="inlineStr">
        <is>
          <t>integration-test/spring-boot-actuator-integration-tests/src/test/java/org/springframework/boot/actuate/endpoint/web/reactive/WebFluxEndpointIntegrationTests.java</t>
        </is>
      </c>
      <c r="C2226">
        <f>HYPERLINK("https://github.com/spring-projects/spring-boot/blob/master/integration-test/spring-boot-actuator-integration-tests/src/test/java/org/springframework/boot/actuate/endpoint/web/reactive/WebFluxEndpointIntegrationTests.java")</f>
        <v/>
      </c>
      <c r="D2226" t="inlineStr">
        <is>
          <t>This code defines a class called `WebFluxEndpoints` that extends `AbstractEndpointHandlerMapping`. It provides a mapping between HTTP requests and Spring Boot Actuator endpoints using WebFlux. The class also implements the `EndpointLinksResolver` interface, which allows it to resolve links to other endpoints based on their names.
The constructor takes two parameters: an `</t>
        </is>
      </c>
      <c r="E2226" t="n">
        <v>0.0047</v>
      </c>
      <c r="F2226" t="n">
        <v>0.06900000000000001</v>
      </c>
      <c r="G2226" t="n">
        <v>0.1626</v>
      </c>
      <c r="H2226" t="inlineStr">
        <is>
          <t>This code appears to be part of a Spring Boot Actuator web endpoint implementation. It defines a class called `WebFluxEndpointHandlerMapping` that extends the `AbstractHandlerMapping` class from the Spring Framework. The class implements the `EndpointLinksResolver` interface, which provides methods for resolving links between endpoints.
The `WebFluxEndpointHandlerMapping` class</t>
        </is>
      </c>
      <c r="I2226" t="n">
        <v>0.0048</v>
      </c>
      <c r="J2226" t="n">
        <v>0.0741</v>
      </c>
      <c r="K2226" t="n">
        <v>0.1271</v>
      </c>
      <c r="L2226" t="inlineStr">
        <is>
          <t>The provided code defines a class named `WebFluxEndpointHandlerMapping` that extends Spring Boot's `EndpointHandlerMapping` class and provides additional features for handling web flux endpoints. It uses the JUnit testing framework to test the mapping of endpoint links using the `EndpointLinksResolver` interface. The class also imports several other packages from Spring Boot, including `EndpointMapping`, `</t>
        </is>
      </c>
      <c r="M2226" t="n">
        <v>0.0035</v>
      </c>
      <c r="N2226" t="n">
        <v>0.0328</v>
      </c>
      <c r="O2226" t="n">
        <v>0.08</v>
      </c>
    </row>
    <row r="2227">
      <c r="A2227" t="inlineStr">
        <is>
          <t>springboot</t>
        </is>
      </c>
      <c r="B2227" t="inlineStr">
        <is>
          <t>integration-test/spring-boot-actuator-integration-tests/src/test/java/org/springframework/boot/actuate/management/HeapDumpWebEndpointWebIntegrationTests.java</t>
        </is>
      </c>
      <c r="C2227">
        <f>HYPERLINK("https://github.com/spring-projects/spring-boot/blob/master/integration-test/spring-boot-actuator-integration-tests/src/test/java/org/springframework/boot/actuate/management/HeapDumpWebEndpointWebIntegrationTests.java")</f>
        <v/>
      </c>
      <c r="D2227" t="inlineStr">
        <is>
          <t>This code defines a `ManagementService` class that provides various management operations for a Spring Boot application. The service uses the `Awaitility` library to wait for certain conditions to be met before returning from methods such as `isRunning()` and `getStatus()`. It also has a method called `start()` that starts the application and waits until it is ready to receive requests. Additionally,</t>
        </is>
      </c>
      <c r="E2227" t="n">
        <v>0.0036</v>
      </c>
      <c r="F2227" t="n">
        <v>0.0588</v>
      </c>
      <c r="G2227" t="n">
        <v>0.1136</v>
      </c>
      <c r="H2227" t="inlineStr">
        <is>
          <t>This code appears to be part of a Spring Boot application that provides management endpoints for various operations related to the application's lifecycle. The main class `ManagementEndpointAutoConfiguration` defines several endpoints that can be used to perform actions such as shutting down the application, reloading its configuration, and retrieving information about the application's environment.
The code also includes some</t>
        </is>
      </c>
      <c r="I2227" t="n">
        <v>0.0037</v>
      </c>
      <c r="J2227" t="n">
        <v>0.0588</v>
      </c>
      <c r="K2227" t="n">
        <v>0.1154</v>
      </c>
      <c r="L2227" t="inlineStr">
        <is>
          <t>The code defines a management endpoint that retrieves the PID of the running JVM process. It uses Awaitility to wait for the PID to be available after the application has started. The PID is then retrieved from a temporary file created by the JVM during startup.</t>
        </is>
      </c>
      <c r="M2227" t="n">
        <v>0</v>
      </c>
      <c r="N2227" t="n">
        <v>0</v>
      </c>
      <c r="O2227" t="n">
        <v>0.0424</v>
      </c>
    </row>
    <row r="2228">
      <c r="A2228" t="inlineStr">
        <is>
          <t>springboot</t>
        </is>
      </c>
      <c r="B2228" t="inlineStr">
        <is>
          <t>integration-test/spring-boot-actuator-integration-tests/src/test/java/org/springframework/boot/actuate/management/ThreadDumpEndpointWebIntegrationTests.java</t>
        </is>
      </c>
      <c r="C2228">
        <f>HYPERLINK("https://github.com/spring-projects/spring-boot/blob/master/integration-test/spring-boot-actuator-integration-tests/src/test/java/org/springframework/boot/actuate/management/ThreadDumpEndpointWebIntegrationTests.java")</f>
        <v/>
      </c>
      <c r="D2228" t="inlineStr">
        <is>
          <t>This code defines a Spring Boot Actuator management endpoint that provides information about the application's memory usage. The endpoint is defined using Java configuration and exposes a `/memory` URL path. It uses WebFlux to handle HTTP requests and responses, and it includes a `MemoryInfo` class that provides information about the application's memory usage. The endpoint also includes a `MemoryManager</t>
        </is>
      </c>
      <c r="E2228" t="n">
        <v>0.0037</v>
      </c>
      <c r="F2228" t="n">
        <v>0.058</v>
      </c>
      <c r="G2228" t="n">
        <v>0.1145</v>
      </c>
      <c r="H2228" t="inlineStr">
        <is>
          <t>This code defines a Spring Boot Actuator management endpoint that provides information about the application's memory usage. The endpoint is implemented using Java and uses the `ManagementFactory` class from the Java Management Extensions API to retrieve information about the JVM's memory usage. The endpoint returns a JSON response containing the total memory used by the JVM, the maximum amount of memory that can be used by</t>
        </is>
      </c>
      <c r="I2228" t="n">
        <v>0.0033</v>
      </c>
      <c r="J2228" t="n">
        <v>0.0789</v>
      </c>
      <c r="K2228" t="n">
        <v>0.1449</v>
      </c>
      <c r="L2228" t="inlineStr">
        <is>
          <t>The provided code defines a Spring Boot Actuator management endpoint that exposes management information about the application's status. It uses the `WebEndpointTest` class from the Spring Test suite to test the endpoint's response. The endpoint is configured using a `@Configuration` class that provides a single bean of type `WebTestClient`, which is used to send HTTP requests to the endpoint.</t>
        </is>
      </c>
      <c r="M2228" t="n">
        <v>0</v>
      </c>
      <c r="N2228" t="n">
        <v>0</v>
      </c>
      <c r="O2228" t="n">
        <v>0.0382</v>
      </c>
    </row>
    <row r="2229">
      <c r="A2229" t="inlineStr">
        <is>
          <t>springboot</t>
        </is>
      </c>
      <c r="B2229" t="inlineStr">
        <is>
          <t>integration-test/spring-boot-actuator-integration-tests/src/test/java/org/springframework/boot/actuate/audit/AuditEventsEndpointWebIntegrationTests.java</t>
        </is>
      </c>
      <c r="C2229">
        <f>HYPERLINK("https://github.com/spring-projects/spring-boot/blob/master/integration-test/spring-boot-actuator-integration-tests/src/test/java/org/springframework/boot/actuate/audit/AuditEventsEndpointWebIntegrationTests.java")</f>
        <v/>
      </c>
      <c r="D2229" t="inlineStr">
        <is>
          <t>This code appears to be part of a Spring Boot application that provides auditing capabilities through the `AuditEventRepository` interface. The `AuditEventRepository` interface defines methods for storing and retrieving audit events, which can be used to track changes made to data within the system.
The `AuditEventRepository` interface is implemented by the `InMemory</t>
        </is>
      </c>
      <c r="E2229" t="n">
        <v>0.0043</v>
      </c>
      <c r="F2229" t="n">
        <v>0.0678</v>
      </c>
      <c r="G2229" t="n">
        <v>0.1626</v>
      </c>
      <c r="H2229" t="inlineStr">
        <is>
          <t>The code defines a Spring Boot Actuator endpoint that provides auditing information about the system's activities. It uses JSON data structures to represent the audited events and exposes them through a RESTful API. The endpoint is implemented using Java and makes use of the Spring Boot Actuator framework. The code also includes comments explaining the purpose of each component and the assumptions made during its development</t>
        </is>
      </c>
      <c r="I2229" t="n">
        <v>0.0028</v>
      </c>
      <c r="J2229" t="n">
        <v>0.0533</v>
      </c>
      <c r="K2229" t="n">
        <v>0.1087</v>
      </c>
      <c r="L2229" t="inlineStr">
        <is>
          <t>The code defines a configuration class for Spring Boot's Actuator module that provides auditing capabilities. It registers a bean of type `AuditEventRepository` which is used to store audit events. Additionally, the code includes a method called `getEvents()` that retrieves all audit events from the repository. The method takes an optional parameter `after` that can be used</t>
        </is>
      </c>
      <c r="M2229" t="n">
        <v>0.0033</v>
      </c>
      <c r="N2229" t="n">
        <v>0.0308</v>
      </c>
      <c r="O2229" t="n">
        <v>0.0781</v>
      </c>
    </row>
    <row r="2230">
      <c r="A2230" t="inlineStr">
        <is>
          <t>springboot</t>
        </is>
      </c>
      <c r="B2230" t="inlineStr">
        <is>
          <t>integration-test/spring-boot-actuator-integration-tests/src/test/java/org/springframework/boot/actuate/health/TestHealthEndpointGroup.java</t>
        </is>
      </c>
      <c r="C2230">
        <f>HYPERLINK("https://github.com/spring-projects/spring-boot/blob/master/integration-test/spring-boot-actuator-integration-tests/src/test/java/org/springframework/boot/actuate/health/TestHealthEndpointGroup.java")</f>
        <v/>
      </c>
      <c r="D2230" t="inlineStr">
        <is>
          <t>The provided code defines a `HealthEndpoint` class that extends the `AbstractEndpoint` class from Spring Boot's Actuator module. It provides a health check endpoint for the application, which can be used to retrieve information about its current status.
The `HealthEndpoint` class has several methods that define how it should behave when accessed through HTTP requests. These include:</t>
        </is>
      </c>
      <c r="E2230" t="n">
        <v>0</v>
      </c>
      <c r="F2230" t="n">
        <v>0.0308</v>
      </c>
      <c r="G2230" t="n">
        <v>0.0391</v>
      </c>
      <c r="H2230" t="inlineStr">
        <is>
          <t>This code defines a Spring Boot Actuator health endpoint that allows users to check the status of their application's health. The endpoint uses a custom path and security context, as specified by the `AdditionalHealthEndpointPath` and `SecurityContext` classes, respectively. It also includes a predicate function that determines whether the endpoint should be exposed based on the current request. The actual</t>
        </is>
      </c>
      <c r="I2230" t="n">
        <v>0.0037</v>
      </c>
      <c r="J2230" t="n">
        <v>0.0588</v>
      </c>
      <c r="K2230" t="n">
        <v>0.1145</v>
      </c>
      <c r="L2230" t="inlineStr">
        <is>
          <t>The provided code defines a `HealthEndpoint` class that extends Spring Boot's `AbstractEndpoint` class and provides health check endpoints for applications. It uses the `HealthEndpointGroup` interface to define the available health checks and their corresponding paths. The endpoint also includes security configuration using the `SecurityContext` interface. Additionally, the code includes comments explaining the license and versioning information</t>
        </is>
      </c>
      <c r="M2230" t="n">
        <v>0.0033</v>
      </c>
      <c r="N2230" t="n">
        <v>0.0308</v>
      </c>
      <c r="O2230" t="n">
        <v>0.0781</v>
      </c>
    </row>
    <row r="2231">
      <c r="A2231" t="inlineStr">
        <is>
          <t>springboot</t>
        </is>
      </c>
      <c r="B2231" t="inlineStr">
        <is>
          <t>integration-test/spring-boot-actuator-integration-tests/src/test/java/org/springframework/boot/actuate/health/HealthEndpointWebIntegrationTests.java</t>
        </is>
      </c>
      <c r="C2231">
        <f>HYPERLINK("https://github.com/spring-projects/spring-boot/blob/master/integration-test/spring-boot-actuator-integration-tests/src/test/java/org/springframework/boot/actuate/health/HealthEndpointWebIntegrationTests.java")</f>
        <v/>
      </c>
      <c r="D2231" t="inlineStr">
        <is>
          <t>The code defines a `HealthEndpoint` class that extends Spring Boot's `AbstractEndpoint` class. It provides a way to expose health information about the application through an HTTP endpoint. The endpoint can be customized using various configuration options, such as setting the endpoint path, enabling or disabling security, and specifying the API version.
The implementation uses Reactive Streams to</t>
        </is>
      </c>
      <c r="E2231" t="n">
        <v>0.0032</v>
      </c>
      <c r="F2231" t="n">
        <v>0.0303</v>
      </c>
      <c r="G2231" t="n">
        <v>0.1163</v>
      </c>
      <c r="H2231" t="inlineStr">
        <is>
          <t>This code appears to be part of a Spring Boot application that provides health checks for the application's dependencies. The `HealthEndpoint` class defines an endpoint that can be used to retrieve information about the application's health. It implements the `WebFluxEndpoint` interface from Spring WebFlux, which allows it to handle HTTP requests using reactive programming techniques. The `Health</t>
        </is>
      </c>
      <c r="I2231" t="n">
        <v>0.0038</v>
      </c>
      <c r="J2231" t="n">
        <v>0.0597</v>
      </c>
      <c r="K2231" t="n">
        <v>0.1163</v>
      </c>
      <c r="L2231" t="inlineStr">
        <is>
          <t>The provided code defines a class called `HealthEndpoint` that extends Spring Boot's `AbstractEndpoint` class. It provides health status information about the application through a REST API endpoint. The endpoint uses Reactive programming principles to handle multiple requests concurrently using non-blocking I/O. The `HealthEndpoint` class also includes various methods for retrieving health information from other sources</t>
        </is>
      </c>
      <c r="M2231" t="n">
        <v>0</v>
      </c>
      <c r="N2231" t="n">
        <v>0</v>
      </c>
      <c r="O2231" t="n">
        <v>0.0394</v>
      </c>
    </row>
    <row r="2232">
      <c r="A2232" t="inlineStr">
        <is>
          <t>springboot</t>
        </is>
      </c>
      <c r="B2232" t="inlineStr">
        <is>
          <t>integration-test/spring-boot-test-integration-tests/src/test/java/org/springframework/boot/web/server/test/SpringBootTestReactiveWebEnvironmentRandomPortTests.java</t>
        </is>
      </c>
      <c r="C2232">
        <f>HYPERLINK("https://github.com/spring-projects/spring-boot/blob/master/integration-test/spring-boot-test-integration-tests/src/test/java/org/springframework/boot/web/server/test/SpringBootTestReactiveWebEnvironmentRandomPortTests.java")</f>
        <v/>
      </c>
      <c r="D2232" t="inlineStr">
        <is>
          <t>This code defines a Spring Boot web server test configuration class that sets up a test environment for testing RESTful APIs. It uses annotations from the `SpringBootTest` and `DirtiesContext` packages to configure the test environment and specify the type of WebEnvironment used during testing. The class also includes a `@RestController` annotation to indicate that it provides a REST API endpoint.</t>
        </is>
      </c>
      <c r="E2232" t="n">
        <v>0.0036</v>
      </c>
      <c r="F2232" t="n">
        <v>0.0588</v>
      </c>
      <c r="G2232" t="n">
        <v>0.1136</v>
      </c>
      <c r="H2232" t="inlineStr">
        <is>
          <t>This code defines a Spring Boot application that can be used to test web servers. It includes a `SpringBootTest` annotation indicating that it should be run as part of a Spring Boot test suite, a `WebEnvironment` enum value specifying that the tests should be run in a web environment, and a `@RestController` annotation indicating that the class contains RESTful endpoints. The code also</t>
        </is>
      </c>
      <c r="I2232" t="n">
        <v>0.0034</v>
      </c>
      <c r="J2232" t="n">
        <v>0.0563</v>
      </c>
      <c r="K2232" t="n">
        <v>0.1111</v>
      </c>
      <c r="L2232" t="inlineStr">
        <is>
          <t>The provided code defines a Spring Boot application that runs tests against a web server. It uses annotations from the `SpringBootTest` package to indicate that the test should be run as part of a Spring Boot application, and sets the `WebEnvironment` property to `RANDOM_PORT`, which indicates that the test should start a random port for the web server. The `@Configuration` annotation</t>
        </is>
      </c>
      <c r="M2232" t="n">
        <v>0.003</v>
      </c>
      <c r="N2232" t="n">
        <v>0.0286</v>
      </c>
      <c r="O2232" t="n">
        <v>0.0752</v>
      </c>
    </row>
    <row r="2233">
      <c r="A2233" t="inlineStr">
        <is>
          <t>springboot</t>
        </is>
      </c>
      <c r="B2233" t="inlineStr">
        <is>
          <t>integration-test/spring-boot-test-integration-tests/src/test/java/org/springframework/boot/web/server/test/AbstractSpringBootTestWebServerWebEnvironmentTests.java</t>
        </is>
      </c>
      <c r="C2233">
        <f>HYPERLINK("https://github.com/spring-projects/spring-boot/blob/master/integration-test/spring-boot-test-integration-tests/src/test/java/org/springframework/boot/web/server/test/AbstractSpringBootTestWebServerWebEnvironmentTests.java")</f>
        <v/>
      </c>
      <c r="D2233" t="inlineStr">
        <is>
          <t>The code defines a test class that uses Spring Boot's `TestRestTemplate` to send HTTP requests to a server running on localhost. It also includes some annotations from JUnit Jupiter and Spring Beans.
The class has one method called `getForEntity`, which sends a GET request to the specified URL and returns the response as an entity. It also injects two dependencies</t>
        </is>
      </c>
      <c r="E2233" t="n">
        <v>0.003</v>
      </c>
      <c r="F2233" t="n">
        <v>0.029</v>
      </c>
      <c r="G2233" t="n">
        <v>0.07580000000000001</v>
      </c>
      <c r="H2233" t="inlineStr">
        <is>
          <t>This code defines a Java package named `org.springframework.boot.web.server.test` that provides test utilities for Spring Boot web applications. The package includes a single class called `TestRestTemplate`, which extends the `TestRestTemplate` class from the Spring Test framework. The `TestRestTemplate` class provides methods for sending HTTP requests to a running Spring Boot application and ver</t>
        </is>
      </c>
      <c r="I2233" t="n">
        <v>0.0042</v>
      </c>
      <c r="J2233" t="n">
        <v>0.0615</v>
      </c>
      <c r="K2233" t="n">
        <v>0.121</v>
      </c>
      <c r="L2233" t="inlineStr">
        <is>
          <t>The code defines a test class that uses Spring Boot's TestRestTemplate to send HTTP requests to a server running within the same JVM as the tests. It also injects values from the application configuration into the test using the `@Value` annotation. The test method sends a GET request to the root URL of the server and verifies that it returns a successful response with the expected content type.</t>
        </is>
      </c>
      <c r="M2233" t="n">
        <v>0.0027</v>
      </c>
      <c r="N2233" t="n">
        <v>0.026</v>
      </c>
      <c r="O2233" t="n">
        <v>0.07140000000000001</v>
      </c>
    </row>
    <row r="2234">
      <c r="A2234" t="inlineStr">
        <is>
          <t>springboot</t>
        </is>
      </c>
      <c r="B2234" t="inlineStr">
        <is>
          <t>integration-test/spring-boot-test-integration-tests/src/test/java/org/springframework/boot/web/server/test/AbstractSpringBootTestEmbeddedReactiveWebEnvironmentTests.java</t>
        </is>
      </c>
      <c r="C2234">
        <f>HYPERLINK("https://github.com/spring-projects/spring-boot/blob/master/integration-test/spring-boot-test-integration-tests/src/test/java/org/springframework/boot/web/server/test/AbstractSpringBootTestEmbeddedReactiveWebEnvironmentTests.java")</f>
        <v/>
      </c>
      <c r="D2234" t="inlineStr">
        <is>
          <t>This is a Java Spring Boot web application that provides test utilities for testing RESTful APIs using the `TestRestTemplate` class from the `spring-boot-resttestclient` module. The application uses the `@Value` annotation to inject values into the `TestRestTemplate` instance, which allows it to be used as a dependency injection container for tests. The `TestRestTemplate`</t>
        </is>
      </c>
      <c r="E2234" t="n">
        <v>0.0035</v>
      </c>
      <c r="F2234" t="n">
        <v>0.0645</v>
      </c>
      <c r="G2234" t="n">
        <v>0.0806</v>
      </c>
      <c r="H2234" t="inlineStr">
        <is>
          <t>This code implements a RESTful API using Spring Boot. It provides a test suite for testing the API's behavior using JUnit Jupiter and Reactive Streams. The `add` method takes two integers as input and returns their sum. The `multiply` method takes two integers as input and returns their product. The `divide` method takes two integers as input and returns the</t>
        </is>
      </c>
      <c r="I2234" t="n">
        <v>0.004</v>
      </c>
      <c r="J2234" t="n">
        <v>0.08699999999999999</v>
      </c>
      <c r="K2234" t="n">
        <v>0.1515</v>
      </c>
      <c r="L2234" t="inlineStr">
        <is>
          <t>The code defines a test class that uses Spring Boot's TestRestTemplate to send HTTP requests to a RESTful API exposed by a Spring Boot application. The test method sends a GET request to the root URL of the API and verifies that the response status is 200 OK. Additionally, the test checks that the response body contains the expected string "Hello World!".</t>
        </is>
      </c>
      <c r="M2234" t="n">
        <v>0.0029</v>
      </c>
      <c r="N2234" t="n">
        <v>0.0282</v>
      </c>
      <c r="O2234" t="n">
        <v>0.0746</v>
      </c>
    </row>
    <row r="2235">
      <c r="A2235" t="inlineStr">
        <is>
          <t>springboot</t>
        </is>
      </c>
      <c r="B2235" t="inlineStr">
        <is>
          <t>integration-test/spring-boot-test-integration-tests/src/test/java/org/springframework/boot/web/server/test/AutoConfigureWebServerWebMvcIntegrationTests.java</t>
        </is>
      </c>
      <c r="C2235">
        <f>HYPERLINK("https://github.com/spring-projects/spring-boot/blob/master/integration-test/spring-boot-test-integration-tests/src/test/java/org/springframework/boot/web/server/test/AutoConfigureWebServerWebMvcIntegrationTests.java")</f>
        <v/>
      </c>
      <c r="D2235" t="inlineStr">
        <is>
          <t>The provided code defines a Spring Boot application that uses JUnit Jupiter tests to test its RESTful API endpoints. It includes several dependencies, including Spring Boot Testing, AutoConfigure Rest Test Client, and JUnit Jupiter. The `Application` class is annotated with `@SpringBootTest` and `@AutoConfigureRestTestClient`, indicating that it should be used as a</t>
        </is>
      </c>
      <c r="E2235" t="n">
        <v>0.0036</v>
      </c>
      <c r="F2235" t="n">
        <v>0.0339</v>
      </c>
      <c r="G2235" t="n">
        <v>0.0813</v>
      </c>
      <c r="H2235" t="inlineStr">
        <is>
          <t>This code defines a Spring Boot web server test that uses JUnit 5's `@Test` annotation to run tests against a RESTful API implemented using Spring Boot. The `add()` method takes two integers as input and returns their sum. The code also includes a license header and comments describing the purpose of the code.</t>
        </is>
      </c>
      <c r="I2235" t="n">
        <v>0.0041</v>
      </c>
      <c r="J2235" t="n">
        <v>0.0968</v>
      </c>
      <c r="K2235" t="n">
        <v>0.16</v>
      </c>
      <c r="L2235" t="inlineStr">
        <is>
          <t>The provided code defines a Spring Boot test class that uses the `AutoConfigureRestTestClient` annotation to enable REST client testing. It also imports the necessary dependencies from the `spring-boot-test` package.
The class has one method annotated with `@Test`, which makes use of the `RestTemplate` object to send HTTP requests to the application's endpoints.</t>
        </is>
      </c>
      <c r="M2235" t="n">
        <v>0</v>
      </c>
      <c r="N2235" t="n">
        <v>0</v>
      </c>
      <c r="O2235" t="n">
        <v>0.0403</v>
      </c>
    </row>
    <row r="2236">
      <c r="A2236" t="inlineStr">
        <is>
          <t>springboot</t>
        </is>
      </c>
      <c r="B2236" t="inlineStr">
        <is>
          <t>integration-test/spring-boot-test-integration-tests/src/test/java/org/springframework/boot/web/server/test/SpringBootTestWebEnvironmentRandomPortCustomPortTests.java</t>
        </is>
      </c>
      <c r="C2236">
        <f>HYPERLINK("https://github.com/spring-projects/spring-boot/blob/master/integration-test/spring-boot-test-integration-tests/src/test/java/org/springframework/boot/web/server/test/SpringBootTestWebEnvironmentRandomPortCustomPortTests.java")</f>
        <v/>
      </c>
      <c r="D2236" t="inlineStr">
        <is>
          <t>This code appears to be part of a Spring Boot application that provides test support for web servers. The `AbstractSpringBootTestWebServer` class defines a base class for integration tests that start up a web server using Spring Boot's testing support. It includes methods for setting up and tearing down the server, as well as methods for making HTTP requests against it. The `WebEnvironment`</t>
        </is>
      </c>
      <c r="E2236" t="n">
        <v>0.0035</v>
      </c>
      <c r="F2236" t="n">
        <v>0.0563</v>
      </c>
      <c r="G2236" t="n">
        <v>0.1119</v>
      </c>
      <c r="H2236" t="inlineStr">
        <is>
          <t>This Java package `org.springframework.boot.web.server.test` provides a set of classes and interfaces that can be used to test Spring Boot web applications. The package includes an abstract class called `AbstractSpringBootTestWebServerWebEnvironment`, which provides a base implementation for testing web servers using Spring Boot. Additionally, there are several other classes and interfaces included in the package, such</t>
        </is>
      </c>
      <c r="I2236" t="n">
        <v>0.004</v>
      </c>
      <c r="J2236" t="n">
        <v>0.0896</v>
      </c>
      <c r="K2236" t="n">
        <v>0.1587</v>
      </c>
      <c r="L2236" t="inlineStr">
        <is>
          <t>The provided code defines a test suite for a Spring Boot web server using JUnit Jupiter. It includes two tests that verify the proper functioning of the web server's HTTP request handling mechanism. The first test sets up a mocked HTTP request and verifies that the web server responds correctly, while the second test asserts that the web server returns a valid response when given a</t>
        </is>
      </c>
      <c r="M2236" t="n">
        <v>0.0028</v>
      </c>
      <c r="N2236" t="n">
        <v>0.0533</v>
      </c>
      <c r="O2236" t="n">
        <v>0.0725</v>
      </c>
    </row>
    <row r="2237">
      <c r="A2237" t="inlineStr">
        <is>
          <t>springboot</t>
        </is>
      </c>
      <c r="B2237" t="inlineStr">
        <is>
          <t>integration-test/spring-boot-test-integration-tests/src/test/java/org/springframework/boot/web/server/test/SpringBootTestUserDefinedTestRestTemplateTests.java</t>
        </is>
      </c>
      <c r="C2237">
        <f>HYPERLINK("https://github.com/spring-projects/spring-boot/blob/master/integration-test/spring-boot-test-integration-tests/src/test/java/org/springframework/boot/web/server/test/SpringBootTestUserDefinedTestRestTemplateTests.java")</f>
        <v/>
      </c>
      <c r="D2237" t="inlineStr">
        <is>
          <t>This Java package `org.springframework.boot.web.server.test` provides a set of classes and interfaces related to testing Spring Boot web applications. The main class of interest is `SpringBootTest`, which is used as a test annotation to indicate that a test method should be run using Spring Boot's test infrastructure. Other notable classes include `WebEnvironment`, which specifies how</t>
        </is>
      </c>
      <c r="E2237" t="n">
        <v>0.004</v>
      </c>
      <c r="F2237" t="n">
        <v>0.0588</v>
      </c>
      <c r="G2237" t="n">
        <v>0.119</v>
      </c>
      <c r="H2237" t="inlineStr">
        <is>
          <t>This code defines a Spring Boot test configuration class that sets up a web server using the `SpringBootTest` annotation. The class has one method, `add()`, which returns the sum of its two arguments. The class also imports several other classes from the Spring framework.
The README file describes the purpose of the repository as containing backend software components. The complexity of the code is</t>
        </is>
      </c>
      <c r="I2237" t="n">
        <v>0.0034</v>
      </c>
      <c r="J2237" t="n">
        <v>0.0556</v>
      </c>
      <c r="K2237" t="n">
        <v>0.1471</v>
      </c>
      <c r="L2237" t="inlineStr">
        <is>
          <t>The provided code defines a Spring Boot test configuration that sets up a web server using the `org.springframework.boot.web.server.test` package. It includes a JUnit 5 test class annotated with `@SpringBootTest`, which indicates that the test should be run as part of a Spring Boot application. The test class also imports the `org.springframework.test.annotation</t>
        </is>
      </c>
      <c r="M2237" t="n">
        <v>0</v>
      </c>
      <c r="N2237" t="n">
        <v>0</v>
      </c>
      <c r="O2237" t="n">
        <v>0.0407</v>
      </c>
    </row>
    <row r="2238">
      <c r="A2238" t="inlineStr">
        <is>
          <t>springboot</t>
        </is>
      </c>
      <c r="B2238" t="inlineStr">
        <is>
          <t>integration-test/spring-boot-test-integration-tests/src/test/java/org/springframework/boot/web/server/test/SpringBootTestWebEnvironmentDefinedPortTests.java</t>
        </is>
      </c>
      <c r="C2238">
        <f>HYPERLINK("https://github.com/spring-projects/spring-boot/blob/master/integration-test/spring-boot-test-integration-tests/src/test/java/org/springframework/boot/web/server/test/SpringBootTestWebEnvironmentDefinedPortTests.java")</f>
        <v/>
      </c>
      <c r="D2238" t="inlineStr">
        <is>
          <t>This is a Java Spring Boot application that provides a test framework for testing web servers. It includes a configuration class called `SpringBootTest` that sets up the necessary dependencies for running tests against a web server, as well as a `WebEnvironment` annotation that specifies whether the tests should run in a separate container or directly within the current JVM. The main entry point for the application is a</t>
        </is>
      </c>
      <c r="E2238" t="n">
        <v>0.0027</v>
      </c>
      <c r="F2238" t="n">
        <v>0.0263</v>
      </c>
      <c r="G2238" t="n">
        <v>0.07140000000000001</v>
      </c>
      <c r="H2238" t="inlineStr">
        <is>
          <t>This code defines a Spring Boot web server test package that provides utilities for testing RESTful APIs. The package includes a configuration class, which sets up the necessary dependencies for running tests, as well as several annotations and interfaces used for testing purposes. The main class, `Server`, starts the embedded Tomcat server and exposes it through a REST API. Additionally, there are several helper classes and</t>
        </is>
      </c>
      <c r="I2238" t="n">
        <v>0.0033</v>
      </c>
      <c r="J2238" t="n">
        <v>0.0541</v>
      </c>
      <c r="K2238" t="n">
        <v>0.1087</v>
      </c>
      <c r="L2238" t="inlineStr">
        <is>
          <t>The provided code defines a Spring Boot web server test configuration that uses the `SpringBootTest` annotation to enable testing of a Spring Boot application's RESTful API endpoints. It also includes a `@RestController` class that provides a simple endpoint for testing purposes. The code is well-documented with comments explaining the purpose of each section and the annotations used. The code size is approximately</t>
        </is>
      </c>
      <c r="M2238" t="n">
        <v>0.0029</v>
      </c>
      <c r="N2238" t="n">
        <v>0.0278</v>
      </c>
      <c r="O2238" t="n">
        <v>0.0746</v>
      </c>
    </row>
    <row r="2239">
      <c r="A2239" t="inlineStr">
        <is>
          <t>springboot</t>
        </is>
      </c>
      <c r="B2239" t="inlineStr">
        <is>
          <t>integration-test/spring-boot-test-integration-tests/src/test/java/org/springframework/boot/web/server/test/SpringBootTestReactiveWebEnvironmentDefinedPortTests.java</t>
        </is>
      </c>
      <c r="C2239">
        <f>HYPERLINK("https://github.com/spring-projects/spring-boot/blob/master/integration-test/spring-boot-test-integration-tests/src/test/java/org/springframework/boot/web/server/test/SpringBootTestReactiveWebEnvironmentDefinedPortTests.java")</f>
        <v/>
      </c>
      <c r="D2239" t="inlineStr">
        <is>
          <t>This code defines a Spring Boot test application that can be used to test web applications. It includes a `WebEnvironment` annotation that specifies that the test should run in a web environment, a `DirtiesContext` annotation that indicates that the context should be cleaned up after each test, and a `@RestController` annotation that indicates that the class is a REST controller. The code</t>
        </is>
      </c>
      <c r="E2239" t="n">
        <v>0.0035</v>
      </c>
      <c r="F2239" t="n">
        <v>0.0571</v>
      </c>
      <c r="G2239" t="n">
        <v>0.1119</v>
      </c>
      <c r="H2239" t="inlineStr">
        <is>
          <t>This code appears to be part of a Spring Boot web application, specifically the test suite for the application. The `add` function takes two arguments, `a` and `b`, and returns their sum. The code also includes several annotations such as `@SpringBootTest`, `@WebEnvironment`, `@Configuration`, `@RestController`, and `@DirtiesContext`. These annotations indicate that the code</t>
        </is>
      </c>
      <c r="I2239" t="n">
        <v>0.0042</v>
      </c>
      <c r="J2239" t="n">
        <v>0.1</v>
      </c>
      <c r="K2239" t="n">
        <v>0.121</v>
      </c>
      <c r="L2239" t="inlineStr">
        <is>
          <t>The code defines a Spring Boot test application that runs in a web environment. It uses annotations from the `SpringBootTest` package to indicate that the test is a Spring Boot test and that it should run in a web environment. The `@Configuration` annotation indicates that the class provides configuration for the application. The `@RestController` annotation indicates that the class is a REST controller, which means it</t>
        </is>
      </c>
      <c r="M2239" t="n">
        <v>0.0028</v>
      </c>
      <c r="N2239" t="n">
        <v>0.027</v>
      </c>
      <c r="O2239" t="n">
        <v>0.0725</v>
      </c>
    </row>
    <row r="2240">
      <c r="A2240" t="inlineStr">
        <is>
          <t>springboot</t>
        </is>
      </c>
      <c r="B2240" t="inlineStr">
        <is>
          <t>integration-test/spring-boot-test-integration-tests/src/test/java/org/springframework/boot/web/server/test/SpringBootTestWebEnvironmentRandomPortTests.java</t>
        </is>
      </c>
      <c r="C2240">
        <f>HYPERLINK("https://github.com/spring-projects/spring-boot/blob/master/integration-test/spring-boot-test-integration-tests/src/test/java/org/springframework/boot/web/server/test/SpringBootTestWebEnvironmentRandomPortTests.java")</f>
        <v/>
      </c>
      <c r="D2240" t="inlineStr">
        <is>
          <t>This code defines a Spring Boot application that uses the `RestTemplateBuilder` class from the `spring-boot-restclient` library to make HTTP requests to a RESTful API. The application is configured using the `@SpringBootTest` annotation, which indicates that it should be run as a unit test. The `WebEnvironment` property of the annotation specifies that the application should be launched</t>
        </is>
      </c>
      <c r="E2240" t="n">
        <v>0.0033</v>
      </c>
      <c r="F2240" t="n">
        <v>0.0303</v>
      </c>
      <c r="G2240" t="n">
        <v>0.0781</v>
      </c>
      <c r="H2240" t="inlineStr">
        <is>
          <t>This code defines a Spring Boot web server test that uses the RestTemplateBuilder to send HTTP requests to a RESTful API. The test is annotated with @SpringBootTest and WebEnvironment.None, indicating that it should be run as part of a Spring Boot application without starting a web server. The test method itself does not contain any implementation details, but rather relies on the RestTemplate</t>
        </is>
      </c>
      <c r="I2240" t="n">
        <v>0.0034</v>
      </c>
      <c r="J2240" t="n">
        <v>0.0556</v>
      </c>
      <c r="K2240" t="n">
        <v>0.1481</v>
      </c>
      <c r="L2240" t="inlineStr">
        <is>
          <t>The code provides a Spring Boot test configuration for testing web servers using the `SpringBootTest` annotation. It defines a bean named `restTemplateBuilder` that creates a `RestTemplateBuilder` instance, which can be used to build REST clients. Additionally, it specifies the `WebEnvironment` as `MOCK`, indicating that the application should run in a mock environment.</t>
        </is>
      </c>
      <c r="M2240" t="n">
        <v>0</v>
      </c>
      <c r="N2240" t="n">
        <v>0</v>
      </c>
      <c r="O2240" t="n">
        <v>0.0403</v>
      </c>
    </row>
    <row r="2241">
      <c r="A2241" t="inlineStr">
        <is>
          <t>springboot</t>
        </is>
      </c>
      <c r="B2241" t="inlineStr">
        <is>
          <t>integration-test/spring-boot-test-integration-tests/src/test/java/org/springframework/boot/web/server/test/SpringBootTestReactiveWebEnvironmentUserDefinedTestRestTemplateTests.java</t>
        </is>
      </c>
      <c r="C2241">
        <f>HYPERLINK("https://github.com/spring-projects/spring-boot/blob/master/integration-test/spring-boot-test-integration-tests/src/test/java/org/springframework/boot/web/server/test/SpringBootTestReactiveWebEnvironmentUserDefinedTestRestTemplateTests.java")</f>
        <v/>
      </c>
      <c r="D2241" t="inlineStr">
        <is>
          <t>This code defines a Spring Boot test configuration class that sets up a web server using the `SpringBootTest` annotation. The `WebEnvironment` parameter is set to `MOCK`, which means that no actual web server will be started during testing. Instead, a mock web server will be used to simulate HTTP requests and responses.
The `MockMvc` bean is defined as a `@</t>
        </is>
      </c>
      <c r="E2241" t="n">
        <v>0.0036</v>
      </c>
      <c r="F2241" t="n">
        <v>0.0597</v>
      </c>
      <c r="G2241" t="n">
        <v>0.1136</v>
      </c>
      <c r="H2241" t="inlineStr">
        <is>
          <t>This code defines a Spring Boot web server test package that provides a way to test the behavior of a Spring Boot application. The package includes a `WebServer` class that represents a running instance of a Spring Boot web server, as well as several other classes and methods related to testing. The package also includes a configuration class (`TestConfig`) that defines beans used during testing. Overall,</t>
        </is>
      </c>
      <c r="I2241" t="n">
        <v>0.0033</v>
      </c>
      <c r="J2241" t="n">
        <v>0.0541</v>
      </c>
      <c r="K2241" t="n">
        <v>0.1087</v>
      </c>
      <c r="L2241" t="inlineStr">
        <is>
          <t>The provided code defines a Spring Boot test configuration that sets up a web server environment using `SpringBootTest` annotation. It also provides a custom bean definition for a `WebServerContextCustomizer`, which is used to configure the embedded web server. The `WebServerContextCustomizer` implementation is annotated as `@Bean`. Overall, the code appears to be related to testing Spring Boot</t>
        </is>
      </c>
      <c r="M2241" t="n">
        <v>0</v>
      </c>
      <c r="N2241" t="n">
        <v>0.0312</v>
      </c>
      <c r="O2241" t="n">
        <v>0.0781</v>
      </c>
    </row>
    <row r="2242">
      <c r="A2242" t="inlineStr">
        <is>
          <t>springboot</t>
        </is>
      </c>
      <c r="B2242" t="inlineStr">
        <is>
          <t>integration-test/spring-boot-test-integration-tests/src/test/java/org/springframework/boot/web/server/test/SpringBootTestWebEnvironmentContextHierarchyTests.java</t>
        </is>
      </c>
      <c r="C2242">
        <f>HYPERLINK("https://github.com/spring-projects/spring-boot/blob/master/integration-test/spring-boot-test-integration-tests/src/test/java/org/springframework/boot/web/server/test/SpringBootTestWebEnvironmentContextHierarchyTests.java")</f>
        <v/>
      </c>
      <c r="D2242" t="inlineStr">
        <is>
          <t>The provided code defines a Spring Boot test class that sets up a web server using the `AbstractSpringBootTestWebServer` class from the `spring-boot-starter-test` library. The test uses JUnit Jupiter annotations to define a single test method that injects a bean of type `WebServer` into the test class using `@Autowired`. The test then asser</t>
        </is>
      </c>
      <c r="E2242" t="n">
        <v>0</v>
      </c>
      <c r="F2242" t="n">
        <v>0</v>
      </c>
      <c r="G2242" t="n">
        <v>0.0403</v>
      </c>
      <c r="H2242" t="inlineStr">
        <is>
          <t>This code defines a Spring Boot test web server that can be used to run integration tests against a Spring Boot application. It provides several features such as support for multiple environments, customizable port ranges, and more. The code also includes JUnit 5 annotations for testing purposes.</t>
        </is>
      </c>
      <c r="I2242" t="n">
        <v>0.0046</v>
      </c>
      <c r="J2242" t="n">
        <v>0.0727</v>
      </c>
      <c r="K2242" t="n">
        <v>0.1261</v>
      </c>
      <c r="L2242" t="inlineStr">
        <is>
          <t>The provided code defines a test suite for Spring Boot web servers using JUnit Jupiter. It imports necessary dependencies from the `spring-boot-test` package and sets up a test environment with the `@SpringBootTest` annotation. The test class uses the `@Autowired` annotation to inject beans into the test instance, allowing for testing of the application's web server configuration. The</t>
        </is>
      </c>
      <c r="M2242" t="n">
        <v>0.0032</v>
      </c>
      <c r="N2242" t="n">
        <v>0.0294</v>
      </c>
      <c r="O2242" t="n">
        <v>0.0775</v>
      </c>
    </row>
    <row r="2243">
      <c r="A2243" t="inlineStr">
        <is>
          <t>springboot</t>
        </is>
      </c>
      <c r="B2243" t="inlineStr">
        <is>
          <t>integration-test/spring-boot-configuration-processor-integration-tests/src/main/java/sample/package-info.java</t>
        </is>
      </c>
      <c r="C2243">
        <f>HYPERLINK("https://github.com/spring-projects/spring-boot/blob/master/integration-test/spring-boot-configuration-processor-integration-tests/src/main/java/sample/package-info.java")</f>
        <v/>
      </c>
      <c r="D2243" t="inlineStr">
        <is>
          <t>The provided code defines a Java package named `sample` that contains a single class named `Sample`. This class has no fields or methods, but it does have some annotations, including `@NullMarked`, which indicates that the class is annotated with nullability information.
The `Sample` class appears to be a simple test case or example implementation, as indicated by its name and the</t>
        </is>
      </c>
      <c r="E2243" t="n">
        <v>0.0036</v>
      </c>
      <c r="F2243" t="n">
        <v>0.08699999999999999</v>
      </c>
      <c r="G2243" t="n">
        <v>0.0752</v>
      </c>
      <c r="H2243" t="inlineStr">
        <is>
          <t>This code appears to be a Java project that uses the JSpecify library to annotate its code with nullability information. The project has one package called `sample`, which contains a single class called `Sample`. The class has no fields and only one method called `add` that takes two integers as input parameters and returns their sum. The method body consists of a single line of code that</t>
        </is>
      </c>
      <c r="I2243" t="n">
        <v>0.0032</v>
      </c>
      <c r="J2243" t="n">
        <v>0.0533</v>
      </c>
      <c r="K2243" t="n">
        <v>0.1079</v>
      </c>
      <c r="L2243" t="inlineStr">
        <is>
          <t>The provided code is a Java package named `sample` that uses the `@NullMarked` annotation from the `org.jspecify.annotations` package. It defines a class called `Sample` with a single method called `test`. The method takes no arguments and returns a string value. The method body consists of a series of statements that perform various operations, including declaring variables,</t>
        </is>
      </c>
      <c r="M2243" t="n">
        <v>0.0033</v>
      </c>
      <c r="N2243" t="n">
        <v>0.0303</v>
      </c>
      <c r="O2243" t="n">
        <v>0.0781</v>
      </c>
    </row>
    <row r="2244">
      <c r="A2244" t="inlineStr">
        <is>
          <t>springboot</t>
        </is>
      </c>
      <c r="B2244" t="inlineStr">
        <is>
          <t>integration-test/spring-boot-configuration-processor-integration-tests/src/main/java/sample/AnnotatedSample.java</t>
        </is>
      </c>
      <c r="C2244">
        <f>HYPERLINK("https://github.com/spring-projects/spring-boot/blob/master/integration-test/spring-boot-configuration-processor-integration-tests/src/main/java/sample/AnnotatedSample.java")</f>
        <v/>
      </c>
      <c r="D2244" t="inlineStr">
        <is>
          <t>This Java code defines a Spring Boot configuration class called `AnnotatedSample` that is annotated with `@ConfigurationProperties` and has a single field called `a`. The field is annotated with `@Valid` and `@Nullable`, indicating that it can be null and must pass validation when set. The class also imports two other annotations from Jakarta Bean Validation and JSpecify</t>
        </is>
      </c>
      <c r="E2244" t="n">
        <v>0.0039</v>
      </c>
      <c r="F2244" t="n">
        <v>0.0625</v>
      </c>
      <c r="G2244" t="n">
        <v>0.0781</v>
      </c>
      <c r="H2244" t="inlineStr">
        <is>
          <t>This repository contains Java source code for a Spring Boot application. The main class is `AnnotatedSample`, which is annotated with `@ConfigurationProperties` and has one field named `a`. The field is also annotated with `@Valid` and `@Nullable`. The class implements the `sample` package and imports various other packages including `jakarta.validation`, `org.jspec</t>
        </is>
      </c>
      <c r="I2244" t="n">
        <v>0.0048</v>
      </c>
      <c r="J2244" t="n">
        <v>0.1</v>
      </c>
      <c r="K2244" t="n">
        <v>0.123</v>
      </c>
      <c r="L2244" t="inlineStr">
        <is>
          <t>The code defines a Java class named `AnnotatedSample` that is annotated with `@ConfigurationProperties`. It has one property named `a`, which is also annotated with `@Valid` and `@Nullable`. The class implements a method called `getA()` that returns the value of the `a` property.</t>
        </is>
      </c>
      <c r="M2244" t="n">
        <v>0.0052</v>
      </c>
      <c r="N2244" t="n">
        <v>0.04</v>
      </c>
      <c r="O2244" t="n">
        <v>0.0877</v>
      </c>
    </row>
    <row r="2245">
      <c r="A2245" t="inlineStr">
        <is>
          <t>springboot</t>
        </is>
      </c>
      <c r="B2245" t="inlineStr">
        <is>
          <t>integration-test/spring-boot-configuration-processor-integration-tests/src/test/java/org/springframework/boot/configurationprocessor/tests/ConfigurationProcessorIntegrationTests.java</t>
        </is>
      </c>
      <c r="C2245">
        <f>HYPERLINK("https://github.com/spring-projects/spring-boot/blob/master/integration-test/spring-boot-configuration-processor-integration-tests/src/test/java/org/springframework/boot/configurationprocessor/tests/ConfigurationProcessorIntegrationTests.java")</f>
        <v/>
      </c>
      <c r="D2245" t="inlineStr">
        <is>
          <t>This code appears to be part of a Spring Boot application that uses the `ConfigurationMetadata` class from the `spring-boot-configurationprocessor` package to generate configuration metadata for a Spring Boot application. The `ConfigurationMetadata` class provides information about the properties of a Spring Boot application's configuration classes, such as their names, types, and default values.
The code defines several methods</t>
        </is>
      </c>
      <c r="E2245" t="n">
        <v>0.0038</v>
      </c>
      <c r="F2245" t="n">
        <v>0.0588</v>
      </c>
      <c r="G2245" t="n">
        <v>0.1163</v>
      </c>
      <c r="H2245" t="inlineStr">
        <is>
          <t>This code defines a Java package called `org.springframework.boot.configurationprocessor.tests` that contains unit tests for the Spring Boot configuration processor. The package includes several classes that implement JUnit test cases, including one class called `ConfigurationMetadataTests` that tests various aspects of the configuration metadata processing logic.
The code also includes a number of utility methods for working with URLs and lists</t>
        </is>
      </c>
      <c r="I2245" t="n">
        <v>0.0041</v>
      </c>
      <c r="J2245" t="n">
        <v>0.0857</v>
      </c>
      <c r="K2245" t="n">
        <v>0.1923</v>
      </c>
      <c r="L2245" t="inlineStr">
        <is>
          <t>The provided code defines a JUnit test suite that tests the functionality of the Spring Boot configuration processor. It imports several classes from the `spring-boot` package and uses them to create a list of URLs, which are then used to retrieve metadata about properties defined in a Spring Boot application's configuration files. The test cases verify that the metadata retrieved matches the expected values based on the property names</t>
        </is>
      </c>
      <c r="M2245" t="n">
        <v>0.0031</v>
      </c>
      <c r="N2245" t="n">
        <v>0.0506</v>
      </c>
      <c r="O2245" t="n">
        <v>0.0709</v>
      </c>
    </row>
    <row r="2246">
      <c r="A2246" t="inlineStr">
        <is>
          <t>springboot</t>
        </is>
      </c>
      <c r="B2246" t="inlineStr">
        <is>
          <t>cli/spring-boot-cli/src/intTest/java/org/springframework/boot/cli/CommandLineIT.java</t>
        </is>
      </c>
      <c r="C2246">
        <f>HYPERLINK("https://github.com/spring-projects/spring-boot/blob/master/cli/spring-boot-cli/src/intTest/java/org/springframework/boot/cli/CommandLineIT.java")</f>
        <v/>
      </c>
      <c r="D2246" t="inlineStr">
        <is>
          <t>The provided code defines a Java class named `SpringBootCli` that uses Spring Boot's CLI to execute commands. It also includes JUnit tests using the `@BeforeEach` annotation to set up a temporary directory and the `@Test` annotation to run test cases. The class has a single method called `execute` that takes a string array of command line arguments as input and returns an</t>
        </is>
      </c>
      <c r="E2246" t="n">
        <v>0.0029</v>
      </c>
      <c r="F2246" t="n">
        <v>0.0282</v>
      </c>
      <c r="G2246" t="n">
        <v>0.0746</v>
      </c>
      <c r="H2246" t="inlineStr">
        <is>
          <t>This Java package `org.springframework.boot.cli` contains the implementation of a command line interface (CLI) for Spring Boot applications. The CLI allows users to interact with the application using various commands, such as starting, stopping, and restarting it. It also provides features like logging, debugging, and profiling.
The package includes several classes that implement different functionalities, such</t>
        </is>
      </c>
      <c r="I2246" t="n">
        <v>0.004</v>
      </c>
      <c r="J2246" t="n">
        <v>0.09089999999999999</v>
      </c>
      <c r="K2246" t="n">
        <v>0.1575</v>
      </c>
      <c r="L2246" t="inlineStr">
        <is>
          <t>The provided code is part of a Java package named `org.springframework.boot.cli` and appears to be related to command line execution. It defines a class named `SpringBootCliApplication` that extends `SpringBootCommandLineRunner`. The class has a single method named `run`, which takes a `String[]` argument representing the command line arguments passed to the application.</t>
        </is>
      </c>
      <c r="M2246" t="n">
        <v>0.0036</v>
      </c>
      <c r="N2246" t="n">
        <v>0.0323</v>
      </c>
      <c r="O2246" t="n">
        <v>0.0813</v>
      </c>
    </row>
    <row r="2247">
      <c r="A2247" t="inlineStr">
        <is>
          <t>springboot</t>
        </is>
      </c>
      <c r="B2247" t="inlineStr">
        <is>
          <t>cli/spring-boot-cli/src/intTest/java/org/springframework/boot/cli/infrastructure/Versions.java</t>
        </is>
      </c>
      <c r="C2247">
        <f>HYPERLINK("https://github.com/spring-projects/spring-boot/blob/master/cli/spring-boot-cli/src/intTest/java/org/springframework/boot/cli/infrastructure/Versions.java")</f>
        <v/>
      </c>
      <c r="D2247" t="inlineStr">
        <is>
          <t>The `Versions` class provides access to the current Spring Boot version by reading it from a properties file called `gradle.properties`. It does this by using the `java.util.Properties` class to load the contents of the file into a map, and then retrieving the value associated with the key `"version"` from that map.</t>
        </is>
      </c>
      <c r="E2247" t="n">
        <v>0.0036</v>
      </c>
      <c r="F2247" t="n">
        <v>0.0645</v>
      </c>
      <c r="G2247" t="n">
        <v>0.122</v>
      </c>
      <c r="H2247" t="inlineStr">
        <is>
          <t>This Java package named `Versions` provides a method called `getBootVersion()` that returns the current version of Spring Boot based on the contents of a file named `gradle.properties`. The method reads the properties from the file using the `java.util.Properties` class and then extracts the value of the property named `springBootVersion`.</t>
        </is>
      </c>
      <c r="I2247" t="n">
        <v>0.0045</v>
      </c>
      <c r="J2247" t="n">
        <v>0.0667</v>
      </c>
      <c r="K2247" t="n">
        <v>0.124</v>
      </c>
      <c r="L2247" t="inlineStr">
        <is>
          <t>The `Versions` class provides access to the current Spring Boot version by reading from a properties file called `gradle.properties`. It uses the `java.util.Properties` class to load the properties file and then retrieves the value of the `bootVersion` property, which represents the current Spring Boot version.</t>
        </is>
      </c>
      <c r="M2247" t="n">
        <v>0.0041</v>
      </c>
      <c r="N2247" t="n">
        <v>0.0357</v>
      </c>
      <c r="O2247" t="n">
        <v>0.08550000000000001</v>
      </c>
    </row>
    <row r="2248">
      <c r="A2248" t="inlineStr">
        <is>
          <t>springboot</t>
        </is>
      </c>
      <c r="B2248" t="inlineStr">
        <is>
          <t>cli/spring-boot-cli/src/intTest/java/org/springframework/boot/cli/infrastructure/CommandLineInvoker.java</t>
        </is>
      </c>
      <c r="C2248">
        <f>HYPERLINK("https://github.com/spring-projects/spring-boot/blob/master/cli/spring-boot-cli/src/intTest/java/org/springframework/boot/cli/infrastructure/CommandLineInvoker.java")</f>
        <v/>
      </c>
      <c r="D2248" t="inlineStr">
        <is>
          <t>This Java code appears to be part of a Spring Boot CLI project, specifically the `org.springframework.boot.cli.infrastructure` package. The code defines several classes that provide various utility methods for working with files, directories, and streams.
The main class, `FileUtils`, provides methods for reading and writing text content from files, as well as copying and deleting files</t>
        </is>
      </c>
      <c r="E2248" t="n">
        <v>0.004</v>
      </c>
      <c r="F2248" t="n">
        <v>0.0597</v>
      </c>
      <c r="G2248" t="n">
        <v>0.1181</v>
      </c>
      <c r="H2248" t="inlineStr">
        <is>
          <t>This code appears to be part of a Spring Boot CLI project, which provides a command line interface for interacting with the Spring Framework. The code defines several classes and methods that are used to implement various features of the CLI, such as reading and writing files, handling user input and output, and executing commands.
The code imports several packages from the `java.io` and `java</t>
        </is>
      </c>
      <c r="I2248" t="n">
        <v>0.0033</v>
      </c>
      <c r="J2248" t="n">
        <v>0.08110000000000001</v>
      </c>
      <c r="K2248" t="n">
        <v>0.146</v>
      </c>
      <c r="L2248" t="inlineStr">
        <is>
          <t>The provided code defines a class named `SpringBootCLI` that provides a command line interface for Spring Boot applications. It includes methods for parsing arguments, reading and writing files, and executing commands. The class also includes annotations for dependency injection and logging.
The primary purpose of the class appears to be to provide a convenient way to interact with Spring Boot applications from the command line. The class</t>
        </is>
      </c>
      <c r="M2248" t="n">
        <v>0.0027</v>
      </c>
      <c r="N2248" t="n">
        <v>0.0267</v>
      </c>
      <c r="O2248" t="n">
        <v>0.036</v>
      </c>
    </row>
    <row r="2249">
      <c r="A2249" t="inlineStr">
        <is>
          <t>springboot</t>
        </is>
      </c>
      <c r="B2249" t="inlineStr">
        <is>
          <t>cli/spring-boot-cli/src/json-shade/java/org/springframework/boot/cli/json/JSONTokener.java</t>
        </is>
      </c>
      <c r="C2249">
        <f>HYPERLINK("https://github.com/spring-projects/spring-boot/blob/master/cli/spring-boot-cli/src/json-shade/java/org/springframework/boot/cli/json/JSONTokener.java")</f>
        <v/>
      </c>
      <c r="D2249" t="inlineStr">
        <is>
          <t>This code defines a Java implementation of the `JSONTokener` class from the `org.springframework.boot.cli.json` package. It provides methods for parsing a JSON-encoded string into its corresponding object representation. The main method of the class is `nextValue()`, which returns the next value in the input stream as a `JSONObject`, `JSONArray`, `Boolean`,</t>
        </is>
      </c>
      <c r="E2249" t="n">
        <v>0.0037</v>
      </c>
      <c r="F2249" t="n">
        <v>0.0645</v>
      </c>
      <c r="G2249" t="n">
        <v>0.08260000000000001</v>
      </c>
      <c r="H2249" t="inlineStr">
        <is>
          <t>This Java package `org.springframework.boot.cli.json` provides classes for parsing and working with JSON data. The main entry point is the `JSONTokener` class, which takes a JSON string as input and produces a stream of tokens that can be used to parse the JSON data. The `JSONObject` class represents a parsed JSON object, while the `JSONArray`</t>
        </is>
      </c>
      <c r="I2249" t="n">
        <v>0.004</v>
      </c>
      <c r="J2249" t="n">
        <v>0.0606</v>
      </c>
      <c r="K2249" t="n">
        <v>0.119</v>
      </c>
      <c r="L2249" t="inlineStr">
        <is>
          <t>The provided code defines a Java class called `JSONTokener` that parses a JSON-encoded string into an object. It uses the RFC 4627 standard for parsing JSON data. The class is part of the Spring Boot CLI framework and provides a simple way to parse JSON strings in Java applications.</t>
        </is>
      </c>
      <c r="M2249" t="n">
        <v>0.0037</v>
      </c>
      <c r="N2249" t="n">
        <v>0.0345</v>
      </c>
      <c r="O2249" t="n">
        <v>0.08260000000000001</v>
      </c>
    </row>
    <row r="2250">
      <c r="A2250" t="inlineStr">
        <is>
          <t>springboot</t>
        </is>
      </c>
      <c r="B2250" t="inlineStr">
        <is>
          <t>cli/spring-boot-cli/src/json-shade/java/org/springframework/boot/cli/json/JSONStringer.java</t>
        </is>
      </c>
      <c r="C2250">
        <f>HYPERLINK("https://github.com/spring-projects/spring-boot/blob/master/cli/spring-boot-cli/src/json-shade/java/org/springframework/boot/cli/json/JSONStringer.java")</f>
        <v/>
      </c>
      <c r="D2250" t="inlineStr">
        <is>
          <t>This code implements two classes, `JSONObject` and `JSONArray`, which provide a simple way to represent JSON data in Java. The `JSONObject` class provides a map-like interface for accessing JSON properties, while the `JSONArray` class provides a list-like interface for accessing JSON arrays. Both classes have a `toString()` method that returns a string representation of the JSON data</t>
        </is>
      </c>
      <c r="E2250" t="n">
        <v>0.0042</v>
      </c>
      <c r="F2250" t="n">
        <v>0.0896</v>
      </c>
      <c r="G2250" t="n">
        <v>0.1163</v>
      </c>
      <c r="H2250" t="inlineStr">
        <is>
          <t>This code implements a custom `JSON` library that provides a way to convert `JSON` objects and arrays into strings. The implementation is based on the `org.json` package from the Spring Boot CLI, but it has been modified to provide more detailed documentation and comments.
The main classes in this library are `JSONObject` and `JSONArray`, which represent JSON objects and arrays</t>
        </is>
      </c>
      <c r="I2250" t="n">
        <v>0.004</v>
      </c>
      <c r="J2250" t="n">
        <v>0.08699999999999999</v>
      </c>
      <c r="K2250" t="n">
        <v>0.1136</v>
      </c>
      <c r="L2250" t="inlineStr">
        <is>
          <t>The code defines a custom implementation of the `JSONObject` and `JSONArray` classes from the Spring Boot CLI's JSON library. It provides a more efficient alternative to the standard Java JSON libraries, which can be used to convert objects to and from JSON format. The implementation is based on the Jackson library, but has been modified to provide better performance and compatibility with other parts of the Spring</t>
        </is>
      </c>
      <c r="M2250" t="n">
        <v>0.0027</v>
      </c>
      <c r="N2250" t="n">
        <v>0.0526</v>
      </c>
      <c r="O2250" t="n">
        <v>0.1079</v>
      </c>
    </row>
    <row r="2251">
      <c r="A2251" t="inlineStr">
        <is>
          <t>springboot</t>
        </is>
      </c>
      <c r="B2251" t="inlineStr">
        <is>
          <t>cli/spring-boot-cli/src/json-shade/java/org/springframework/boot/cli/json/JSONException.java</t>
        </is>
      </c>
      <c r="C2251">
        <f>HYPERLINK("https://github.com/spring-projects/spring-boot/blob/master/cli/spring-boot-cli/src/json-shade/java/org/springframework/boot/cli/json/JSONException.java")</f>
        <v/>
      </c>
      <c r="D2251" t="inlineStr">
        <is>
          <t>This code defines a custom `JsonException` class that extends the standard Java `RuntimeException`. The class is used to represent errors that occur during the parsing or construction of JSON data using the `org.springframework.boot.cli.json` package.
The constructor takes two arguments: the first is a message describing the error, and the second is a reference to the root cause exception</t>
        </is>
      </c>
      <c r="E2251" t="n">
        <v>0.0037</v>
      </c>
      <c r="F2251" t="n">
        <v>0.0571</v>
      </c>
      <c r="G2251" t="n">
        <v>0.1154</v>
      </c>
      <c r="H2251" t="inlineStr">
        <is>
          <t>This Java package `org.springframework.boot.cli.json` contains classes related to parsing and generating JSON data using the Jackson library. The package includes a custom implementation of the `JsonNode` interface that provides additional features and optimizations compared to the standard Jackson implementation. The main class in this package is `JacksonJsonNode`, which extends the `JsonNode` interface and adds support</t>
        </is>
      </c>
      <c r="I2251" t="n">
        <v>0.004</v>
      </c>
      <c r="J2251" t="n">
        <v>0.0896</v>
      </c>
      <c r="K2251" t="n">
        <v>0.1575</v>
      </c>
      <c r="L2251" t="inlineStr">
        <is>
          <t>The provided Java code defines a custom exception type called `JsonApiException` that is used to signal issues related to the JSON API. It extends the standard `RuntimeException` class and provides additional information about the nature of the error through its constructor parameters.</t>
        </is>
      </c>
      <c r="M2251" t="n">
        <v>0.0044</v>
      </c>
      <c r="N2251" t="n">
        <v>0.04</v>
      </c>
      <c r="O2251" t="n">
        <v>0.0877</v>
      </c>
    </row>
    <row r="2252">
      <c r="A2252" t="inlineStr">
        <is>
          <t>springboot</t>
        </is>
      </c>
      <c r="B2252" t="inlineStr">
        <is>
          <t>cli/spring-boot-cli/src/json-shade/java/org/springframework/boot/cli/json/package-info.java</t>
        </is>
      </c>
      <c r="C2252">
        <f>HYPERLINK("https://github.com/spring-projects/spring-boot/blob/master/cli/spring-boot-cli/src/json-shade/java/org/springframework/boot/cli/json/package-info.java")</f>
        <v/>
      </c>
      <c r="D2252" t="inlineStr">
        <is>
          <t>This Java code appears to be part of a Spring Boot CLI JSON library. The `Json` class defines a few methods that allow for parsing and generating JSON data. It also includes some annotations from the JSpecify library, which is used to indicate nullability of certain types.
The code imports several other classes and packages, including `org.springframework.boot.cli.json`,</t>
        </is>
      </c>
      <c r="E2252" t="n">
        <v>0.0038</v>
      </c>
      <c r="F2252" t="n">
        <v>0.058</v>
      </c>
      <c r="G2252" t="n">
        <v>0.1163</v>
      </c>
      <c r="H2252" t="inlineStr">
        <is>
          <t>This code appears to be part of a Java library for working with JSON data. The `Json` class provides methods for parsing and generating JSON strings, as well as other utility functions for working with JSON data. The `@NullUnmarked` annotation indicates that the method returns null if it fails, which suggests that the method can potentially throw an exception if it encounters invalid input. The</t>
        </is>
      </c>
      <c r="I2252" t="n">
        <v>0.0033</v>
      </c>
      <c r="J2252" t="n">
        <v>0.0548</v>
      </c>
      <c r="K2252" t="n">
        <v>0.1095</v>
      </c>
      <c r="L2252" t="inlineStr">
        <is>
          <t>The provided code defines a class named `JsonParser` that parses JSON data using the Jackson library. It has a single method called `parse()` which takes a string argument representing the JSON data and returns an object representation of the data. The class also includes annotations from the Jspecify library to indicate that null values should be treated as unmarked.</t>
        </is>
      </c>
      <c r="M2252" t="n">
        <v>0.0031</v>
      </c>
      <c r="N2252" t="n">
        <v>0.0299</v>
      </c>
      <c r="O2252" t="n">
        <v>0.07630000000000001</v>
      </c>
    </row>
    <row r="2253">
      <c r="A2253" t="inlineStr">
        <is>
          <t>springboot</t>
        </is>
      </c>
      <c r="B2253" t="inlineStr">
        <is>
          <t>cli/spring-boot-cli/src/json-shade/java/org/springframework/boot/cli/json/JSONArray.java</t>
        </is>
      </c>
      <c r="C2253">
        <f>HYPERLINK("https://github.com/spring-projects/spring-boot/blob/master/cli/spring-boot-cli/src/json-shade/java/org/springframework/boot/cli/json/JSONArray.java")</f>
        <v/>
      </c>
      <c r="D2253" t="inlineStr">
        <is>
          <t>This Java code defines a custom implementation of a JSON array called `JSONArray`. It provides methods for adding, removing, and iterating over elements in the array. The code also includes comments describing the purpose and usage of each method.
The `JSONArray` class extends the `java.lang.reflect.Array` class and implements the `java.util.List` interface.</t>
        </is>
      </c>
      <c r="E2253" t="n">
        <v>0.0047</v>
      </c>
      <c r="F2253" t="n">
        <v>0.09379999999999999</v>
      </c>
      <c r="G2253" t="n">
        <v>0.122</v>
      </c>
      <c r="H2253" t="inlineStr">
        <is>
          <t>The code defines a custom implementation of a JSON array that can store heterogeneous data types such as strings, integers, booleans, objects, and arrays. It provides methods for adding, removing, and iterating over elements in the array. The code also includes comments describing the purpose of each method and the complexity of the algorithm used to implement them. Additionally, it includes a license header indicating</t>
        </is>
      </c>
      <c r="I2253" t="n">
        <v>0.0028</v>
      </c>
      <c r="J2253" t="n">
        <v>0.0548</v>
      </c>
      <c r="K2253" t="n">
        <v>0.1095</v>
      </c>
      <c r="L2253" t="inlineStr">
        <is>
          <t>The code defines a custom implementation of a JSON array that allows for efficient storage and manipulation of large datasets. It uses reflection to create arrays dynamically based on the type of data being stored, and provides methods for adding, removing, and iterating over elements. The code also includes comments explaining the purpose and usage of each method.</t>
        </is>
      </c>
      <c r="M2253" t="n">
        <v>0.0031</v>
      </c>
      <c r="N2253" t="n">
        <v>0.0606</v>
      </c>
      <c r="O2253" t="n">
        <v>0.1154</v>
      </c>
    </row>
    <row r="2254">
      <c r="A2254" t="inlineStr">
        <is>
          <t>springboot</t>
        </is>
      </c>
      <c r="B2254" t="inlineStr">
        <is>
          <t>cli/spring-boot-cli/src/json-shade/java/org/springframework/boot/cli/json/JSONObject.java</t>
        </is>
      </c>
      <c r="C2254">
        <f>HYPERLINK("https://github.com/spring-projects/spring-boot/blob/master/cli/spring-boot-cli/src/json-shade/java/org/springframework/boot/cli/json/JSONObject.java")</f>
        <v/>
      </c>
      <c r="D2254" t="inlineStr">
        <is>
          <t>This code defines a `JsonObject` class that represents a JSON object, which is a collection of key-value pairs where each key is a string and each value can be a number, boolean, string, array, or another JSON object. The class provides methods for adding new entries, removing existing ones, and iterating over its contents. It also implements the `Iterable` interface so</t>
        </is>
      </c>
      <c r="E2254" t="n">
        <v>0.0039</v>
      </c>
      <c r="F2254" t="n">
        <v>0.0571</v>
      </c>
      <c r="G2254" t="n">
        <v>0.1128</v>
      </c>
      <c r="H2254" t="inlineStr">
        <is>
          <t>This Java class implements a modifiable set of name/value mappings called `JsonObject`. It uses a `LinkedHashMap` as its underlying data structure to store key-value pairs. The class has several methods that allow users to manipulate the contents of the map, such as adding new entries, removing existing ones, and iterating over the keys and values. Additionally, it includes comments</t>
        </is>
      </c>
      <c r="I2254" t="n">
        <v>0.0041</v>
      </c>
      <c r="J2254" t="n">
        <v>0.08699999999999999</v>
      </c>
      <c r="K2254" t="n">
        <v>0.1527</v>
      </c>
      <c r="L2254" t="inlineStr">
        <is>
          <t>The `JsonObject` class provides a modifiable collection of name/value pairs, where each pair consists of a string key and a value that can be any type of object. The class supports adding, removing, and updating values based on their keys. It also provides methods for iterating over the entries in the map.</t>
        </is>
      </c>
      <c r="M2254" t="n">
        <v>0.0035</v>
      </c>
      <c r="N2254" t="n">
        <v>0.0328</v>
      </c>
      <c r="O2254" t="n">
        <v>0.0403</v>
      </c>
    </row>
    <row r="2255">
      <c r="A2255" t="inlineStr">
        <is>
          <t>springboot</t>
        </is>
      </c>
      <c r="B2255" t="inlineStr">
        <is>
          <t>cli/spring-boot-cli/src/json-shade/java/org/springframework/boot/cli/json/JSON.java</t>
        </is>
      </c>
      <c r="C2255">
        <f>HYPERLINK("https://github.com/spring-projects/spring-boot/blob/master/cli/spring-boot-cli/src/json-shade/java/org/springframework/boot/cli/json/JSON.java")</f>
        <v/>
      </c>
      <c r="D2255" t="inlineStr">
        <is>
          <t>The `JSON` class provides methods for parsing and generating JSON data. It includes two static methods:
* `checkDouble`: checks if a given double value is infinite or NaN, and throws a `JSONException` if it is.
* `toBoolean`: converts an object to a boolean value. If the object is already a boolean, it returns the same boolean value. Otherwise</t>
        </is>
      </c>
      <c r="E2255" t="n">
        <v>0.0031</v>
      </c>
      <c r="F2255" t="n">
        <v>0.0312</v>
      </c>
      <c r="G2255" t="n">
        <v>0.0385</v>
      </c>
      <c r="H2255" t="inlineStr">
        <is>
          <t>This code defines a class called `JSON` that provides methods for working with JSON data. The class has several static methods that perform various operations on JSON data, such as parsing JSON strings into objects, converting objects to JSON strings, and checking whether certain values are valid JSON types. The code also includes some utility functions for handling errors and exceptions related to JSON processing. Overall, this code appears</t>
        </is>
      </c>
      <c r="I2255" t="n">
        <v>0.0031</v>
      </c>
      <c r="J2255" t="n">
        <v>0.0779</v>
      </c>
      <c r="K2255" t="n">
        <v>0.1064</v>
      </c>
      <c r="L2255" t="inlineStr">
        <is>
          <t>The `JSON` class provides methods for working with JSON data. It includes a static method called `checkDouble()` that checks if a given double value is infinite or NaN, and throws an exception if so. Additionally, there is a static method called `toBoolean()` that converts an object to a boolean value.</t>
        </is>
      </c>
      <c r="M2255" t="n">
        <v>0.0037</v>
      </c>
      <c r="N2255" t="n">
        <v>0.0345</v>
      </c>
      <c r="O2255" t="n">
        <v>0.082</v>
      </c>
    </row>
    <row r="2256">
      <c r="A2256" t="inlineStr">
        <is>
          <t>springboot</t>
        </is>
      </c>
      <c r="B2256" t="inlineStr">
        <is>
          <t>cli/spring-boot-cli/src/main/java/org/springframework/boot/cli/DefaultCommandFactory.java</t>
        </is>
      </c>
      <c r="C2256">
        <f>HYPERLINK("https://github.com/spring-projects/spring-boot/blob/master/cli/spring-boot-cli/src/main/java/org/springframework/boot/cli/DefaultCommandFactory.java")</f>
        <v/>
      </c>
      <c r="D2256" t="inlineStr">
        <is>
          <t>The code defines a `CommandFactory` class that creates instances of `Command` objects based on their names. It also provides a default implementation of the `VersionCommand`.
The `CommandFactory` constructor takes a list of `Command` implementations as input and stores them in a map keyed by command name. The `createCommand()` method returns a new instance of the command object corresponding</t>
        </is>
      </c>
      <c r="E2256" t="n">
        <v>0.0031</v>
      </c>
      <c r="F2256" t="n">
        <v>0.0606</v>
      </c>
      <c r="G2256" t="n">
        <v>0.1154</v>
      </c>
      <c r="H2256" t="inlineStr">
        <is>
          <t>This code defines a Java package named `org.springframework.boot.cli` that provides a collection of classes used as part of the Spring Boot Command Line Interface (CLI). The package includes several classes that implement various commands, such as the `VersionCommand`, which prints the version number of the CLI. Additionally, there is a class called `CommandFactory` that creates instances of command objects based</t>
        </is>
      </c>
      <c r="I2256" t="n">
        <v>0.003</v>
      </c>
      <c r="J2256" t="n">
        <v>0.0563</v>
      </c>
      <c r="K2256" t="n">
        <v>0.1136</v>
      </c>
      <c r="L2256" t="inlineStr">
        <is>
          <t>The provided Java code defines a class named `SpringBootCli` that extends the `CommandLineRunner` interface from Spring Boot CLI. It has several methods, including `run`, `getCommands`, and `main`.
The `run` method takes an array of strings as input and returns nothing. It initializes a collection of commands using the `CommandFactory` class and</t>
        </is>
      </c>
      <c r="M2256" t="n">
        <v>0.0036</v>
      </c>
      <c r="N2256" t="n">
        <v>0.0339</v>
      </c>
      <c r="O2256" t="n">
        <v>0.0813</v>
      </c>
    </row>
    <row r="2257">
      <c r="A2257" t="inlineStr">
        <is>
          <t>springboot</t>
        </is>
      </c>
      <c r="B2257" t="inlineStr">
        <is>
          <t>cli/spring-boot-cli/src/main/java/org/springframework/boot/cli/package-info.java</t>
        </is>
      </c>
      <c r="C2257">
        <f>HYPERLINK("https://github.com/spring-projects/spring-boot/blob/master/cli/spring-boot-cli/src/main/java/org/springframework/boot/cli/package-info.java")</f>
        <v/>
      </c>
      <c r="D2257" t="inlineStr">
        <is>
          <t>The provided code defines a Java class named `Main` that serves as the main entry point of the Spring Boot Command Line Interface (CLI). The class is annotated with `@NullMarked`, which indicates that it uses nullable references. It imports two packages: `org.jspecify.annotations` and `org.springframework.boot.cli`.
The class has one</t>
        </is>
      </c>
      <c r="E2257" t="n">
        <v>0.0038</v>
      </c>
      <c r="F2257" t="n">
        <v>0.0328</v>
      </c>
      <c r="G2257" t="n">
        <v>0.0833</v>
      </c>
      <c r="H2257" t="inlineStr">
        <is>
          <t>This Java package `org.springframework.boot.cli` contains the main entry point of the Spring Boot Command Line Interface (CLI). The package is annotated with `@NullMarked`, indicating that it uses nullable references. It also includes documentation comments explaining its purpose and licensing information. The package's complexity is O(N), where N is the number of files in the</t>
        </is>
      </c>
      <c r="I2257" t="n">
        <v>0.004</v>
      </c>
      <c r="J2257" t="n">
        <v>0.0597</v>
      </c>
      <c r="K2257" t="n">
        <v>0.119</v>
      </c>
      <c r="L2257" t="inlineStr">
        <is>
          <t>The provided code is part of a Spring Boot CLI application, which serves as the main entry point for the application. It is annotated with various annotations, including `@NullMarked` from the JSpecify library, indicating that certain types are nullable. The code imports several classes, including `org.springframework.boot.cli.SpringApplication`, which is used to bootstrap the application.</t>
        </is>
      </c>
      <c r="M2257" t="n">
        <v>0</v>
      </c>
      <c r="N2257" t="n">
        <v>0</v>
      </c>
      <c r="O2257" t="n">
        <v>0.04</v>
      </c>
    </row>
    <row r="2258">
      <c r="A2258" t="inlineStr">
        <is>
          <t>springboot</t>
        </is>
      </c>
      <c r="B2258" t="inlineStr">
        <is>
          <t>cli/spring-boot-cli/src/main/java/org/springframework/boot/cli/SpringCli.java</t>
        </is>
      </c>
      <c r="C2258">
        <f>HYPERLINK("https://github.com/spring-projects/spring-boot/blob/master/cli/spring-boot-cli/src/main/java/org/springframework/boot/cli/SpringCli.java")</f>
        <v/>
      </c>
      <c r="D2258" t="inlineStr">
        <is>
          <t>This Java code appears to be part of a Spring Boot CLI application. It defines several classes related to command line interfaces, including `CommandFactory`, which creates instances of commands based on their names, and `CommandRunner`, which runs those commands. The code also includes a class called `SpringBootCliApplication` that sets up the command runner and starts it when the application is run. Additionally</t>
        </is>
      </c>
      <c r="E2258" t="n">
        <v>0.0035</v>
      </c>
      <c r="F2258" t="n">
        <v>0.0571</v>
      </c>
      <c r="G2258" t="n">
        <v>0.1119</v>
      </c>
      <c r="H2258" t="inlineStr">
        <is>
          <t>The provided code defines a Java package named `org.springframework.boot.cli` that contains classes related to a command line interface (CLI). It uses the `java.lang.ServiceLoader` class to load implementations of a `CommandFactory` interface, which is used to create instances of commands. The `CommandRunner` class is also defined in this package, which takes a list of</t>
        </is>
      </c>
      <c r="I2258" t="n">
        <v>0</v>
      </c>
      <c r="J2258" t="n">
        <v>0.0303</v>
      </c>
      <c r="K2258" t="n">
        <v>0.12</v>
      </c>
      <c r="L2258" t="inlineStr">
        <is>
          <t>The provided Java code defines a `SpringBootCLI` class that serves as the entry point for running Spring Boot applications from the command line. It uses the `ServiceLoader` mechanism to load available implementations of the `CommandFactory` interface, which creates instances of commands based on user input. The `CommandRunner` class then executes these commands using the `execute()` method. The code also includes</t>
        </is>
      </c>
      <c r="M2258" t="n">
        <v>0</v>
      </c>
      <c r="N2258" t="n">
        <v>0.0294</v>
      </c>
      <c r="O2258" t="n">
        <v>0.07580000000000001</v>
      </c>
    </row>
    <row r="2259">
      <c r="A2259" t="inlineStr">
        <is>
          <t>springboot</t>
        </is>
      </c>
      <c r="B2259" t="inlineStr">
        <is>
          <t>cli/spring-boot-cli/src/main/java/org/springframework/boot/cli/command/CommandFactory.java</t>
        </is>
      </c>
      <c r="C2259">
        <f>HYPERLINK("https://github.com/spring-projects/spring-boot/blob/master/cli/spring-boot-cli/src/main/java/org/springframework/boot/cli/command/CommandFactory.java")</f>
        <v/>
      </c>
      <c r="D2259" t="inlineStr">
        <is>
          <t>The `CommandFactory` class provides a way to create instances of `Command` objects using a Java `ServiceLoader`. It defines a single method, `getCommands()`, which returns a collection of all available commands. This allows other parts of the application to easily discover and instantiate command classes without having to know about their concrete implementations.</t>
        </is>
      </c>
      <c r="E2259" t="n">
        <v>0.0042</v>
      </c>
      <c r="F2259" t="n">
        <v>0.0667</v>
      </c>
      <c r="G2259" t="n">
        <v>0.121</v>
      </c>
      <c r="H2259" t="inlineStr">
        <is>
          <t>This code defines a `CommandFactory` interface that provides a method for creating instances of `Command`. The interface is annotated with `@FunctionalInterface`, which means it can be implemented as a lambda expression or method reference. It also includes a Javadoc comment block describing its purpose and the expected behavior of the implementation.
The `CommandFactory` interface is intended to be used</t>
        </is>
      </c>
      <c r="I2259" t="n">
        <v>0.0037</v>
      </c>
      <c r="J2259" t="n">
        <v>0.0896</v>
      </c>
      <c r="K2259" t="n">
        <v>0.1527</v>
      </c>
      <c r="L2259" t="inlineStr">
        <is>
          <t>The `CommandFactory` class is a functional interface that provides a way to create instances of `Command`. It is intended to be used with the Java `ServiceLoader` mechanism.
The `CommandFactory` interface has one method, `createCommands()`, which returns a collection of `Command` objects. Each `Command` object represents a single command that can be executed from the Spring</t>
        </is>
      </c>
      <c r="M2259" t="n">
        <v>0</v>
      </c>
      <c r="N2259" t="n">
        <v>0.0317</v>
      </c>
      <c r="O2259" t="n">
        <v>0.0394</v>
      </c>
    </row>
    <row r="2260">
      <c r="A2260" t="inlineStr">
        <is>
          <t>springboot</t>
        </is>
      </c>
      <c r="B2260" t="inlineStr">
        <is>
          <t>cli/spring-boot-cli/src/main/java/org/springframework/boot/cli/command/package-info.java</t>
        </is>
      </c>
      <c r="C2260">
        <f>HYPERLINK("https://github.com/spring-projects/spring-boot/blob/master/cli/spring-boot-cli/src/main/java/org/springframework/boot/cli/command/package-info.java")</f>
        <v/>
      </c>
      <c r="D2260" t="inlineStr">
        <is>
          <t>The code defines a package called `org.springframework.boot.cli.command` that provides command infrastructure for a command line interface (CLI). It uses the `@NullMarked` annotation from JSpecify to indicate that certain methods can return null values.
The package includes several classes, including `Command`, which represents a single command, and `CommandFactory`, which creates instances</t>
        </is>
      </c>
      <c r="E2260" t="n">
        <v>0.0037</v>
      </c>
      <c r="F2260" t="n">
        <v>0.0323</v>
      </c>
      <c r="G2260" t="n">
        <v>0.082</v>
      </c>
      <c r="H2260" t="inlineStr">
        <is>
          <t>The code defines a package called `org.springframework.boot.cli.command` that contains classes related to command infrastructure for the Spring Boot Command Line Interface (CLI). The package is annotated with `@NullMarked`, indicating that it uses nullable references. It also includes Javadoc comments describing the purpose of each class and method.
The main class in this package</t>
        </is>
      </c>
      <c r="I2260" t="n">
        <v>0.0035</v>
      </c>
      <c r="J2260" t="n">
        <v>0.0308</v>
      </c>
      <c r="K2260" t="n">
        <v>0.12</v>
      </c>
      <c r="L2260" t="inlineStr">
        <is>
          <t>The provided code defines a command infrastructure for a Spring Boot CLI application. It includes several classes and interfaces related to command handling, including `Command`, `Option`, and `Argument`. These classes provide a way to define and execute commands, as well as handle options and arguments passed to them. Additionally, the package also includes annotations used for null safety checks.</t>
        </is>
      </c>
      <c r="M2260" t="n">
        <v>0.0031</v>
      </c>
      <c r="N2260" t="n">
        <v>0.0299</v>
      </c>
      <c r="O2260" t="n">
        <v>0.07630000000000001</v>
      </c>
    </row>
    <row r="2261">
      <c r="A2261" t="inlineStr">
        <is>
          <t>springboot</t>
        </is>
      </c>
      <c r="B2261" t="inlineStr">
        <is>
          <t>cli/spring-boot-cli/src/main/java/org/springframework/boot/cli/command/CommandRunner.java</t>
        </is>
      </c>
      <c r="C2261">
        <f>HYPERLINK("https://github.com/spring-projects/spring-boot/blob/master/cli/spring-boot-cli/src/main/java/org/springframework/boot/cli/command/CommandRunner.java")</f>
        <v/>
      </c>
      <c r="D2261" t="inlineStr">
        <is>
          <t>This Java package `org.springframework.boot.cli.command` appears to contain classes related to implementing command line interfaces (CLIs). The package includes several classes that define commands, their options, and how they interact with each other. It also includes a class called `CommandRunner` which runs the actual commands based on user input. Additionally, there are some utility classes such as `String</t>
        </is>
      </c>
      <c r="E2261" t="n">
        <v>0.0038</v>
      </c>
      <c r="F2261" t="n">
        <v>0.08699999999999999</v>
      </c>
      <c r="G2261" t="n">
        <v>0.155</v>
      </c>
      <c r="H2261" t="inlineStr">
        <is>
          <t>This code appears to be part of a Java project that provides a set of classes and methods related to command line interfaces (CLIs). The `Command` class represents a CLI command, which can have arguments and options. The `Argument` class represents a single argument passed to a command, while the `Option` class represents a named option that can be specified when running a command. The `</t>
        </is>
      </c>
      <c r="I2261" t="n">
        <v>0.0033</v>
      </c>
      <c r="J2261" t="n">
        <v>0.0548</v>
      </c>
      <c r="K2261" t="n">
        <v>0.1087</v>
      </c>
      <c r="L2261" t="inlineStr">
        <is>
          <t>The provided code defines a class named `Command` that represents a command line interface (CLI) command. It has several methods for executing the command, including `execute`, which takes an array of strings as input and returns an exit status indicating whether the command was successful or not. The class also includes several other methods for handling options and arguments, such as `parseOptions` and `getArguments</t>
        </is>
      </c>
      <c r="M2261" t="n">
        <v>0.0028</v>
      </c>
      <c r="N2261" t="n">
        <v>0.0278</v>
      </c>
      <c r="O2261" t="n">
        <v>0.0368</v>
      </c>
    </row>
    <row r="2262">
      <c r="A2262" t="inlineStr">
        <is>
          <t>springboot</t>
        </is>
      </c>
      <c r="B2262" t="inlineStr">
        <is>
          <t>cli/spring-boot-cli/src/main/java/org/springframework/boot/cli/command/CommandException.java</t>
        </is>
      </c>
      <c r="C2262">
        <f>HYPERLINK("https://github.com/spring-projects/spring-boot/blob/master/cli/spring-boot-cli/src/main/java/org/springframework/boot/cli/command/CommandException.java")</f>
        <v/>
      </c>
      <c r="D2262" t="inlineStr">
        <is>
          <t>The `CommandException` class is a runtime exception wrapper that provides additional options that are recognized by the `CommandRunner`. It extends the standard Java `RuntimeException` class and adds a set of predefined options that can be used to customize the behavior of the command runner. These options include things like `--help`, `--version`, and `--debug`, which provide information about the available commands and</t>
        </is>
      </c>
      <c r="E2262" t="n">
        <v>0.003</v>
      </c>
      <c r="F2262" t="n">
        <v>0.029</v>
      </c>
      <c r="G2262" t="n">
        <v>0.0752</v>
      </c>
      <c r="H2262" t="inlineStr">
        <is>
          <t>This Java class `CommandException` extends the `RuntimeException` class and provides additional options that are understood by the `CommandRunner`. The class has the following features:
* It imports several packages including `java.util`, `javax.annotation`, and `org.springframework.boot.cli.command`.
* It declares a nested enum called `Option` that represents additional</t>
        </is>
      </c>
      <c r="I2262" t="n">
        <v>0.0049</v>
      </c>
      <c r="J2262" t="n">
        <v>0.0702</v>
      </c>
      <c r="K2262" t="n">
        <v>0.08550000000000001</v>
      </c>
      <c r="L2262" t="inlineStr">
        <is>
          <t>The code defines a custom runtime exception class called `CommandException` that extends the standard Java `RuntimeException`. It also includes two new fields: `options` and `optionValues`, which are used to store additional options and their values that are recognized by the `CommandRunner`.
The constructor takes three arguments: `message`, `cause`, and `options`. The `options`</t>
        </is>
      </c>
      <c r="M2262" t="n">
        <v>0.0035</v>
      </c>
      <c r="N2262" t="n">
        <v>0.0333</v>
      </c>
      <c r="O2262" t="n">
        <v>0.0806</v>
      </c>
    </row>
    <row r="2263">
      <c r="A2263" t="inlineStr">
        <is>
          <t>springboot</t>
        </is>
      </c>
      <c r="B2263" t="inlineStr">
        <is>
          <t>cli/spring-boot-cli/src/main/java/org/springframework/boot/cli/command/OptionParsingCommand.java</t>
        </is>
      </c>
      <c r="C2263">
        <f>HYPERLINK("https://github.com/spring-projects/spring-boot/blob/master/cli/spring-boot-cli/src/main/java/org/springframework/boot/cli/command/OptionParsingCommand.java")</f>
        <v/>
      </c>
      <c r="D2263" t="inlineStr">
        <is>
          <t>This code defines a base class for a Spring Boot CLI command that uses an `OptionHandler` to parse options. The command can be executed with various options, which are defined in the `OptionHandler`. The `execute()` method is responsible for executing the command logic, while the `parseOptions()` method parses the options passed to the command. The `getUsageMessage()` method returns</t>
        </is>
      </c>
      <c r="E2263" t="n">
        <v>0.0031</v>
      </c>
      <c r="F2263" t="n">
        <v>0.0606</v>
      </c>
      <c r="G2263" t="n">
        <v>0.0769</v>
      </c>
      <c r="H2263" t="inlineStr">
        <is>
          <t>This Java code defines a base class called `AbstractOptionCommand` that provides a common implementation for commands that need to parse options using an `OptionHandler`. The class has several methods that define how options can be parsed, such as `parseOptions()` and `handleOptions()`. It also includes some utility methods for working with collections and exit statuses. Overall, this class appears to provide a</t>
        </is>
      </c>
      <c r="I2263" t="n">
        <v>0.0036</v>
      </c>
      <c r="J2263" t="n">
        <v>0.08699999999999999</v>
      </c>
      <c r="K2263" t="n">
        <v>0.1504</v>
      </c>
      <c r="L2263" t="inlineStr">
        <is>
          <t>The code defines a base class called `Command` that provides a way to handle command line arguments. It uses an `OptionHandler` object to parse options and extract their values. The `Command` class also has a method called `run()` that is responsible for executing the actual command. Additionally, there is a nested class called `OptionHelp` that provides help messages for each option.</t>
        </is>
      </c>
      <c r="M2263" t="n">
        <v>0.003</v>
      </c>
      <c r="N2263" t="n">
        <v>0.029</v>
      </c>
      <c r="O2263" t="n">
        <v>0.0752</v>
      </c>
    </row>
    <row r="2264">
      <c r="A2264" t="inlineStr">
        <is>
          <t>springboot</t>
        </is>
      </c>
      <c r="B2264" t="inlineStr">
        <is>
          <t>cli/spring-boot-cli/src/main/java/org/springframework/boot/cli/command/Command.java</t>
        </is>
      </c>
      <c r="C2264">
        <f>HYPERLINK("https://github.com/spring-projects/spring-boot/blob/master/cli/spring-boot-cli/src/main/java/org/springframework/boot/cli/command/Command.java")</f>
        <v/>
      </c>
      <c r="D2264" t="inlineStr">
        <is>
          <t>The code defines a `Command` interface that represents a single command that can be executed from the Spring Boot Command Line Interface (CLI). It provides methods for executing the command, displaying help information about the command, and returning an exit status indicating whether the command was successful or not.
The `Command` interface has two main implementations: `SimpleCommand` and `GroupedCommand`. `</t>
        </is>
      </c>
      <c r="E2264" t="n">
        <v>0.003</v>
      </c>
      <c r="F2264" t="n">
        <v>0.0597</v>
      </c>
      <c r="G2264" t="n">
        <v>0.0379</v>
      </c>
      <c r="H2264" t="inlineStr">
        <is>
          <t>This code defines a class called `Command` which represents a single command that can be executed from the Spring Boot Command Line Interface (CLI). The class has several methods that provide information about the command, such as its name, description, options, and exit status. It also provides a method for executing the command itself. Additionally, it includes annotations for nullability checking using JSpecify.</t>
        </is>
      </c>
      <c r="I2264" t="n">
        <v>0.0034</v>
      </c>
      <c r="J2264" t="n">
        <v>0.0563</v>
      </c>
      <c r="K2264" t="n">
        <v>0.1111</v>
      </c>
      <c r="L2264" t="inlineStr">
        <is>
          <t>The code defines a class called `Command` which represents a single command that can be executed from the Spring Boot Command Line Interface (CLI). It has several methods that allow the command to be invoked, displayed help information, and determine whether it should exit the application after execution. The class also includes several annotations such as `@Nullable`, `@JsSpecify`, and `@SpringBootCliCommand</t>
        </is>
      </c>
      <c r="M2264" t="n">
        <v>0.003</v>
      </c>
      <c r="N2264" t="n">
        <v>0.0294</v>
      </c>
      <c r="O2264" t="n">
        <v>0.0379</v>
      </c>
    </row>
    <row r="2265">
      <c r="A2265" t="inlineStr">
        <is>
          <t>springboot</t>
        </is>
      </c>
      <c r="B2265" t="inlineStr">
        <is>
          <t>cli/spring-boot-cli/src/main/java/org/springframework/boot/cli/command/NoHelpCommandArgumentsException.java</t>
        </is>
      </c>
      <c r="C2265">
        <f>HYPERLINK("https://github.com/spring-projects/spring-boot/blob/master/cli/spring-boot-cli/src/main/java/org/springframework/boot/cli/command/NoHelpCommandArgumentsException.java")</f>
        <v/>
      </c>
      <c r="D2265" t="inlineStr">
        <is>
          <t>The `NoHelpCommandArgumentsException` exception is thrown when the `help` command is called without any additional arguments. It is a subclass of `CommandException`.
The constructor takes two optional parameters: `showUsage` and `hi`. If `showUsage` is true, it will display usage information about the CLI tool. If `hi` is true, it will display a</t>
        </is>
      </c>
      <c r="E2265" t="n">
        <v>0.0036</v>
      </c>
      <c r="F2265" t="n">
        <v>0.0339</v>
      </c>
      <c r="G2265" t="n">
        <v>0.0407</v>
      </c>
      <c r="H2265" t="inlineStr">
        <is>
          <t>The code defines a custom exception named `NoHelpCommandArgumentsException` that is thrown when the user invokes the `help` command without providing any additional arguments. The exception inherits from `CommandException`, which suggests that it is related to the Spring Boot CLI's command framework.
The exception has a single constructor that takes no arguments. It also has a private static field named</t>
        </is>
      </c>
      <c r="I2265" t="n">
        <v>0</v>
      </c>
      <c r="J2265" t="n">
        <v>0</v>
      </c>
      <c r="K2265" t="n">
        <v>0</v>
      </c>
      <c r="L2265" t="inlineStr">
        <is>
          <t>The provided code defines a custom exception class named `NoHelpCommandArgumentsException` that is thrown when the user invokes the `help` command without providing any additional arguments. The class inherits from `CommandException` and overrides the `getMessage()` method to return a message indicating that no usage information was found.</t>
        </is>
      </c>
      <c r="M2265" t="n">
        <v>0.004</v>
      </c>
      <c r="N2265" t="n">
        <v>0.037</v>
      </c>
      <c r="O2265" t="n">
        <v>0.0424</v>
      </c>
    </row>
    <row r="2266">
      <c r="A2266" t="inlineStr">
        <is>
          <t>springboot</t>
        </is>
      </c>
      <c r="B2266" t="inlineStr">
        <is>
          <t>cli/spring-boot-cli/src/main/java/org/springframework/boot/cli/command/NoArgumentsException.java</t>
        </is>
      </c>
      <c r="C2266">
        <f>HYPERLINK("https://github.com/spring-projects/spring-boot/blob/master/cli/spring-boot-cli/src/main/java/org/springframework/boot/cli/command/NoArgumentsException.java")</f>
        <v/>
      </c>
      <c r="D2266" t="inlineStr">
        <is>
          <t>The code defines a class named `NoArgumentsException` that inherits from `CommandException`. It is a custom exception used to indicate that no arguments were specified when executing a command. The class has a single constructor and does not define any instance variables.</t>
        </is>
      </c>
      <c r="E2266" t="n">
        <v>0.0045</v>
      </c>
      <c r="F2266" t="n">
        <v>0.0408</v>
      </c>
      <c r="G2266" t="n">
        <v>0.0885</v>
      </c>
      <c r="H2266" t="inlineStr">
        <is>
          <t>This code defines a class called `NoArgumentsException` which is a subclass of `CommandException`. It is used to indicate that no arguments were specified when running a command. The class has a single constructor and does not have any instance variables. It also includes some documentation comments about the purpose of the class and its usage.</t>
        </is>
      </c>
      <c r="I2266" t="n">
        <v>0.004</v>
      </c>
      <c r="J2266" t="n">
        <v>0.0635</v>
      </c>
      <c r="K2266" t="n">
        <v>0.1181</v>
      </c>
      <c r="L2266" t="inlineStr">
        <is>
          <t>The code defines a custom exception class named `NoArgumentsException` that inherits from `CommandException`. It is designed to be thrown when no command line arguments are passed to a Spring Boot CLI application. The class provides a simple message indicating that no arguments were found.</t>
        </is>
      </c>
      <c r="M2266" t="n">
        <v>0</v>
      </c>
      <c r="N2266" t="n">
        <v>0</v>
      </c>
      <c r="O2266" t="n">
        <v>0</v>
      </c>
    </row>
    <row r="2267">
      <c r="A2267" t="inlineStr">
        <is>
          <t>springboot</t>
        </is>
      </c>
      <c r="B2267" t="inlineStr">
        <is>
          <t>cli/spring-boot-cli/src/main/java/org/springframework/boot/cli/command/NoSuchCommandException.java</t>
        </is>
      </c>
      <c r="C2267">
        <f>HYPERLINK("https://github.com/spring-projects/spring-boot/blob/master/cli/spring-boot-cli/src/main/java/org/springframework/boot/cli/command/NoSuchCommandException.java")</f>
        <v/>
      </c>
      <c r="D2267" t="inlineStr">
        <is>
          <t>The provided code defines a `NoSuchCommandException` class that represents an exception thrown when a command is not found. It inherits from `CommandException`. The constructor takes a single string argument representing the missing command name. The class has no additional methods or fields beyond what is defined in its superclass.</t>
        </is>
      </c>
      <c r="E2267" t="n">
        <v>0</v>
      </c>
      <c r="F2267" t="n">
        <v>0</v>
      </c>
      <c r="G2267" t="n">
        <v>0</v>
      </c>
      <c r="H2267" t="inlineStr">
        <is>
          <t>This code defines a custom exception called `NoSuchCommandException` that is thrown when a command is not recognized by the Spring Boot CLI. The exception has a single constructor that takes a string argument representing the invalid command name. It also includes some additional metadata such as the license information and the package name.</t>
        </is>
      </c>
      <c r="I2267" t="n">
        <v>0.0041</v>
      </c>
      <c r="J2267" t="n">
        <v>0.06560000000000001</v>
      </c>
      <c r="K2267" t="n">
        <v>0.08</v>
      </c>
      <c r="L2267" t="inlineStr">
        <is>
          <t>The code defines a custom exception called `NoSuchCommandException` that is thrown when a given command cannot be found. It inherits from `CommandException`, which is a generic exception type for all CLI commands. The constructor takes a single string argument representing the invalid command name, and formats it into a message using `String.format()`.</t>
        </is>
      </c>
      <c r="M2267" t="n">
        <v>0.0035</v>
      </c>
      <c r="N2267" t="n">
        <v>0.0328</v>
      </c>
      <c r="O2267" t="n">
        <v>0.0806</v>
      </c>
    </row>
    <row r="2268">
      <c r="A2268" t="inlineStr">
        <is>
          <t>springboot</t>
        </is>
      </c>
      <c r="B2268" t="inlineStr">
        <is>
          <t>cli/spring-boot-cli/src/main/java/org/springframework/boot/cli/command/HelpExample.java</t>
        </is>
      </c>
      <c r="C2268">
        <f>HYPERLINK("https://github.com/spring-projects/spring-boot/blob/master/cli/spring-boot-cli/src/main/java/org/springframework/boot/cli/command/HelpExample.java")</f>
        <v/>
      </c>
      <c r="D2268" t="inlineStr">
        <is>
          <t>The `HelpExample` class provides an example of how to use the Spring Boot CLI command line tool. It has two fields:
* `description`: A short description of what the example demonstrates, such as "to create a new project".
* `example`: The actual example code that demonstrates the feature being described by the `description`.</t>
        </is>
      </c>
      <c r="E2268" t="n">
        <v>0</v>
      </c>
      <c r="F2268" t="n">
        <v>0</v>
      </c>
      <c r="G2268" t="n">
        <v>0.04</v>
      </c>
      <c r="H2268" t="inlineStr">
        <is>
          <t>The provided code defines a Java class named `HelpExample` that represents an example that can be displayed in the help section of a command line interface (CLI). It has three fields:
* `description`: A string describing what the example does (e.g., "to ...").
* `example`: A string containing the actual example code.
* `complexity`: A</t>
        </is>
      </c>
      <c r="I2268" t="n">
        <v>0</v>
      </c>
      <c r="J2268" t="n">
        <v>0</v>
      </c>
      <c r="K2268" t="n">
        <v>0</v>
      </c>
      <c r="L2268" t="inlineStr">
        <is>
          <t>The provided code defines a Java class named `HelpExample` that represents an example that can be displayed in the help section of a Spring Boot application. It has two fields: `description`, which is a string describing the example's purpose, and `example`, which is a string containing the actual example code.</t>
        </is>
      </c>
      <c r="M2268" t="n">
        <v>0.0037</v>
      </c>
      <c r="N2268" t="n">
        <v>0.0339</v>
      </c>
      <c r="O2268" t="n">
        <v>0.041</v>
      </c>
    </row>
    <row r="2269">
      <c r="A2269" t="inlineStr">
        <is>
          <t>springboot</t>
        </is>
      </c>
      <c r="B2269" t="inlineStr">
        <is>
          <t>cli/spring-boot-cli/src/main/java/org/springframework/boot/cli/command/AbstractCommand.java</t>
        </is>
      </c>
      <c r="C2269">
        <f>HYPERLINK("https://github.com/spring-projects/spring-boot/blob/master/cli/spring-boot-cli/src/main/java/org/springframework/boot/cli/command/AbstractCommand.java")</f>
        <v/>
      </c>
      <c r="D2269" t="inlineStr">
        <is>
          <t>This is an abstract implementation of a command in Spring Boot CLI. It provides some basic functionality that can be used as a starting point for more complex commands. The main features include:
* A `run` method that takes a collection of options and runs the command using those options.
* An `optionHelp` field that provides help information about the available options.
* A constructor</t>
        </is>
      </c>
      <c r="E2269" t="n">
        <v>0.0037</v>
      </c>
      <c r="F2269" t="n">
        <v>0.1143</v>
      </c>
      <c r="G2269" t="n">
        <v>0.146</v>
      </c>
      <c r="H2269" t="inlineStr">
        <is>
          <t>The code defines an abstract `AbstractCommand` class that provides a foundation for implementing command-line interface (CLI) commands. It includes several methods that can be overridden by subclasses to customize the behavior of the command.
The class has the following members:
* A constructor that takes no arguments and sets up some basic properties.
* An `execute()` method that</t>
        </is>
      </c>
      <c r="I2269" t="n">
        <v>0.0031</v>
      </c>
      <c r="J2269" t="n">
        <v>0.0615</v>
      </c>
      <c r="K2269" t="n">
        <v>0.0769</v>
      </c>
      <c r="L2269" t="inlineStr">
        <is>
          <t>The provided code defines an abstract command implementation for Spring Boot CLI commands. It provides a base set of methods for handling options and arguments, as well as some utility methods for working with collections and null values. The class is annotated with Javadoc comments that provide additional information about the class's purpose and usage.</t>
        </is>
      </c>
      <c r="M2269" t="n">
        <v>0.0033</v>
      </c>
      <c r="N2269" t="n">
        <v>0.0625</v>
      </c>
      <c r="O2269" t="n">
        <v>0.1181</v>
      </c>
    </row>
    <row r="2270">
      <c r="A2270" t="inlineStr">
        <is>
          <t>springboot</t>
        </is>
      </c>
      <c r="B2270" t="inlineStr">
        <is>
          <t>cli/spring-boot-cli/src/main/java/org/springframework/boot/cli/command/encodepassword/EncodePasswordCommand.java</t>
        </is>
      </c>
      <c r="C2270">
        <f>HYPERLINK("https://github.com/spring-projects/spring-boot/blob/master/cli/spring-boot-cli/src/main/java/org/springframework/boot/cli/command/encodepassword/EncodePasswordCommand.java")</f>
        <v/>
      </c>
      <c r="D2270" t="inlineStr">
        <is>
          <t>This Java code appears to be part of a Spring Boot CLI application that provides a command line interface for encoding passwords using various encryption methods. The `EncodePasswordCommand` class defines several options for specifying the password and the desired encryption method, as well as a few other parameters such as the salt size and the number of iterations used in the PBKDF2 algorithm.
The `</t>
        </is>
      </c>
      <c r="E2270" t="n">
        <v>0.0033</v>
      </c>
      <c r="F2270" t="n">
        <v>0.0556</v>
      </c>
      <c r="G2270" t="n">
        <v>0.1095</v>
      </c>
      <c r="H2270" t="inlineStr">
        <is>
          <t>This code appears to be part of a Spring Boot CLI application that provides a command line interface for encoding passwords using various hashing algorithms. The code defines several classes and methods related to password encoding, including `PasswordEncoder`, which encodes passwords based on the specified algorithm, and `PasswordDecoder`, which decodes encoded passwords. The code also includes a main method that runs the command line</t>
        </is>
      </c>
      <c r="I2270" t="n">
        <v>0.0034</v>
      </c>
      <c r="J2270" t="n">
        <v>0.0556</v>
      </c>
      <c r="K2270" t="n">
        <v>0.1103</v>
      </c>
      <c r="L2270" t="inlineStr">
        <is>
          <t>The provided code defines a class called `EncodePasswordCommand` that extends `SpringBootCLICommand`. It provides a command line interface for encoding passwords using Spring Security's password encoder. The class takes an option set as input and uses the `getOptions()` method to retrieve the options specified by the user. If the `--show-encryption` option is present, the class will</t>
        </is>
      </c>
      <c r="M2270" t="n">
        <v>0.0033</v>
      </c>
      <c r="N2270" t="n">
        <v>0.0308</v>
      </c>
      <c r="O2270" t="n">
        <v>0.07870000000000001</v>
      </c>
    </row>
    <row r="2271">
      <c r="A2271" t="inlineStr">
        <is>
          <t>springboot</t>
        </is>
      </c>
      <c r="B2271" t="inlineStr">
        <is>
          <t>cli/spring-boot-cli/src/main/java/org/springframework/boot/cli/command/encodepassword/package-info.java</t>
        </is>
      </c>
      <c r="C2271">
        <f>HYPERLINK("https://github.com/spring-projects/spring-boot/blob/master/cli/spring-boot-cli/src/main/java/org/springframework/boot/cli/command/encodepassword/package-info.java")</f>
        <v/>
      </c>
      <c r="D2271" t="inlineStr">
        <is>
          <t>The provided code defines a Java class named `EncodePasswordCommand` that implements the `CLICommand` interface from Spring Boot's Command Line Interface (CLI). This command is used to encode passwords using a secure algorithm, such as bcrypt or argon2. The class has one method, `execute()`, which takes an array of strings as input and returns a string representing the encoded</t>
        </is>
      </c>
      <c r="E2271" t="n">
        <v>0.0041</v>
      </c>
      <c r="F2271" t="n">
        <v>0.0597</v>
      </c>
      <c r="G2271" t="n">
        <v>0.1538</v>
      </c>
      <c r="H2271" t="inlineStr">
        <is>
          <t>The code provides a Java package called `org.springframework.boot.cli.command.encodepassword` that implements a CLI command for password encoding using the Spring Boot framework. The package includes a single class named `EncodePasswordCommand`, which has several methods for handling user input and output, as well as implementing the actual password encoding logic. The package also includes annotations from the JSpecify</t>
        </is>
      </c>
      <c r="I2271" t="n">
        <v>0.0043</v>
      </c>
      <c r="J2271" t="n">
        <v>0.08699999999999999</v>
      </c>
      <c r="K2271" t="n">
        <v>0.1563</v>
      </c>
      <c r="L2271" t="inlineStr">
        <is>
          <t>The provided code defines a CLI command for password encoding using Spring Boot's CLI framework. It uses the `@NullMarked` annotation from JSpecify to indicate that certain methods can return null values. The `EncodePasswordCommand` class encodes passwords using a combination of SHA-256 and Base64 encoding.</t>
        </is>
      </c>
      <c r="M2271" t="n">
        <v>0.0042</v>
      </c>
      <c r="N2271" t="n">
        <v>0.037</v>
      </c>
      <c r="O2271" t="n">
        <v>0.0862</v>
      </c>
    </row>
    <row r="2272">
      <c r="A2272" t="inlineStr">
        <is>
          <t>springboot</t>
        </is>
      </c>
      <c r="B2272" t="inlineStr">
        <is>
          <t>cli/spring-boot-cli/src/main/java/org/springframework/boot/cli/command/core/package-info.java</t>
        </is>
      </c>
      <c r="C2272">
        <f>HYPERLINK("https://github.com/spring-projects/spring-boot/blob/master/cli/spring-boot-cli/src/main/java/org/springframework/boot/cli/command/core/package-info.java")</f>
        <v/>
      </c>
      <c r="D2272" t="inlineStr">
        <is>
          <t>This code defines a package called `org.springframework.boot.cli.command.core` that provides various command line interface (CLI) commands for Spring Boot applications. The `@NullMarked` annotation indicates that the package uses nullable references, which means that some variables can be assigned null values.
The package includes several classes that implement different CLI commands, such as `HelpCommand</t>
        </is>
      </c>
      <c r="E2272" t="n">
        <v>0.0035</v>
      </c>
      <c r="F2272" t="n">
        <v>0.0615</v>
      </c>
      <c r="G2272" t="n">
        <v>0.121</v>
      </c>
      <c r="H2272" t="inlineStr">
        <is>
          <t>This code defines a package called `org.springframework.boot.cli.command.core` that contains classes related to the Spring Boot command line interface (CLI). The package is annotated with `@NullMarked`, which indicates that it uses nullable references. The package also includes documentation comments that describe its purpose and provide information about the license and versioning.
The package contains several</t>
        </is>
      </c>
      <c r="I2272" t="n">
        <v>0.004</v>
      </c>
      <c r="J2272" t="n">
        <v>0.0896</v>
      </c>
      <c r="K2272" t="n">
        <v>0.119</v>
      </c>
      <c r="L2272" t="inlineStr">
        <is>
          <t>The provided code defines a package named `org.springframework.boot.cli.command.core` that provides various command line interface (CLI) commands for Spring Boot applications. These commands allow users to interact with the application using the command line, such as running the application, displaying help messages, and managing dependencies. The package also includes annotations related to null safety, which are used to indicate</t>
        </is>
      </c>
      <c r="M2272" t="n">
        <v>0.0031</v>
      </c>
      <c r="N2272" t="n">
        <v>0.0563</v>
      </c>
      <c r="O2272" t="n">
        <v>0.0769</v>
      </c>
    </row>
    <row r="2273">
      <c r="A2273" t="inlineStr">
        <is>
          <t>springboot</t>
        </is>
      </c>
      <c r="B2273" t="inlineStr">
        <is>
          <t>cli/spring-boot-cli/src/main/java/org/springframework/boot/cli/command/core/HintCommand.java</t>
        </is>
      </c>
      <c r="C2273">
        <f>HYPERLINK("https://github.com/spring-projects/spring-boot/blob/master/cli/spring-boot-cli/src/main/java/org/springframework/boot/cli/command/core/HintCommand.java")</f>
        <v/>
      </c>
      <c r="D2273" t="inlineStr">
        <is>
          <t>This Java class implements the `Command` interface from Spring Boot CLI and provides a basic implementation of the `run()` method that executes a command using a list of arguments passed as input. The `run()` method first checks if the given arguments contain any options, such as `--help`, which would trigger the printing of help information about the command. If no options are found, it then checks if</t>
        </is>
      </c>
      <c r="E2273" t="n">
        <v>0.0036</v>
      </c>
      <c r="F2273" t="n">
        <v>0.08</v>
      </c>
      <c r="G2273" t="n">
        <v>0.1439</v>
      </c>
      <c r="H2273" t="inlineStr">
        <is>
          <t>This code defines a Java package named `org.springframework.boot.cli.command.core` that provides various command line tools for working with Spring Boot applications. The package includes several classes that implement the `Command` interface, which allows users to execute different commands using the CLI. These commands include things like building the application, running tests, and generating documentation.
The package also includes</t>
        </is>
      </c>
      <c r="I2273" t="n">
        <v>0.0038</v>
      </c>
      <c r="J2273" t="n">
        <v>0.0857</v>
      </c>
      <c r="K2273" t="n">
        <v>0.155</v>
      </c>
      <c r="L2273" t="inlineStr">
        <is>
          <t>The provided code defines a class named `SpringBootCliCommand` that extends the abstract command class `AbstractCommand`. It implements the `Command` interface and provides a custom implementation for the `execute()` method. The class also uses several other classes from the Spring Boot CLI framework, including `OptionHelp`, `CommandRunner`, and `List`.
The class's primary function appears</t>
        </is>
      </c>
      <c r="M2273" t="n">
        <v>0.0042</v>
      </c>
      <c r="N2273" t="n">
        <v>0.06560000000000001</v>
      </c>
      <c r="O2273" t="n">
        <v>0.121</v>
      </c>
    </row>
    <row r="2274">
      <c r="A2274" t="inlineStr">
        <is>
          <t>springboot</t>
        </is>
      </c>
      <c r="B2274" t="inlineStr">
        <is>
          <t>cli/spring-boot-cli/src/main/java/org/springframework/boot/cli/command/core/VersionCommand.java</t>
        </is>
      </c>
      <c r="C2274">
        <f>HYPERLINK("https://github.com/spring-projects/spring-boot/blob/master/cli/spring-boot-cli/src/main/java/org/springframework/boot/cli/command/core/VersionCommand.java")</f>
        <v/>
      </c>
      <c r="D2274" t="inlineStr">
        <is>
          <t>The provided code defines a Spring Boot CLI command called `Version` that displays the version number of the application. It extends the abstract `Command` class from Spring Boot CLI and implements the `run()` method to print the version information using the `Log` utility class. The command also returns an exit status of `ExitStatus.OK`.</t>
        </is>
      </c>
      <c r="E2274" t="n">
        <v>0.0041</v>
      </c>
      <c r="F2274" t="n">
        <v>0.0323</v>
      </c>
      <c r="G2274" t="n">
        <v>0.12</v>
      </c>
      <c r="H2274" t="inlineStr">
        <is>
          <t>The provided code defines a command called `Version` that displays the version number of the Spring Boot CLI. It belongs to the `org.springframework.boot.cli.command.core` package and extends the abstract `Command` class from the same package.
The `Version` command has no parameters and returns an exit status of type `ExitStatus`. When executed, it logs the</t>
        </is>
      </c>
      <c r="I2274" t="n">
        <v>0.0035</v>
      </c>
      <c r="J2274" t="n">
        <v>0.0606</v>
      </c>
      <c r="K2274" t="n">
        <v>0.04</v>
      </c>
      <c r="L2274" t="inlineStr">
        <is>
          <t>The provided code defines a Spring Boot CLI command that displays the version number of the application. It extends the AbstractCommand class and implements the Command interface. The command uses the Log class to print out the version number when executed.</t>
        </is>
      </c>
      <c r="M2274" t="n">
        <v>0.0054</v>
      </c>
      <c r="N2274" t="n">
        <v>0.0408</v>
      </c>
      <c r="O2274" t="n">
        <v>0.1327</v>
      </c>
    </row>
    <row r="2275">
      <c r="A2275" t="inlineStr">
        <is>
          <t>springboot</t>
        </is>
      </c>
      <c r="B2275" t="inlineStr">
        <is>
          <t>cli/spring-boot-cli/src/main/java/org/springframework/boot/cli/command/core/HelpCommand.java</t>
        </is>
      </c>
      <c r="C2275">
        <f>HYPERLINK("https://github.com/spring-projects/spring-boot/blob/master/cli/spring-boot-cli/src/main/java/org/springframework/boot/cli/command/core/HelpCommand.java")</f>
        <v/>
      </c>
      <c r="D2275" t="inlineStr">
        <is>
          <t>This code implements a command line interface (CLI) for a Spring Boot application. It defines several classes that represent commands, which can be executed using the CLI. The `CoreCommand` class is the main entry point for the CLI, and it provides methods for executing commands and displaying their output. The `Command` class represents a single command, and it has a name, description, and set</t>
        </is>
      </c>
      <c r="E2275" t="n">
        <v>0.0037</v>
      </c>
      <c r="F2275" t="n">
        <v>0.0833</v>
      </c>
      <c r="G2275" t="n">
        <v>0.1471</v>
      </c>
      <c r="H2275" t="inlineStr">
        <is>
          <t>This code defines a package called `org.springframework.boot.cli.command.core` that contains classes related to implementing command line interfaces (CLIs). The package includes several classes that implement various commands, such as `HelpCommand`, `VersionCommand`, and `RunCommand`. These classes extend from the abstract class `AbstractCommand` which provides common functionality for all commands.
The</t>
        </is>
      </c>
      <c r="I2275" t="n">
        <v>0.005</v>
      </c>
      <c r="J2275" t="n">
        <v>0.0984</v>
      </c>
      <c r="K2275" t="n">
        <v>0.1667</v>
      </c>
      <c r="L2275" t="inlineStr">
        <is>
          <t>The provided code defines a `CoreCommands` class that extends the `AbstractCommand` class from Spring Boot CLI. It provides several commands related to the core features of Spring Boot, such as starting a new project, building an existing one, and running tests. The class also includes methods for handling command arguments and options, as well as some utility functions for working with collections and sets. Over</t>
        </is>
      </c>
      <c r="M2275" t="n">
        <v>0.0033</v>
      </c>
      <c r="N2275" t="n">
        <v>0.0822</v>
      </c>
      <c r="O2275" t="n">
        <v>0.1095</v>
      </c>
    </row>
    <row r="2276">
      <c r="A2276" t="inlineStr">
        <is>
          <t>springboot</t>
        </is>
      </c>
      <c r="B2276" t="inlineStr">
        <is>
          <t>cli/spring-boot-cli/src/main/java/org/springframework/boot/cli/command/options/package-info.java</t>
        </is>
      </c>
      <c r="C2276">
        <f>HYPERLINK("https://github.com/spring-projects/spring-boot/blob/master/cli/spring-boot-cli/src/main/java/org/springframework/boot/cli/command/options/package-info.java")</f>
        <v/>
      </c>
      <c r="D2276" t="inlineStr">
        <is>
          <t>The `org.springframework.boot.cli.command.options` package provides support classes for handling command line options in Spring Boot applications. It includes several classes that provide various features related to parsing and validating command line arguments, such as option names, values, and flags. These classes are marked with `@NullMarked`, which indicates that they can return null values under certain circumstances. Over</t>
        </is>
      </c>
      <c r="E2276" t="n">
        <v>0.0033</v>
      </c>
      <c r="F2276" t="n">
        <v>0.029</v>
      </c>
      <c r="G2276" t="n">
        <v>0.0391</v>
      </c>
      <c r="H2276" t="inlineStr">
        <is>
          <t>This code defines a package called `org.springframework.boot.cli.command.options` that provides support classes for handling command line options. The package is annotated with `@NullMarked`, which indicates that it uses nullable references. The package also includes documentation comments that explain its purpose and provide information about the license and other relevant details.
The package consists of several files,</t>
        </is>
      </c>
      <c r="I2276" t="n">
        <v>0.004</v>
      </c>
      <c r="J2276" t="n">
        <v>0.0588</v>
      </c>
      <c r="K2276" t="n">
        <v>0.1181</v>
      </c>
      <c r="L2276" t="inlineStr">
        <is>
          <t>The provided code defines support classes for handling command line options in Spring Boot CLI. These classes provide a way to parse and validate command line arguments, allowing developers to create custom commands and tools using the Spring Boot framework.</t>
        </is>
      </c>
      <c r="M2276" t="n">
        <v>0.0046</v>
      </c>
      <c r="N2276" t="n">
        <v>0.0417</v>
      </c>
      <c r="O2276" t="n">
        <v>0.0893</v>
      </c>
    </row>
    <row r="2277">
      <c r="A2277" t="inlineStr">
        <is>
          <t>springboot</t>
        </is>
      </c>
      <c r="B2277" t="inlineStr">
        <is>
          <t>cli/spring-boot-cli/src/main/java/org/springframework/boot/cli/command/options/OptionHelp.java</t>
        </is>
      </c>
      <c r="C2277">
        <f>HYPERLINK("https://github.com/spring-projects/spring-boot/blob/master/cli/spring-boot-cli/src/main/java/org/springframework/boot/cli/command/options/OptionHelp.java")</f>
        <v/>
      </c>
      <c r="D2277" t="inlineStr">
        <is>
          <t>The `OptionHelp` class provides information about a specific command line option. It has two methods:
* `getOptions()` returns a set of strings representing the names of the option and any aliases it may have.
* `usageHelp()` returns a string describing how to use the option.</t>
        </is>
      </c>
      <c r="E2277" t="n">
        <v>0.0041</v>
      </c>
      <c r="F2277" t="n">
        <v>0.0392</v>
      </c>
      <c r="G2277" t="n">
        <v>0.08550000000000001</v>
      </c>
      <c r="H2277" t="inlineStr">
        <is>
          <t>The code defines a Java class called `OptionHelp` that provides information about a specific command line option. It has three methods:
* `getOptions()` returns a set of strings representing the names of the option.
* `usage()` returns a string describing how to use the option.
* `isRequired()` returns whether the option is required for the program to function correctly.</t>
        </is>
      </c>
      <c r="I2277" t="n">
        <v>0</v>
      </c>
      <c r="J2277" t="n">
        <v>0.0312</v>
      </c>
      <c r="K2277" t="n">
        <v>0.0382</v>
      </c>
      <c r="L2277" t="inlineStr">
        <is>
          <t>The provided code defines a class called `OptionHelp` that provides help for a specific command line option. It has two methods: `getOptions()` returns a set of strings representing the names of other options that are considered synonyms, and `usageHelp()` returns a string containing usage instructions for the option.</t>
        </is>
      </c>
      <c r="M2277" t="n">
        <v>0.0038</v>
      </c>
      <c r="N2277" t="n">
        <v>0.0357</v>
      </c>
      <c r="O2277" t="n">
        <v>0.0417</v>
      </c>
    </row>
    <row r="2278">
      <c r="A2278" t="inlineStr">
        <is>
          <t>springboot</t>
        </is>
      </c>
      <c r="B2278" t="inlineStr">
        <is>
          <t>cli/spring-boot-cli/src/main/java/org/springframework/boot/cli/command/options/OptionHandler.java</t>
        </is>
      </c>
      <c r="C2278">
        <f>HYPERLINK("https://github.com/spring-projects/spring-boot/blob/master/cli/spring-boot-cli/src/main/java/org/springframework/boot/cli/command/options/OptionHandler.java")</f>
        <v/>
      </c>
      <c r="D2278" t="inlineStr">
        <is>
          <t>The code defines a class called `CommandOptions` that provides methods for parsing command line options from a string array. It uses a combination of regular expressions and Java's built-in `StringTokenizer` class to tokenize the input string into individual options and their corresponding values. The `parse()` method returns a map of option names to their values, where each value is stored as a</t>
        </is>
      </c>
      <c r="E2278" t="n">
        <v>0.0029</v>
      </c>
      <c r="F2278" t="n">
        <v>0.0278</v>
      </c>
      <c r="G2278" t="n">
        <v>0.0746</v>
      </c>
      <c r="H2278" t="inlineStr">
        <is>
          <t>This code appears to be part of a Spring Boot CLI project, specifically the `org.springframework.boot.cli.command.options` package. It defines several classes that represent different types of options available when running commands using the Spring Boot CLI. The classes include `Option`, `SimpleOption`, `FlagOption`, and `Argument`. These classes provide a way to define command line options and</t>
        </is>
      </c>
      <c r="I2278" t="n">
        <v>0.004</v>
      </c>
      <c r="J2278" t="n">
        <v>0.0597</v>
      </c>
      <c r="K2278" t="n">
        <v>0.119</v>
      </c>
      <c r="L2278" t="inlineStr">
        <is>
          <t>The provided code defines a class named `Options` that implements the `CommandLineRunner` interface from Spring Boot CLI. It takes a list of arguments as input and returns a collection of options based on the given arguments. The options are generated using a combination of hardcoded values, configuration files, and user input. The class also provides methods for printing usage instructions and error messages.</t>
        </is>
      </c>
      <c r="M2278" t="n">
        <v>0.0034</v>
      </c>
      <c r="N2278" t="n">
        <v>0.0563</v>
      </c>
      <c r="O2278" t="n">
        <v>0.1111</v>
      </c>
    </row>
    <row r="2279">
      <c r="A2279" t="inlineStr">
        <is>
          <t>springboot</t>
        </is>
      </c>
      <c r="B2279" t="inlineStr">
        <is>
          <t>cli/spring-boot-cli/src/main/java/org/springframework/boot/cli/command/init/ProjectGenerationResponse.java</t>
        </is>
      </c>
      <c r="C2279">
        <f>HYPERLINK("https://github.com/spring-projects/spring-boot/blob/master/cli/spring-boot-cli/src/main/java/org/springframework/boot/cli/command/init/ProjectGenerationResponse.java")</f>
        <v/>
      </c>
      <c r="D2279" t="inlineStr">
        <is>
          <t>The `ProjectGenerationResponse` class represents the response of a `ProjectGenerationRequest`. It has two fields:
* `contentType`: A field that stores the type of content returned in the response. This is used to determine how to handle the response data.
* `content`: An optional field that stores the actual content returned in the response. If present, it will</t>
        </is>
      </c>
      <c r="E2279" t="n">
        <v>0.0033</v>
      </c>
      <c r="F2279" t="n">
        <v>0.0323</v>
      </c>
      <c r="G2279" t="n">
        <v>0.0781</v>
      </c>
      <c r="H2279" t="inlineStr">
        <is>
          <t>This Java class represents the response of a project generation request. It has three fields:
* `contentType`: A field of type `ContentType` that specifies the MIME type of the generated content.
* `content`: An array of bytes containing the actual content of the generated project.
* `nullable`: A nullability annotation indicating whether the `content` field</t>
        </is>
      </c>
      <c r="I2279" t="n">
        <v>0.0033</v>
      </c>
      <c r="J2279" t="n">
        <v>0.0333</v>
      </c>
      <c r="K2279" t="n">
        <v>0.0394</v>
      </c>
      <c r="L2279" t="inlineStr">
        <is>
          <t>The `ProjectGenerationResponse` class represents the response of a `ProjectGenerationRequest`. It has two fields:
* `contentType`: A `ContentType` object that specifies the type of data returned in the response.
* `content`: An array of bytes containing the actual data returned in the response.
The class also has one method:
*</t>
        </is>
      </c>
      <c r="M2279" t="n">
        <v>0</v>
      </c>
      <c r="N2279" t="n">
        <v>0</v>
      </c>
      <c r="O2279" t="n">
        <v>0</v>
      </c>
    </row>
    <row r="2280">
      <c r="A2280" t="inlineStr">
        <is>
          <t>springboot</t>
        </is>
      </c>
      <c r="B2280" t="inlineStr">
        <is>
          <t>cli/spring-boot-cli/src/main/java/org/springframework/boot/cli/command/init/ProjectGenerator.java</t>
        </is>
      </c>
      <c r="C2280">
        <f>HYPERLINK("https://github.com/spring-projects/spring-boot/blob/master/cli/spring-boot-cli/src/main/java/org/springframework/boot/cli/command/init/ProjectGenerator.java")</f>
        <v/>
      </c>
      <c r="D2280" t="inlineStr">
        <is>
          <t>This Java code appears to be part of a Spring Boot CLI project, specifically the `init` command. It provides a way to extract files from a ZIP archive into a specified directory. The code uses the `java.util.zip` package to read the contents of the ZIP file and then writes each entry to a new file using the `java.io` package. The code</t>
        </is>
      </c>
      <c r="E2280" t="n">
        <v>0.0036</v>
      </c>
      <c r="F2280" t="n">
        <v>0.0556</v>
      </c>
      <c r="G2280" t="n">
        <v>0.1128</v>
      </c>
      <c r="H2280" t="inlineStr">
        <is>
          <t>This code defines a Spring Boot CLI command that initializes a new project using a zip file containing the necessary files. The command takes a single argument, which is the path to a zip file, and extracts its contents into a directory with the same name as the zip file. The command also logs messages to the console indicating the progress of the initialization process.</t>
        </is>
      </c>
      <c r="I2280" t="n">
        <v>0.0033</v>
      </c>
      <c r="J2280" t="n">
        <v>0.0548</v>
      </c>
      <c r="K2280" t="n">
        <v>0.1095</v>
      </c>
      <c r="L2280" t="inlineStr">
        <is>
          <t>The code in the provided file initializes Spring Boot projects using a ZIP archive containing project templates. It extracts the contents of the ZIP archive into the current working directory, overwriting any existing files if necessary. The code also logs messages to the console indicating the progress of the initialization process.</t>
        </is>
      </c>
      <c r="M2280" t="n">
        <v>0</v>
      </c>
      <c r="N2280" t="n">
        <v>0</v>
      </c>
      <c r="O2280" t="n">
        <v>0.0407</v>
      </c>
    </row>
    <row r="2281">
      <c r="A2281" t="inlineStr">
        <is>
          <t>springboot</t>
        </is>
      </c>
      <c r="B2281" t="inlineStr">
        <is>
          <t>cli/spring-boot-cli/src/main/java/org/springframework/boot/cli/command/init/Dependency.java</t>
        </is>
      </c>
      <c r="C2281">
        <f>HYPERLINK("https://github.com/spring-projects/spring-boot/blob/master/cli/spring-boot-cli/src/main/java/org/springframework/boot/cli/command/init/Dependency.java")</f>
        <v/>
      </c>
      <c r="D2281" t="inlineStr">
        <is>
          <t>The `Dependency` class provides some basic information about a dependency, such as its ID, name, and description. It has three fields: `id`, `name`, and `description`. These fields can be nullable, which means that they may contain no value. The class does not have any methods or constructors.</t>
        </is>
      </c>
      <c r="E2281" t="n">
        <v>0.0039</v>
      </c>
      <c r="F2281" t="n">
        <v>0.0364</v>
      </c>
      <c r="G2281" t="n">
        <v>0.042</v>
      </c>
      <c r="H2281" t="inlineStr">
        <is>
          <t>The `Dependency` class provides information about a dependency, including its ID, name, and description. It has three fields: `id`, `name`, and `description`. These fields can be nullable, meaning that they do not have to be set. The class also has a constructor that takes these fields as parameters.</t>
        </is>
      </c>
      <c r="I2281" t="n">
        <v>0.0038</v>
      </c>
      <c r="J2281" t="n">
        <v>0.0357</v>
      </c>
      <c r="K2281" t="n">
        <v>0.0417</v>
      </c>
      <c r="L2281" t="inlineStr">
        <is>
          <t>The `Dependency` class provides basic information about a dependency, including its ID, name, and description. It is part of the Spring Boot CLI's initialization process.</t>
        </is>
      </c>
      <c r="M2281" t="n">
        <v>0.0076</v>
      </c>
      <c r="N2281" t="n">
        <v>0.0588</v>
      </c>
      <c r="O2281" t="n">
        <v>0.1031</v>
      </c>
    </row>
    <row r="2282">
      <c r="A2282" t="inlineStr">
        <is>
          <t>springboot</t>
        </is>
      </c>
      <c r="B2282" t="inlineStr">
        <is>
          <t>cli/spring-boot-cli/src/main/java/org/springframework/boot/cli/command/init/package-info.java</t>
        </is>
      </c>
      <c r="C2282">
        <f>HYPERLINK("https://github.com/spring-projects/spring-boot/blob/master/cli/spring-boot-cli/src/main/java/org/springframework/boot/cli/command/init/package-info.java")</f>
        <v/>
      </c>
      <c r="D2282" t="inlineStr">
        <is>
          <t>This Java code defines a CLI command for initializing a new application using Spring Initializr. The `InitCommand` class is annotated with `@NullMarked`, indicating that it uses nullable references. It imports the `org.jspecify.annotations.NullMarked` annotation from JSpecify, which provides type annotations for nullability.
The `InitCommand</t>
        </is>
      </c>
      <c r="E2282" t="n">
        <v>0.0043</v>
      </c>
      <c r="F2282" t="n">
        <v>0.037</v>
      </c>
      <c r="G2282" t="n">
        <v>0.08699999999999999</v>
      </c>
      <c r="H2282" t="inlineStr">
        <is>
          <t>The provided code defines a Java class that implements the `CLI` interface from the `spring-boot-cli` package. It provides a method called `run()` which takes no arguments and returns nothing. The method is annotated with `@NullMarked`, indicating that it can safely be used with nullable references.
The class also imports several other packages, including `org.js</t>
        </is>
      </c>
      <c r="I2282" t="n">
        <v>0.004</v>
      </c>
      <c r="J2282" t="n">
        <v>0.0615</v>
      </c>
      <c r="K2282" t="n">
        <v>0.119</v>
      </c>
      <c r="L2282" t="inlineStr">
        <is>
          <t>The code provides a CLI command for initializing a new application using Spring Initializr. It uses annotations from the Jspecify library to indicate that certain fields can be null.</t>
        </is>
      </c>
      <c r="M2282" t="n">
        <v>0</v>
      </c>
      <c r="N2282" t="n">
        <v>0</v>
      </c>
      <c r="O2282" t="n">
        <v>0.0495</v>
      </c>
    </row>
    <row r="2283">
      <c r="A2283" t="inlineStr">
        <is>
          <t>springboot</t>
        </is>
      </c>
      <c r="B2283" t="inlineStr">
        <is>
          <t>cli/spring-boot-cli/src/main/java/org/springframework/boot/cli/command/init/InitializrServiceMetadata.java</t>
        </is>
      </c>
      <c r="C2283">
        <f>HYPERLINK("https://github.com/spring-projects/spring-boot/blob/master/cli/spring-boot-cli/src/main/java/org/springframework/boot/cli/command/init/InitializrServiceMetadata.java")</f>
        <v/>
      </c>
      <c r="D2283" t="inlineStr">
        <is>
          <t>The `InitCommand` class provides a way to initialize a new Spring Boot project using the command line interface. It takes a JSON array as input that specifies the dependencies and configurations needed for the project. The class then uses these inputs to create a new project directory structure and populate it with the necessary files and configuration.</t>
        </is>
      </c>
      <c r="E2283" t="n">
        <v>0.0032</v>
      </c>
      <c r="F2283" t="n">
        <v>0.0308</v>
      </c>
      <c r="G2283" t="n">
        <v>0.0775</v>
      </c>
      <c r="H2283" t="inlineStr">
        <is>
          <t>This Java package `org.springframework.boot.cli.command.init` contains a collection of classes that implement various algorithms used in the Spring Boot CLI. The main class of interest is `InitCommand`, which is responsible for handling user input and executing the appropriate actions based on the user's choices. Other notable classes include `TemplateManager`, which manages templates used to generate new projects</t>
        </is>
      </c>
      <c r="I2283" t="n">
        <v>0.0039</v>
      </c>
      <c r="J2283" t="n">
        <v>0.0857</v>
      </c>
      <c r="K2283" t="n">
        <v>0.1563</v>
      </c>
      <c r="L2283" t="inlineStr">
        <is>
          <t>The provided code is part of a Spring Boot CLI project that initializes a new project based on a template. It defines several classes related to the initialization process, including `InitCommand`, which handles user input and executes the necessary actions to create a new project. Other classes such as `Template` and `ProjectCreator` provide additional functionality for creating the project structure and populating it with files</t>
        </is>
      </c>
      <c r="M2283" t="n">
        <v>0.0033</v>
      </c>
      <c r="N2283" t="n">
        <v>0.0548</v>
      </c>
      <c r="O2283" t="n">
        <v>0.073</v>
      </c>
    </row>
    <row r="2284">
      <c r="A2284" t="inlineStr">
        <is>
          <t>springboot</t>
        </is>
      </c>
      <c r="B2284" t="inlineStr">
        <is>
          <t>cli/spring-boot-cli/src/main/java/org/springframework/boot/cli/command/init/InitializrService.java</t>
        </is>
      </c>
      <c r="C2284">
        <f>HYPERLINK("https://github.com/spring-projects/spring-boot/blob/master/cli/spring-boot-cli/src/main/java/org/springframework/boot/cli/command/init/InitializrService.java")</f>
        <v/>
      </c>
      <c r="D2284" t="inlineStr">
        <is>
          <t>The provided code appears to be a Java class that implements the `InitCommand` interface from the Spring Boot CLI framework. It defines a method called `execute()` which takes no arguments and returns a `String`.
The code uses several external libraries, including Apache HttpComponents Client 5.0, which provides a HTTP client implementation. It also uses the standard Java library classes `java.</t>
        </is>
      </c>
      <c r="E2284" t="n">
        <v>0.0036</v>
      </c>
      <c r="F2284" t="n">
        <v>0.058</v>
      </c>
      <c r="G2284" t="n">
        <v>0.1136</v>
      </c>
      <c r="H2284" t="inlineStr">
        <is>
          <t>This code appears to be part of a Spring Boot CLI application that provides an `init` command for generating new projects based on predefined templates. The code defines several classes related to HTTP client requests and responses, including `HttpClient`, `HttpGet`, and `HttpUriRequest`. It also includes some comments describing the purpose of each class and its dependencies.
The main entry point for</t>
        </is>
      </c>
      <c r="I2284" t="n">
        <v>0.0036</v>
      </c>
      <c r="J2284" t="n">
        <v>0.058</v>
      </c>
      <c r="K2284" t="n">
        <v>0.1128</v>
      </c>
      <c r="L2284" t="inlineStr">
        <is>
          <t>The code initializes a Spring Boot CLI application using the `spring` command. It imports various dependencies, including the `SpringBootCLICommandInitializer`, and defines a custom `HttpClient` class that extends the `Apache HTTP Client 5.x` library's `HttpClient` interface. The `HttpClient` instance is used to make GET requests to retrieve data from a</t>
        </is>
      </c>
      <c r="M2284" t="n">
        <v>0.0037</v>
      </c>
      <c r="N2284" t="n">
        <v>0.0339</v>
      </c>
      <c r="O2284" t="n">
        <v>0.08260000000000001</v>
      </c>
    </row>
    <row r="2285">
      <c r="A2285" t="inlineStr">
        <is>
          <t>springboot</t>
        </is>
      </c>
      <c r="B2285" t="inlineStr">
        <is>
          <t>cli/spring-boot-cli/src/main/java/org/springframework/boot/cli/command/init/ServiceCapabilitiesReportGenerator.java</t>
        </is>
      </c>
      <c r="C2285">
        <f>HYPERLINK("https://github.com/spring-projects/spring-boot/blob/master/cli/spring-boot-cli/src/main/java/org/springframework/boot/cli/command/init/ServiceCapabilitiesReportGenerator.java")</f>
        <v/>
      </c>
      <c r="D2285" t="inlineStr">
        <is>
          <t>This Java class provides a utility method called `generateReport` that takes a map of strings as input and returns a sorted set of strings representing the keys in the map, along with their corresponding values. The method uses several other methods to perform its task, including `sortKeys`, which sorts the keys in the map based on their natural ordering, and `formatKeyValuePair`, which formats each</t>
        </is>
      </c>
      <c r="E2285" t="n">
        <v>0.0034</v>
      </c>
      <c r="F2285" t="n">
        <v>0.0556</v>
      </c>
      <c r="G2285" t="n">
        <v>0.1103</v>
      </c>
      <c r="H2285" t="inlineStr">
        <is>
          <t>This Java class generates a report based on the contents of a given directory. It uses the Spring Boot CLI's `InitCommand` to generate the report. The report includes information about the files and directories in the directory, including their names, sizes, and creation dates. The report is generated using a combination of Java code and Markdown text.</t>
        </is>
      </c>
      <c r="I2285" t="n">
        <v>0.0038</v>
      </c>
      <c r="J2285" t="n">
        <v>0.0606</v>
      </c>
      <c r="K2285" t="n">
        <v>0.1163</v>
      </c>
      <c r="L2285" t="inlineStr">
        <is>
          <t>The code provides a utility function that generates a report based on a map of dependencies. It takes as input a map of dependencies, where each dependency is represented as a string, and returns a list of strings representing the dependencies in a sorted order. The sorting is done using a comparator that sorts the dependencies alphabetically. The output of the function is a list of strings, where each string represents</t>
        </is>
      </c>
      <c r="M2285" t="n">
        <v>0.0026</v>
      </c>
      <c r="N2285" t="n">
        <v>0.0506</v>
      </c>
      <c r="O2285" t="n">
        <v>0.0699</v>
      </c>
    </row>
    <row r="2286">
      <c r="A2286" t="inlineStr">
        <is>
          <t>springboot</t>
        </is>
      </c>
      <c r="B2286" t="inlineStr">
        <is>
          <t>cli/spring-boot-cli/src/main/java/org/springframework/boot/cli/command/init/ReportableException.java</t>
        </is>
      </c>
      <c r="C2286">
        <f>HYPERLINK("https://github.com/spring-projects/spring-boot/blob/master/cli/spring-boot-cli/src/main/java/org/springframework/boot/cli/command/init/ReportableException.java")</f>
        <v/>
      </c>
      <c r="D2286" t="inlineStr">
        <is>
          <t>The `ReportableException` class represents an exception with a message that can be reported to the user. It has two constructors: one that takes a single string argument (`message`) and another that takes both a string argument (`message`) and a throwable object (`cause`). When thrown, it will print out its message along with the stack trace.</t>
        </is>
      </c>
      <c r="E2286" t="n">
        <v>0.0033</v>
      </c>
      <c r="F2286" t="n">
        <v>0.0317</v>
      </c>
      <c r="G2286" t="n">
        <v>0.0394</v>
      </c>
      <c r="H2286" t="inlineStr">
        <is>
          <t>This is a Java package named `org.springframework.boot.cli.command.init` containing a single class called `ReportableException`. The class represents an exception with a message that can be displayed to the end user. It has two constructors, one taking a string message as input and another taking both a message and a throwable object as inputs. The class inherits from `</t>
        </is>
      </c>
      <c r="I2286" t="n">
        <v>0.0038</v>
      </c>
      <c r="J2286" t="n">
        <v>0.058</v>
      </c>
      <c r="K2286" t="n">
        <v>0.0775</v>
      </c>
      <c r="L2286" t="inlineStr">
        <is>
          <t>The `ReportableException` class represents an exception with a message that can be reported to the user. It has two constructors, one that takes a string message and another that takes both a string message and a throwable cause.</t>
        </is>
      </c>
      <c r="M2286" t="n">
        <v>0.0049</v>
      </c>
      <c r="N2286" t="n">
        <v>0.0435</v>
      </c>
      <c r="O2286" t="n">
        <v>0.0455</v>
      </c>
    </row>
    <row r="2287">
      <c r="A2287" t="inlineStr">
        <is>
          <t>springboot</t>
        </is>
      </c>
      <c r="B2287" t="inlineStr">
        <is>
          <t>cli/spring-boot-cli/src/main/java/org/springframework/boot/cli/command/init/ProjectGenerationRequest.java</t>
        </is>
      </c>
      <c r="C2287">
        <f>HYPERLINK("https://github.com/spring-projects/spring-boot/blob/master/cli/spring-boot-cli/src/main/java/org/springframework/boot/cli/command/init/ProjectGenerationRequest.java")</f>
        <v/>
      </c>
      <c r="D2287" t="inlineStr">
        <is>
          <t>The `InitCommand` class provides functionality for initializing a new Spring Boot project. It takes several parameters as input, including the name of the project, the group ID, the artifact ID, and the version number. The class then uses these values to construct a URL that can be used to download a template from a remote location. Once the template has been downloaded, it is parsed and the</t>
        </is>
      </c>
      <c r="E2287" t="n">
        <v>0.0032</v>
      </c>
      <c r="F2287" t="n">
        <v>0.0533</v>
      </c>
      <c r="G2287" t="n">
        <v>0.07190000000000001</v>
      </c>
      <c r="H2287" t="inlineStr">
        <is>
          <t>This code defines a class called `InitCommand` that represents the settings needed to initialize a new Spring Boot project. It has several methods that perform different tasks related to initialization, such as parsing command line arguments, validating user input, and generating files based on templates. The code also uses various libraries from the Apache Commons library collection, including `URIBuilder`, which is used to construct UR</t>
        </is>
      </c>
      <c r="I2287" t="n">
        <v>0.0033</v>
      </c>
      <c r="J2287" t="n">
        <v>0.0548</v>
      </c>
      <c r="K2287" t="n">
        <v>0.1095</v>
      </c>
      <c r="L2287" t="inlineStr">
        <is>
          <t>The code defines a class named `InitSettings` that represents the settings used when running the Spring Boot CLI's `init` command. It includes several fields such as `groupId`, `artifactId`, `version`, `name`, and `description`. These values can be set using various methods, including constructors and setters. Additionally, the class provides a method called `toProperties()` which</t>
        </is>
      </c>
      <c r="M2287" t="n">
        <v>0.0035</v>
      </c>
      <c r="N2287" t="n">
        <v>0.0323</v>
      </c>
      <c r="O2287" t="n">
        <v>0.08</v>
      </c>
    </row>
    <row r="2288">
      <c r="A2288" t="inlineStr">
        <is>
          <t>springboot</t>
        </is>
      </c>
      <c r="B2288" t="inlineStr">
        <is>
          <t>cli/spring-boot-cli/src/main/java/org/springframework/boot/cli/command/init/ProjectType.java</t>
        </is>
      </c>
      <c r="C2288">
        <f>HYPERLINK("https://github.com/spring-projects/spring-boot/blob/master/cli/spring-boot-cli/src/main/java/org/springframework/boot/cli/command/init/ProjectType.java")</f>
        <v/>
      </c>
      <c r="D2288" t="inlineStr">
        <is>
          <t>The `ProjectType` class represents a project type that is supported by a service. It has three fields:
* `id`: A unique identifier for the project type.
* `name`: A human-readable name for the project type.
* `act`: An action that can be performed when creating a new project of this type.
The class also defines two</t>
        </is>
      </c>
      <c r="E2288" t="n">
        <v>0</v>
      </c>
      <c r="F2288" t="n">
        <v>0.0323</v>
      </c>
      <c r="G2288" t="n">
        <v>0.0391</v>
      </c>
      <c r="H2288" t="inlineStr">
        <is>
          <t>This code defines a Java class called `ProjectType` that represents a project type supported by a service. It has three fields:
* `id`: A unique identifier for the project type.
* `name`: The display name of the project type.
* `act`: An action associated with the project type.
The constructor takes these three parameters as input and sets them</t>
        </is>
      </c>
      <c r="I2288" t="n">
        <v>0.0037</v>
      </c>
      <c r="J2288" t="n">
        <v>0.0625</v>
      </c>
      <c r="K2288" t="n">
        <v>0.07630000000000001</v>
      </c>
      <c r="L2288" t="inlineStr">
        <is>
          <t>The `ProjectType` class represents a project type that is supported by a service. It has three fields: `id`, `name`, and `act`. The `id` field is a unique identifier for the project type, the `name` field is a human-readable name for the project type, and the `act` field is a string representation of the action that should be</t>
        </is>
      </c>
      <c r="M2288" t="n">
        <v>0.0032</v>
      </c>
      <c r="N2288" t="n">
        <v>0.0303</v>
      </c>
      <c r="O2288" t="n">
        <v>0.0388</v>
      </c>
    </row>
    <row r="2289">
      <c r="A2289" t="inlineStr">
        <is>
          <t>springboot</t>
        </is>
      </c>
      <c r="B2289" t="inlineStr">
        <is>
          <t>cli/spring-boot-cli/src/main/java/org/springframework/boot/cli/command/init/InitCommand.java</t>
        </is>
      </c>
      <c r="C2289">
        <f>HYPERLINK("https://github.com/spring-projects/spring-boot/blob/master/cli/spring-boot-cli/src/main/java/org/springframework/boot/cli/command/init/InitCommand.java")</f>
        <v/>
      </c>
      <c r="D2289" t="inlineStr">
        <is>
          <t>This Java code appears to be part of a Spring Boot CLI project, specifically the `init` command. It defines several classes and methods related to initializing new projects using the Spring Boot framework. The code imports various packages from the `joptsimple`, `java.io`, `java.util`, and `org.springframework.boot.cli` namespaces.
The main class</t>
        </is>
      </c>
      <c r="E2289" t="n">
        <v>0.0045</v>
      </c>
      <c r="F2289" t="n">
        <v>0.0645</v>
      </c>
      <c r="G2289" t="n">
        <v>0.124</v>
      </c>
      <c r="H2289" t="inlineStr">
        <is>
          <t>This code defines a Java package named `org.springframework.boot.cli.command.init` that provides a set of classes and interfaces related to Spring Boot CLI initialization commands. The package includes several files, including a main class named `InitCommand`, which implements the `Command` interface from the `joptsimple` library. The `InitCommand` class has several methods, such as</t>
        </is>
      </c>
      <c r="I2289" t="n">
        <v>0.0047</v>
      </c>
      <c r="J2289" t="n">
        <v>0.0625</v>
      </c>
      <c r="K2289" t="n">
        <v>0.122</v>
      </c>
      <c r="L2289" t="inlineStr">
        <is>
          <t>The provided code defines a Java class that implements the `Command` interface from Spring Boot CLI. It provides a command line utility for initializing new projects using Spring Boot.
The class takes an option set as input and uses it to determine which options have been specified. It then processes these options and generates a list of dependencies that need to be added to the project's POM file</t>
        </is>
      </c>
      <c r="M2289" t="n">
        <v>0.0032</v>
      </c>
      <c r="N2289" t="n">
        <v>0.0519</v>
      </c>
      <c r="O2289" t="n">
        <v>0.1071</v>
      </c>
    </row>
    <row r="2290">
      <c r="A2290" t="inlineStr">
        <is>
          <t>springboot</t>
        </is>
      </c>
      <c r="B2290" t="inlineStr">
        <is>
          <t>cli/spring-boot-cli/src/main/java/org/springframework/boot/cli/command/shell/CommandCompleter.java</t>
        </is>
      </c>
      <c r="C2290">
        <f>HYPERLINK("https://github.com/spring-projects/spring-boot/blob/master/cli/spring-boot-cli/src/main/java/org/springframework/boot/cli/command/shell/CommandCompleter.java")</f>
        <v/>
      </c>
      <c r="D2290" t="inlineStr">
        <is>
          <t>This Java code defines a class named `ShellCommand` that implements the `jline.console.ConsoleReader` interface. It provides a command line shell for executing commands and managing sessions. The class has several methods, including `run`, `setPrompt`, `getPrompt`, `getHistory`, and `addCompleter`. These methods allow users to run commands, set and</t>
        </is>
      </c>
      <c r="E2290" t="n">
        <v>0.0053</v>
      </c>
      <c r="F2290" t="n">
        <v>0.1071</v>
      </c>
      <c r="G2290" t="n">
        <v>0.1695</v>
      </c>
      <c r="H2290" t="inlineStr">
        <is>
          <t>This code defines a Java package called `org.springframework.boot.cli.command.shell` that provides a shell interface for interacting with the application. It includes several classes and interfaces related to command parsing, completion, and execution. The main class is `Shell`, which extends the `jline.console.ConsoleReader` class from the JLine library. It also includes several utility</t>
        </is>
      </c>
      <c r="I2290" t="n">
        <v>0.0044</v>
      </c>
      <c r="J2290" t="n">
        <v>0.0615</v>
      </c>
      <c r="K2290" t="n">
        <v>0.082</v>
      </c>
      <c r="L2290" t="inlineStr">
        <is>
          <t>The provided code defines a custom shell command for Spring Boot CLI that allows users to interact with the application using a command line interface. It uses JLine library to provide command completion and history navigation features. The command accepts arguments and options, which are parsed and used to perform various actions such as displaying help messages, running commands, and configuring the environment.</t>
        </is>
      </c>
      <c r="M2290" t="n">
        <v>0.0029</v>
      </c>
      <c r="N2290" t="n">
        <v>0.0282</v>
      </c>
      <c r="O2290" t="n">
        <v>0.0741</v>
      </c>
    </row>
    <row r="2291">
      <c r="A2291" t="inlineStr">
        <is>
          <t>springboot</t>
        </is>
      </c>
      <c r="B2291" t="inlineStr">
        <is>
          <t>cli/spring-boot-cli/src/main/java/org/springframework/boot/cli/command/shell/Shell.java</t>
        </is>
      </c>
      <c r="C2291">
        <f>HYPERLINK("https://github.com/spring-projects/spring-boot/blob/master/cli/spring-boot-cli/src/main/java/org/springframework/boot/cli/command/shell/Shell.java")</f>
        <v/>
      </c>
      <c r="D2291" t="inlineStr">
        <is>
          <t>This Java code appears to be part of a Spring Boot CLI project. It defines several classes related to shell command completion using JLine's `ConsoleReader` class. Specifically, it provides a custom implementation of `jline.console.completer.CandidateListCompletionHandler`, which allows users to complete commands based on their input. The code also includes some utility methods for working with</t>
        </is>
      </c>
      <c r="E2291" t="n">
        <v>0.0034</v>
      </c>
      <c r="F2291" t="n">
        <v>0.0606</v>
      </c>
      <c r="G2291" t="n">
        <v>0.119</v>
      </c>
      <c r="H2291" t="inlineStr">
        <is>
          <t>This Java package `org.springframework.boot.cli.command.shell` contains classes that implement the Spring Boot command line shell. The main class `Shell` provides a command line interface for interacting with the application. It uses JLine's `ConsoleReader` class to read input from the user and display output. The `Command` class represents a single command that can be executed</t>
        </is>
      </c>
      <c r="I2291" t="n">
        <v>0.0041</v>
      </c>
      <c r="J2291" t="n">
        <v>0.0896</v>
      </c>
      <c r="K2291" t="n">
        <v>0.16</v>
      </c>
      <c r="L2291" t="inlineStr">
        <is>
          <t>The provided code defines a class named `ShellCommandCompleter` that implements the `jline.console.completer.Completer` interface. It provides command completion suggestions for the Spring Boot CLI shell based on the available commands and their options.
The class has several methods that perform various tasks related to command completion, including:
* `getCommands()`: Returns a</t>
        </is>
      </c>
      <c r="M2291" t="n">
        <v>0.0044</v>
      </c>
      <c r="N2291" t="n">
        <v>0.0667</v>
      </c>
      <c r="O2291" t="n">
        <v>0.082</v>
      </c>
    </row>
    <row r="2292">
      <c r="A2292" t="inlineStr">
        <is>
          <t>springboot</t>
        </is>
      </c>
      <c r="B2292" t="inlineStr">
        <is>
          <t>cli/spring-boot-cli/src/main/java/org/springframework/boot/cli/command/shell/PromptCommand.java</t>
        </is>
      </c>
      <c r="C2292">
        <f>HYPERLINK("https://github.com/spring-projects/spring-boot/blob/master/cli/spring-boot-cli/src/main/java/org/springframework/boot/cli/command/shell/PromptCommand.java")</f>
        <v/>
      </c>
      <c r="D2292" t="inlineStr">
        <is>
          <t>This code defines a command called `PromptCommand` that changes the shell's prompt. It does so by extending the `AbstractCommand` class from Spring Boot CLI and implementing its `run()` method. The `run()` method takes no arguments and returns an instance of `ExitStatus`. The implementation sets the prompt using the `Shell` interface, which is passed as a constructor argument.</t>
        </is>
      </c>
      <c r="E2292" t="n">
        <v>0.0038</v>
      </c>
      <c r="F2292" t="n">
        <v>0.09089999999999999</v>
      </c>
      <c r="G2292" t="n">
        <v>0.155</v>
      </c>
      <c r="H2292" t="inlineStr">
        <is>
          <t>This code defines a command line interface (CLI) tool that allows users to interactively execute shell commands from within a Spring Boot application. The `PromptCommand` class implements the `Command` interface and provides a `prompt()` method that sets the current shell prompt. It also includes comments and a license header indicating that it was written by Dave Syer and is licensed under the Apache</t>
        </is>
      </c>
      <c r="I2292" t="n">
        <v>0.0038</v>
      </c>
      <c r="J2292" t="n">
        <v>0.08450000000000001</v>
      </c>
      <c r="K2292" t="n">
        <v>0.1111</v>
      </c>
      <c r="L2292" t="inlineStr">
        <is>
          <t>The code defines a command called `PromptCommand` that changes the shell prompt. It belongs to the `org.springframework.boot.cli.command.shell` package. The command takes no arguments and returns an exit status indicating whether the operation was successful or not.</t>
        </is>
      </c>
      <c r="M2292" t="n">
        <v>0.0052</v>
      </c>
      <c r="N2292" t="n">
        <v>0.0408</v>
      </c>
      <c r="O2292" t="n">
        <v>0.0463</v>
      </c>
    </row>
    <row r="2293">
      <c r="A2293" t="inlineStr">
        <is>
          <t>springboot</t>
        </is>
      </c>
      <c r="B2293" t="inlineStr">
        <is>
          <t>cli/spring-boot-cli/src/main/java/org/springframework/boot/cli/command/shell/ForkProcessCommand.java</t>
        </is>
      </c>
      <c r="C2293">
        <f>HYPERLINK("https://github.com/spring-projects/spring-boot/blob/master/cli/spring-boot-cli/src/main/java/org/springframework/boot/cli/command/shell/ForkProcessCommand.java")</f>
        <v/>
      </c>
      <c r="D2293" t="inlineStr">
        <is>
          <t>The provided code defines a class named `Shell` that implements the `Command` interface from Spring Boot CLI. It has several methods that provide various functionalities related to shell commands, such as executing commands, displaying help information, and exiting the application.
The `Shell` class also uses annotations from JSpecify library to indicate nullability of certain variables.
Overall,</t>
        </is>
      </c>
      <c r="E2293" t="n">
        <v>0.0039</v>
      </c>
      <c r="F2293" t="n">
        <v>0.09379999999999999</v>
      </c>
      <c r="G2293" t="n">
        <v>0.1172</v>
      </c>
      <c r="H2293" t="inlineStr">
        <is>
          <t>This code defines a Java package named `org.springframework.boot.cli.command.shell` that provides a shell interface for running Spring Boot commands. The package includes several classes, including `Shell`, which represents the main entry point for executing commands, and `Command`, which abstracts the execution of a single command. The package also includes utility classes such as `OptionHelp` and `</t>
        </is>
      </c>
      <c r="I2293" t="n">
        <v>0.004</v>
      </c>
      <c r="J2293" t="n">
        <v>0.0597</v>
      </c>
      <c r="K2293" t="n">
        <v>0.1181</v>
      </c>
      <c r="L2293" t="inlineStr">
        <is>
          <t>The code defines a class named `Shell` that extends the `Command` interface and provides a shell-like command line interface for interacting with Spring Boot applications. It includes methods for parsing user input, executing commands, and displaying output. The class also uses annotations from the `jspecify` library to specify nullability constraints.</t>
        </is>
      </c>
      <c r="M2293" t="n">
        <v>0.0037</v>
      </c>
      <c r="N2293" t="n">
        <v>0.0339</v>
      </c>
      <c r="O2293" t="n">
        <v>0.082</v>
      </c>
    </row>
    <row r="2294">
      <c r="A2294" t="inlineStr">
        <is>
          <t>springboot</t>
        </is>
      </c>
      <c r="B2294" t="inlineStr">
        <is>
          <t>cli/spring-boot-cli/src/main/java/org/springframework/boot/cli/command/shell/ExitCommand.java</t>
        </is>
      </c>
      <c r="C2294">
        <f>HYPERLINK("https://github.com/spring-projects/spring-boot/blob/master/cli/spring-boot-cli/src/main/java/org/springframework/boot/cli/command/shell/ExitCommand.java")</f>
        <v/>
      </c>
      <c r="D2294" t="inlineStr">
        <is>
          <t>The `ExitCommand` class is a Spring Boot CLI command that allows users to exit the shell. It extends the `AbstractCommand` class and implements the `Command` interface. When executed, it returns an `ExitStatus` indicating that the shell should be exited.</t>
        </is>
      </c>
      <c r="E2294" t="n">
        <v>0.0056</v>
      </c>
      <c r="F2294" t="n">
        <v>0.0426</v>
      </c>
      <c r="G2294" t="n">
        <v>0.0901</v>
      </c>
      <c r="H2294" t="inlineStr">
        <is>
          <t>The provided code defines a class called `ExitCommand` that implements the `Command` interface from Spring Boot CLI. It is used to exit the shell when the user inputs the command "exit". The class has no instance variables and only one constructor. The `execute()` method returns an `ExitStatus` object indicating that the command was successful.</t>
        </is>
      </c>
      <c r="I2294" t="n">
        <v>0.004</v>
      </c>
      <c r="J2294" t="n">
        <v>0.0645</v>
      </c>
      <c r="K2294" t="n">
        <v>0.119</v>
      </c>
      <c r="L2294" t="inlineStr">
        <is>
          <t>The code defines a custom command called `ExitCommand` that inherits from `AbstractCommand`. It provides a way to exit the Spring Boot CLI shell using the `exit` command. When executed, the command returns an instance of `ExitStatus`, which indicates whether the shell should be exited normally or if there was an error during execution.</t>
        </is>
      </c>
      <c r="M2294" t="n">
        <v>0</v>
      </c>
      <c r="N2294" t="n">
        <v>0</v>
      </c>
      <c r="O2294" t="n">
        <v>0.04</v>
      </c>
    </row>
    <row r="2295">
      <c r="A2295" t="inlineStr">
        <is>
          <t>springboot</t>
        </is>
      </c>
      <c r="B2295" t="inlineStr">
        <is>
          <t>cli/spring-boot-cli/src/main/java/org/springframework/boot/cli/command/shell/package-info.java</t>
        </is>
      </c>
      <c r="C2295">
        <f>HYPERLINK("https://github.com/spring-projects/spring-boot/blob/master/cli/spring-boot-cli/src/main/java/org/springframework/boot/cli/command/shell/package-info.java")</f>
        <v/>
      </c>
      <c r="D2295" t="inlineStr">
        <is>
          <t>The provided code defines classes for running a nested shell in the Spring Boot Command Line Interface (CLI). The `Shell` class provides a way to run a nested shell within another shell, allowing for more complex command line interfaces. The `CommandLineRunner` interface is implemented by classes that can be executed as part of a shell, such as commands or scripts. The `@NullMarked` annotation</t>
        </is>
      </c>
      <c r="E2295" t="n">
        <v>0</v>
      </c>
      <c r="F2295" t="n">
        <v>0.0282</v>
      </c>
      <c r="G2295" t="n">
        <v>0.0741</v>
      </c>
      <c r="H2295" t="inlineStr">
        <is>
          <t>This code defines a package called `org.springframework.boot.cli.command.shell` that contains classes related to running a nested shell in the command line interface (CLI). The package is annotated with `@NullMarked`, which indicates that nullability annotations have been added to the code using the JSpecify library. The README file provides information about the purpose of the repository</t>
        </is>
      </c>
      <c r="I2295" t="n">
        <v>0.0034</v>
      </c>
      <c r="J2295" t="n">
        <v>0.0299</v>
      </c>
      <c r="K2295" t="n">
        <v>0.0794</v>
      </c>
      <c r="L2295" t="inlineStr">
        <is>
          <t>The provided code defines classes for running a nested shell in the Spring Boot Command Line Interface (CLI). It uses the Apache License and is annotated with JSpecify's NullMarked annotation to indicate that null values are allowed in certain places.</t>
        </is>
      </c>
      <c r="M2295" t="n">
        <v>0.0046</v>
      </c>
      <c r="N2295" t="n">
        <v>0.0408</v>
      </c>
      <c r="O2295" t="n">
        <v>0.0893</v>
      </c>
    </row>
    <row r="2296">
      <c r="A2296" t="inlineStr">
        <is>
          <t>springboot</t>
        </is>
      </c>
      <c r="B2296" t="inlineStr">
        <is>
          <t>cli/spring-boot-cli/src/main/java/org/springframework/boot/cli/command/shell/EscapeAwareWhiteSpaceArgumentDelimiter.java</t>
        </is>
      </c>
      <c r="C2296">
        <f>HYPERLINK("https://github.com/spring-projects/spring-boot/blob/master/cli/spring-boot-cli/src/main/java/org/springframework/boot/cli/command/shell/EscapeAwareWhiteSpaceArgumentDelimiter.java")</f>
        <v/>
      </c>
      <c r="D2296" t="inlineStr">
        <is>
          <t>The `EscapeAwareWhiteSpaceArgumentDelimiter` class is a custom implementation of the `jline.console.completer.ArgumentCompleter.WhitespaceArgumentDelimiter` class that provides escape-aware whitespace argument delimiter functionality. It is used in the Spring Boot CLI shell command completion feature to split arguments into individual tokens based on whitespace characters while taking into account escaped characters.</t>
        </is>
      </c>
      <c r="E2296" t="n">
        <v>0</v>
      </c>
      <c r="F2296" t="n">
        <v>0.0678</v>
      </c>
      <c r="G2296" t="n">
        <v>0.0847</v>
      </c>
      <c r="H2296" t="inlineStr">
        <is>
          <t>This code defines an `EscapeAwareWhiteSpaceArgumentDelimiter` class that extends the `jline.console.completer.ArgumentCompleter.WhitespaceArgumentDelimiter` class. The main purpose of this class is to provide a whitespace argument delimiter that can handle escaped characters. It does so by overriding the `delimitArguments()` method and using a regular expression to</t>
        </is>
      </c>
      <c r="I2296" t="n">
        <v>0.0051</v>
      </c>
      <c r="J2296" t="n">
        <v>0.0727</v>
      </c>
      <c r="K2296" t="n">
        <v>0.1304</v>
      </c>
      <c r="L2296" t="inlineStr">
        <is>
          <t>The provided code defines a custom implementation of the `jline` library's `ArgumentCompleter` class called `EscapeAwareWhiteSpaceArgumentDelimiter`. It provides a whitespace argument delimiter that also takes into account escape characters used in command line arguments.
The `EscapeAwareWhiteSpaceArgumentDelimiter` class inherits from `WhitespaceArgumentDelimiter`,</t>
        </is>
      </c>
      <c r="M2296" t="n">
        <v>0</v>
      </c>
      <c r="N2296" t="n">
        <v>0.0417</v>
      </c>
      <c r="O2296" t="n">
        <v>0.0901</v>
      </c>
    </row>
    <row r="2297">
      <c r="A2297" t="inlineStr">
        <is>
          <t>springboot</t>
        </is>
      </c>
      <c r="B2297" t="inlineStr">
        <is>
          <t>cli/spring-boot-cli/src/main/java/org/springframework/boot/cli/command/shell/ShellExitException.java</t>
        </is>
      </c>
      <c r="C2297">
        <f>HYPERLINK("https://github.com/spring-projects/spring-boot/blob/master/cli/spring-boot-cli/src/main/java/org/springframework/boot/cli/command/shell/ShellExitException.java")</f>
        <v/>
      </c>
      <c r="D2297" t="inlineStr">
        <is>
          <t>The `ShellExitException` class is a custom exception that is thrown when the user wants to exit the Spring Boot CLI shell. It is a subclass of `CommandException`, which is part of the Spring Boot framework. This exception is used to signal that the shell should be exited gracefully, without throwing any errors or exceptions.</t>
        </is>
      </c>
      <c r="E2297" t="n">
        <v>0.0034</v>
      </c>
      <c r="F2297" t="n">
        <v>0.0323</v>
      </c>
      <c r="G2297" t="n">
        <v>0.0794</v>
      </c>
      <c r="H2297" t="inlineStr">
        <is>
          <t>This code defines a custom exception called `ShellExitException` that can be thrown from within the Spring Boot CLI shell command implementation to exit the shell gracefully. The exception is defined in the `org.springframework.boot.cli.command.shell` package.
The exception has no fields and only one constructor that takes no arguments. It inherits from the `CommandException` class</t>
        </is>
      </c>
      <c r="I2297" t="n">
        <v>0.0041</v>
      </c>
      <c r="J2297" t="n">
        <v>0.09089999999999999</v>
      </c>
      <c r="K2297" t="n">
        <v>0.12</v>
      </c>
      <c r="L2297" t="inlineStr">
        <is>
          <t>The provided code defines a custom exception called `ShellExitException` that is used to exit the Spring Boot CLI shell. It inherits from `CommandException`, which is a base exception type for all commands in the Spring Boot CLI. The exception provides no additional functionality beyond its inheritance from `CommandException`.</t>
        </is>
      </c>
      <c r="M2297" t="n">
        <v>0.0038</v>
      </c>
      <c r="N2297" t="n">
        <v>0.0357</v>
      </c>
      <c r="O2297" t="n">
        <v>0.0417</v>
      </c>
    </row>
    <row r="2298">
      <c r="A2298" t="inlineStr">
        <is>
          <t>springboot</t>
        </is>
      </c>
      <c r="B2298" t="inlineStr">
        <is>
          <t>cli/spring-boot-cli/src/main/java/org/springframework/boot/cli/command/shell/ClearCommand.java</t>
        </is>
      </c>
      <c r="C2298">
        <f>HYPERLINK("https://github.com/spring-projects/spring-boot/blob/master/cli/spring-boot-cli/src/main/java/org/springframework/boot/cli/command/shell/ClearCommand.java")</f>
        <v/>
      </c>
      <c r="D2298" t="inlineStr">
        <is>
          <t>The `ClearCommand` class is a Spring Boot CLI command that clears the shell screen. It takes no arguments and returns an exit status of `ExitStatus.OK`.
The implementation uses JLine's `ConsoleReader` class to read input from the console and then calls its `clearScreen()` method to clear the screen. This results in the shell prompt being displayed again after</t>
        </is>
      </c>
      <c r="E2298" t="n">
        <v>0.0038</v>
      </c>
      <c r="F2298" t="n">
        <v>0.0597</v>
      </c>
      <c r="G2298" t="n">
        <v>0.155</v>
      </c>
      <c r="H2298" t="inlineStr">
        <is>
          <t>The provided code defines a class called `ClearCommand` that inherits from `AbstractCommand`. It has a single method called `run`, which takes no arguments and returns an instance of `ExitStatus`. The method uses the `jline.console.ConsoleReader` class to read input from the user and clears the shell screen using the `clearScreen()` method.</t>
        </is>
      </c>
      <c r="I2298" t="n">
        <v>0.0037</v>
      </c>
      <c r="J2298" t="n">
        <v>0.0333</v>
      </c>
      <c r="K2298" t="n">
        <v>0.082</v>
      </c>
      <c r="L2298" t="inlineStr">
        <is>
          <t>The provided code defines a class called `ClearCommand` that inherits from `AbstractCommand`. It is used to clear the terminal screen when executed. The command takes no arguments and returns an exit status indicating whether the operation was successful or not.
The `ClearCommand` constructor accepts a `ConsoleReader` instance as an argument, which is used to interact with the user's console</t>
        </is>
      </c>
      <c r="M2298" t="n">
        <v>0.0031</v>
      </c>
      <c r="N2298" t="n">
        <v>0.0294</v>
      </c>
      <c r="O2298" t="n">
        <v>0.07630000000000001</v>
      </c>
    </row>
    <row r="2299">
      <c r="A2299" t="inlineStr">
        <is>
          <t>springboot</t>
        </is>
      </c>
      <c r="B2299" t="inlineStr">
        <is>
          <t>cli/spring-boot-cli/src/main/java/org/springframework/boot/cli/command/shell/AnsiString.java</t>
        </is>
      </c>
      <c r="C2299">
        <f>HYPERLINK("https://github.com/spring-projects/spring-boot/blob/master/cli/spring-boot-cli/src/main/java/org/springframework/boot/cli/command/shell/AnsiString.java")</f>
        <v/>
      </c>
      <c r="D2299" t="inlineStr">
        <is>
          <t>This is a Java class that provides a simple way to generate ANSI strings when the current terminal supports them. The class uses the `jline` library to detect whether the terminal supports ANSI codes and then uses the `fusesource` library to render the ANSI codes as appropriate.
The main method takes a list of `Code` objects representing the ANS</t>
        </is>
      </c>
      <c r="E2299" t="n">
        <v>0.0037</v>
      </c>
      <c r="F2299" t="n">
        <v>0.0597</v>
      </c>
      <c r="G2299" t="n">
        <v>0.1145</v>
      </c>
      <c r="H2299" t="inlineStr">
        <is>
          <t>The `AnsiString` class provides a way to create ANSI strings that can be used to colorize text output in the Spring Boot CLI shell. It takes a `Terminal` instance as its constructor argument, which it uses to determine whether the terminal supports ANSI colors. If so, it allows calling methods like `bold()`, `red()` etc. to append ANS</t>
        </is>
      </c>
      <c r="I2299" t="n">
        <v>0</v>
      </c>
      <c r="J2299" t="n">
        <v>0</v>
      </c>
      <c r="K2299" t="n">
        <v>0.0388</v>
      </c>
      <c r="L2299" t="inlineStr">
        <is>
          <t>The `AnsiString` class provides a simple utility method to create an ANSI string that can be rendered by a JLine terminal. It takes a `Terminal` instance as input, which is used to determine whether the terminal supports ANSI escape codes. If ANSI support is detected, the method returns an `Ansi` object that can be used to construct an</t>
        </is>
      </c>
      <c r="M2299" t="n">
        <v>0</v>
      </c>
      <c r="N2299" t="n">
        <v>0</v>
      </c>
      <c r="O2299" t="n">
        <v>0.0385</v>
      </c>
    </row>
    <row r="2300">
      <c r="A2300" t="inlineStr">
        <is>
          <t>springboot</t>
        </is>
      </c>
      <c r="B2300" t="inlineStr">
        <is>
          <t>cli/spring-boot-cli/src/main/java/org/springframework/boot/cli/command/shell/ShellPrompts.java</t>
        </is>
      </c>
      <c r="C2300">
        <f>HYPERLINK("https://github.com/spring-projects/spring-boot/blob/master/cli/spring-boot-cli/src/main/java/org/springframework/boot/cli/command/shell/ShellPrompts.java")</f>
        <v/>
      </c>
      <c r="D2300" t="inlineStr">
        <is>
          <t>The `ShellPrompts` class provides an abstraction over a stack of prompts that can be pushed and popped from the stack. It has two main methods:
* `push`: adds a new prompt to the top of the stack.
* `pop`: removes and returns the last prompt added to the stack. If there are no more prompts left in the stack,</t>
        </is>
      </c>
      <c r="E2300" t="n">
        <v>0.0031</v>
      </c>
      <c r="F2300" t="n">
        <v>0.0308</v>
      </c>
      <c r="G2300" t="n">
        <v>0.0382</v>
      </c>
      <c r="H2300" t="inlineStr">
        <is>
          <t>This Java code defines a `ShellPrompts` class that manages a stack of prompts used by a shell application. The class has several methods, including `push`, which adds a new prompt to the top of the stack, and `pop`, which removes the current prompt from the stack. It also includes a default prompt value of `$`. Additionally, it includes some comments describing the purpose</t>
        </is>
      </c>
      <c r="I2300" t="n">
        <v>0.0034</v>
      </c>
      <c r="J2300" t="n">
        <v>0.0571</v>
      </c>
      <c r="K2300" t="n">
        <v>0.1111</v>
      </c>
      <c r="L2300" t="inlineStr">
        <is>
          <t>The `ShellPrompts` class manages a stack of prompts used in a command shell. It provides methods to push and pop prompts from the stack, as well as accessors to retrieve the current prompt. The class also includes a default prompt value that can be overridden.</t>
        </is>
      </c>
      <c r="M2300" t="n">
        <v>0.0041</v>
      </c>
      <c r="N2300" t="n">
        <v>0.0377</v>
      </c>
      <c r="O2300" t="n">
        <v>0.08550000000000001</v>
      </c>
    </row>
    <row r="2301">
      <c r="A2301" t="inlineStr">
        <is>
          <t>springboot</t>
        </is>
      </c>
      <c r="B2301" t="inlineStr">
        <is>
          <t>cli/spring-boot-cli/src/main/java/org/springframework/boot/cli/command/shell/RunProcessCommand.java</t>
        </is>
      </c>
      <c r="C2301">
        <f>HYPERLINK("https://github.com/spring-projects/spring-boot/blob/master/cli/spring-boot-cli/src/main/java/org/springframework/boot/cli/command/shell/RunProcessCommand.java")</f>
        <v/>
      </c>
      <c r="D2301" t="inlineStr">
        <is>
          <t>The provided code defines a `Shell` class that provides a command-line interface (CLI) for interacting with the Spring Boot CLI. It implements the `Command` interface from the `org.springframework.boot.cli.command` package.
The `Shell` class has several methods that handle different aspects of the CLI interaction, such as reading input from the user, executing commands</t>
        </is>
      </c>
      <c r="E2301" t="n">
        <v>0.0035</v>
      </c>
      <c r="F2301" t="n">
        <v>0.0308</v>
      </c>
      <c r="G2301" t="n">
        <v>0.0403</v>
      </c>
      <c r="H2301" t="inlineStr">
        <is>
          <t>This code defines a Spring Boot CLI command that provides a shell interface for interacting with the application. It imports several packages, including `java.io`, `java.util`, and `org.springframework.boot.cli`. The main class extends `AbstractCommand` and implements the `Command` interface. It has a constructor that takes no arguments and a method called `run` that returns</t>
        </is>
      </c>
      <c r="I2301" t="n">
        <v>0.0046</v>
      </c>
      <c r="J2301" t="n">
        <v>0.09229999999999999</v>
      </c>
      <c r="K2301" t="n">
        <v>0.121</v>
      </c>
      <c r="L2301" t="inlineStr">
        <is>
          <t>The provided code defines a class named `Shell` that extends the `AbstractCommand` class from Spring Boot CLI. It implements the `Command` interface and provides a command line shell for interacting with the application.
The `Shell` class has several methods, including `run`, which executes the command, and `getHelpMessage`, which returns help text for the command. Additionally,</t>
        </is>
      </c>
      <c r="M2301" t="n">
        <v>0.004</v>
      </c>
      <c r="N2301" t="n">
        <v>0.0635</v>
      </c>
      <c r="O2301" t="n">
        <v>0.07870000000000001</v>
      </c>
    </row>
    <row r="2302">
      <c r="A2302" t="inlineStr">
        <is>
          <t>springboot</t>
        </is>
      </c>
      <c r="B2302" t="inlineStr">
        <is>
          <t>cli/spring-boot-cli/src/main/java/org/springframework/boot/cli/command/shell/ShellCommand.java</t>
        </is>
      </c>
      <c r="C2302">
        <f>HYPERLINK("https://github.com/spring-projects/spring-boot/blob/master/cli/spring-boot-cli/src/main/java/org/springframework/boot/cli/command/shell/ShellCommand.java")</f>
        <v/>
      </c>
      <c r="D2302" t="inlineStr">
        <is>
          <t>The `ShellCommand` class is a command that starts a nested REPL (Read-Eval-Print Loop) shell within the Spring Boot CLI. It extends the `AbstractCommand` class and implements the `Command` interface. When executed, it creates a new instance of the `Shell` class and runs it as a separate process. The `Shell` class provides a simple interactive prompt</t>
        </is>
      </c>
      <c r="E2302" t="n">
        <v>0.004</v>
      </c>
      <c r="F2302" t="n">
        <v>0.0615</v>
      </c>
      <c r="G2302" t="n">
        <v>0.1181</v>
      </c>
      <c r="H2302" t="inlineStr">
        <is>
          <t>This code defines a `ShellCommand` class that extends the `AbstractCommand` class from Spring Boot CLI. The command starts a new REPL (Read-Eval-Print Loop) shell, which allows users to interactively execute commands and see their output.
The `ShellCommand` class has several annotations, including `@Command`, `@Component`, and `@Order`. These annotations indicate</t>
        </is>
      </c>
      <c r="I2302" t="n">
        <v>0.0045</v>
      </c>
      <c r="J2302" t="n">
        <v>0.0678</v>
      </c>
      <c r="K2302" t="n">
        <v>0.08260000000000001</v>
      </c>
      <c r="L2302" t="inlineStr">
        <is>
          <t>The `ShellCommand` class is a Spring Boot CLI command that starts a nested REPL (Read-Eval-Print Loop) shell. It extends the `AbstractCommand` class and implements the `Command` interface. When executed, it creates a new instance of the `Shell` class and runs it as a separate thread. The `Shell` class provides a simple interactive prompt that allows</t>
        </is>
      </c>
      <c r="M2302" t="n">
        <v>0.004</v>
      </c>
      <c r="N2302" t="n">
        <v>0.0615</v>
      </c>
      <c r="O2302" t="n">
        <v>0.1181</v>
      </c>
    </row>
    <row r="2303">
      <c r="A2303" t="inlineStr">
        <is>
          <t>springboot</t>
        </is>
      </c>
      <c r="B2303" t="inlineStr">
        <is>
          <t>cli/spring-boot-cli/src/main/java/org/springframework/boot/cli/command/status/package-info.java</t>
        </is>
      </c>
      <c r="C2303">
        <f>HYPERLINK("https://github.com/spring-projects/spring-boot/blob/master/cli/spring-boot-cli/src/main/java/org/springframework/boot/cli/command/status/package-info.java")</f>
        <v/>
      </c>
      <c r="D2303" t="inlineStr">
        <is>
          <t>The code defines a Java package named `org.springframework.boot.cli.command.status` that provides a class called `StatusCommand`. This class is annotated with `@NullMarked`, which indicates that it can be used as a nullable type in other parts of the codebase.
The `StatusCommand` class has a single method called `run()`, which takes no</t>
        </is>
      </c>
      <c r="E2303" t="n">
        <v>0.0037</v>
      </c>
      <c r="F2303" t="n">
        <v>0.0323</v>
      </c>
      <c r="G2303" t="n">
        <v>0.08260000000000001</v>
      </c>
      <c r="H2303" t="inlineStr">
        <is>
          <t>This code appears to be part of a Spring Boot application, specifically the `status` module. It defines a class called `StatusCommand`, which extends the `SpringBootCommandSupport` abstract class and implements the `CommandLineRunner` interface. The class has several annotations, including `@NullMarked`, indicating that it can handle null values.
The `StatusCommand` class takes no</t>
        </is>
      </c>
      <c r="I2303" t="n">
        <v>0.0047</v>
      </c>
      <c r="J2303" t="n">
        <v>0.1017</v>
      </c>
      <c r="K2303" t="n">
        <v>0.1626</v>
      </c>
      <c r="L2303" t="inlineStr">
        <is>
          <t>The provided code defines a class called `CLICommandStatus` that represents the status of a Spring Boot CLI command. It has several fields and methods related to the command's execution, such as `isSuccess()`, `getExitCode()`, and `getMessage()`. The class also includes annotations from the `org.jspecify.annotations` package to indicate that some of its members can be</t>
        </is>
      </c>
      <c r="M2303" t="n">
        <v>0.0035</v>
      </c>
      <c r="N2303" t="n">
        <v>0.0312</v>
      </c>
      <c r="O2303" t="n">
        <v>0.04</v>
      </c>
    </row>
    <row r="2304">
      <c r="A2304" t="inlineStr">
        <is>
          <t>springboot</t>
        </is>
      </c>
      <c r="B2304" t="inlineStr">
        <is>
          <t>cli/spring-boot-cli/src/main/java/org/springframework/boot/cli/command/status/ExitStatus.java</t>
        </is>
      </c>
      <c r="C2304">
        <f>HYPERLINK("https://github.com/spring-projects/spring-boot/blob/master/cli/spring-boot-cli/src/main/java/org/springframework/boot/cli/command/status/ExitStatus.java")</f>
        <v/>
      </c>
      <c r="D2304" t="inlineStr">
        <is>
          <t>The `ExitStatus` class encapsulates the outcome of a command execution. It has two fields:
* `exitCode`: An integer representing the exit code of the command.
* `hangup`: A boolean indicating whether the command should be terminated immediately after executing.
The class provides several constants for common exit codes, such as `OK`, which represents a successful</t>
        </is>
      </c>
      <c r="E2304" t="n">
        <v>0</v>
      </c>
      <c r="F2304" t="n">
        <v>0</v>
      </c>
      <c r="G2304" t="n">
        <v>0</v>
      </c>
      <c r="H2304" t="inlineStr">
        <is>
          <t>This code defines an `ExitStatus` class that encapsulates the outcome of a command execution. It has several fields, including `code`, which represents the exit code of the command, and `hangup`, which indicates whether the command was terminated due to a hangup signal. The class also provides constants for common exit codes, such as `OK` and `ERROR`.</t>
        </is>
      </c>
      <c r="I2304" t="n">
        <v>0.0039</v>
      </c>
      <c r="J2304" t="n">
        <v>0.0625</v>
      </c>
      <c r="K2304" t="n">
        <v>0.0781</v>
      </c>
      <c r="L2304" t="inlineStr">
        <is>
          <t>The `ExitStatus` class encapsulates the outcome of a command execution. It provides two constants - `OK` and `ERROR`, which represent the generic "OK" and "error" outcomes respectively. Each instance of `ExitStatus` has three properties:
* `exitCode`: An integer representing the exit code of the command.
* `hangUp`: A</t>
        </is>
      </c>
      <c r="M2304" t="n">
        <v>0.0038</v>
      </c>
      <c r="N2304" t="n">
        <v>0.0377</v>
      </c>
      <c r="O2304" t="n">
        <v>0.0417</v>
      </c>
    </row>
    <row r="2305">
      <c r="A2305" t="inlineStr">
        <is>
          <t>springboot</t>
        </is>
      </c>
      <c r="B2305" t="inlineStr">
        <is>
          <t>cli/spring-boot-cli/src/main/java/org/springframework/boot/cli/util/package-info.java</t>
        </is>
      </c>
      <c r="C2305">
        <f>HYPERLINK("https://github.com/spring-projects/spring-boot/blob/master/cli/spring-boot-cli/src/main/java/org/springframework/boot/cli/util/package-info.java")</f>
        <v/>
      </c>
      <c r="D2305" t="inlineStr">
        <is>
          <t>The code defines utility classes for the Spring Boot Command Line Interface (CLI). The `org.springframework.boot.cli.util` package contains several classes that provide various functionalities such as parsing command line arguments, handling exceptions, and providing information about the current environment. These utilities can be used by other parts of the application to perform common tasks more efficiently.</t>
        </is>
      </c>
      <c r="E2305" t="n">
        <v>0.0033</v>
      </c>
      <c r="F2305" t="n">
        <v>0.0597</v>
      </c>
      <c r="G2305" t="n">
        <v>0.07870000000000001</v>
      </c>
      <c r="H2305" t="inlineStr">
        <is>
          <t>This code defines a Java package called `org.springframework.boot.cli.util` that contains utility classes for the command line interface (CLI). The package is annotated with `@NullMarked`, which indicates that it uses nullable references. The package also includes Javadoc comments describing its purpose and providing information about the implementation details.
The package contains several classes, including</t>
        </is>
      </c>
      <c r="I2305" t="n">
        <v>0.0041</v>
      </c>
      <c r="J2305" t="n">
        <v>0.0615</v>
      </c>
      <c r="K2305" t="n">
        <v>0.16</v>
      </c>
      <c r="L2305" t="inlineStr">
        <is>
          <t>The code defines utility classes for Spring Boot's command line interface (CLI). It uses annotations from the JSpecify library to indicate that null values are allowed in certain places. The package also includes documentation comments that explain the purpose of the code and provide some background information about the project.</t>
        </is>
      </c>
      <c r="M2305" t="n">
        <v>0.0037</v>
      </c>
      <c r="N2305" t="n">
        <v>0.0339</v>
      </c>
      <c r="O2305" t="n">
        <v>0.082</v>
      </c>
    </row>
    <row r="2306">
      <c r="A2306" t="inlineStr">
        <is>
          <t>springboot</t>
        </is>
      </c>
      <c r="B2306" t="inlineStr">
        <is>
          <t>cli/spring-boot-cli/src/main/java/org/springframework/boot/cli/util/LogListener.java</t>
        </is>
      </c>
      <c r="C2306">
        <f>HYPERLINK("https://github.com/spring-projects/spring-boot/blob/master/cli/spring-boot-cli/src/main/java/org/springframework/boot/cli/util/LogListener.java")</f>
        <v/>
      </c>
      <c r="D2306" t="inlineStr">
        <is>
          <t>The `LogListener` interface defines methods for capturing log messages from the `Log` class. It provides four methods:
* `info`: logs a string message with level INFO.
* `infoPrint`: prints a string message with level INFO.
* `error`: logs an exception with level ERROR.
* `error`: logs a string message with level ERROR.</t>
        </is>
      </c>
      <c r="E2306" t="n">
        <v>0</v>
      </c>
      <c r="F2306" t="n">
        <v>0</v>
      </c>
      <c r="G2306" t="n">
        <v>0</v>
      </c>
      <c r="H2306" t="inlineStr">
        <is>
          <t>This code defines a Java interface called `LogListener` that provides methods for capturing log messages. The interface has four methods: `info`, `infoPrint`, `error`, and `error`. These methods take different types of arguments, including strings and exceptions. The interface also includes annotations from the JSpecify library to indicate that some method parameters can be null.
The overall complexity</t>
        </is>
      </c>
      <c r="I2306" t="n">
        <v>0.0038</v>
      </c>
      <c r="J2306" t="n">
        <v>0.0615</v>
      </c>
      <c r="K2306" t="n">
        <v>0.0775</v>
      </c>
      <c r="L2306" t="inlineStr">
        <is>
          <t>The code defines a listener interface named `LogListener` that captures log messages from the `Log` class. It has four methods: `info`, `infoPrint`, `error`, and `error`. These methods take a string argument and print it to the console as an informational or error message, respectively.</t>
        </is>
      </c>
      <c r="M2306" t="n">
        <v>0.0042</v>
      </c>
      <c r="N2306" t="n">
        <v>0.0385</v>
      </c>
      <c r="O2306" t="n">
        <v>0.0431</v>
      </c>
    </row>
    <row r="2307">
      <c r="A2307" t="inlineStr">
        <is>
          <t>springboot</t>
        </is>
      </c>
      <c r="B2307" t="inlineStr">
        <is>
          <t>cli/spring-boot-cli/src/main/java/org/springframework/boot/cli/util/Log.java</t>
        </is>
      </c>
      <c r="C2307">
        <f>HYPERLINK("https://github.com/spring-projects/spring-boot/blob/master/cli/spring-boot-cli/src/main/java/org/springframework/boot/cli/util/Log.java")</f>
        <v/>
      </c>
      <c r="D2307" t="inlineStr">
        <is>
          <t>The `Log` class provides a simple logging mechanism for the Spring Boot CLI. It has two methods: `info`, which logs information messages to standard output, and `setListener`, which sets a listener that can be used to intercept log messages.</t>
        </is>
      </c>
      <c r="E2307" t="n">
        <v>0.0047</v>
      </c>
      <c r="F2307" t="n">
        <v>0.0426</v>
      </c>
      <c r="G2307" t="n">
        <v>0.0901</v>
      </c>
      <c r="H2307" t="inlineStr">
        <is>
          <t>The `Log` class provides a simple logging mechanism that can be used throughout the application. It has one method called `info`, which takes a string parameter representing the log message. When called, it prints the message to the console using `System.out.println`. Additionally, if there is a registered `LogListener`, it will call its `in` method with the same message as input</t>
        </is>
      </c>
      <c r="I2307" t="n">
        <v>0</v>
      </c>
      <c r="J2307" t="n">
        <v>0</v>
      </c>
      <c r="K2307" t="n">
        <v>0.0379</v>
      </c>
      <c r="L2307" t="inlineStr">
        <is>
          <t>The `Log` class provides a simple logging mechanism for the Spring Boot CLI. It has two methods: `info`, which prints a message to standard output, and `setListener`, which sets a listener that can be used to handle log messages.</t>
        </is>
      </c>
      <c r="M2307" t="n">
        <v>0.0047</v>
      </c>
      <c r="N2307" t="n">
        <v>0.0426</v>
      </c>
      <c r="O2307" t="n">
        <v>0.0901</v>
      </c>
    </row>
    <row r="2308">
      <c r="A2308" t="inlineStr">
        <is>
          <t>springboot</t>
        </is>
      </c>
      <c r="B2308" t="inlineStr">
        <is>
          <t>cli/spring-boot-cli/src/test/java/cli/command/CustomCommandFactory.java</t>
        </is>
      </c>
      <c r="C2308">
        <f>HYPERLINK("https://github.com/spring-projects/spring-boot/blob/master/cli/spring-boot-cli/src/test/java/cli/command/CustomCommandFactory.java")</f>
        <v/>
      </c>
      <c r="D2308" t="inlineStr">
        <is>
          <t>This Java class `CustomCommandFactory` implements the `CommandFactory` interface from Spring Boot CLI. It provides a single command called `CustomCommand`, which can be used to execute custom commands. The `getCommands()` method returns a collection containing only one instance of the `CustomCommand`. The `CustomCommand` class has no dependencies and does not have any methods that require implementation.</t>
        </is>
      </c>
      <c r="E2308" t="n">
        <v>0.0044</v>
      </c>
      <c r="F2308" t="n">
        <v>0.09520000000000001</v>
      </c>
      <c r="G2308" t="n">
        <v>0.1575</v>
      </c>
      <c r="H2308" t="inlineStr">
        <is>
          <t>This code defines a custom command factory for Spring Boot's CLI tool. The `CustomCommandFactory` class implements the `CommandFactory` interface and provides a single method called `getCommands()` that returns a collection of commands. In this case, it returns a singleton collection containing a single instance of the `CustomCommand` class.
The `CustomCommand` class extends the `</t>
        </is>
      </c>
      <c r="I2308" t="n">
        <v>0.0045</v>
      </c>
      <c r="J2308" t="n">
        <v>0.0968</v>
      </c>
      <c r="K2308" t="n">
        <v>0.119</v>
      </c>
      <c r="L2308" t="inlineStr">
        <is>
          <t>The provided code defines a `CustomCommandFactory` class that extends the `CommandFactory` interface from Spring Boot's CLI. It provides a single command named `custom`, which takes no arguments and returns a collection of commands.
The `getCommands()` method returns a singleton collection containing the `custom` command. The `custom` command has no arguments and returns a list of</t>
        </is>
      </c>
      <c r="M2308" t="n">
        <v>0.0033</v>
      </c>
      <c r="N2308" t="n">
        <v>0.0312</v>
      </c>
      <c r="O2308" t="n">
        <v>0.0394</v>
      </c>
    </row>
    <row r="2309">
      <c r="A2309" t="inlineStr">
        <is>
          <t>springboot</t>
        </is>
      </c>
      <c r="B2309" t="inlineStr">
        <is>
          <t>cli/spring-boot-cli/src/test/java/cli/command/CustomCommand.java</t>
        </is>
      </c>
      <c r="C2309">
        <f>HYPERLINK("https://github.com/spring-projects/spring-boot/blob/master/cli/spring-boot-cli/src/test/java/cli/command/CustomCommand.java")</f>
        <v/>
      </c>
      <c r="D2309" t="inlineStr">
        <is>
          <t>The `CustomCommand` class is a custom Spring Boot CLI command that provides a way to add new commands to the application. It inherits from the `AbstractCommand` class and overrides its `run()` method to provide the actual implementation of the command. The command name is set to "custom" and it has no arguments. When executed, the command will print a message indicating that it</t>
        </is>
      </c>
      <c r="E2309" t="n">
        <v>0.0029</v>
      </c>
      <c r="F2309" t="n">
        <v>0.0563</v>
      </c>
      <c r="G2309" t="n">
        <v>0.0741</v>
      </c>
      <c r="H2309" t="inlineStr">
        <is>
          <t>This code defines a custom Spring Boot CLI command called `CustomCommand`. The command has no arguments and simply prints a message when executed. It uses the `@SpringBootApplication` annotation to indicate that it is a Spring Boot application. The `run()` method returns an `ExitStatus` object indicating success.</t>
        </is>
      </c>
      <c r="I2309" t="n">
        <v>0.0048</v>
      </c>
      <c r="J2309" t="n">
        <v>0.0741</v>
      </c>
      <c r="K2309" t="n">
        <v>0.1271</v>
      </c>
      <c r="L2309" t="inlineStr">
        <is>
          <t>The provided code defines a custom Spring Boot CLI command called `CustomCommand`. It is a subclass of `AbstractCommand` and overrides the `run()` method. The command takes no arguments and returns an exit status indicating whether the operation was successful or not. The command's name and description are set in the constructor.</t>
        </is>
      </c>
      <c r="M2309" t="n">
        <v>0.0036</v>
      </c>
      <c r="N2309" t="n">
        <v>0.0333</v>
      </c>
      <c r="O2309" t="n">
        <v>0.0407</v>
      </c>
    </row>
    <row r="2310">
      <c r="A2310" t="inlineStr">
        <is>
          <t>springboot</t>
        </is>
      </c>
      <c r="B2310" t="inlineStr">
        <is>
          <t>cli/spring-boot-cli/src/test/java/org/springframework/boot/cli/command/OptionParsingCommandTests.java</t>
        </is>
      </c>
      <c r="C2310">
        <f>HYPERLINK("https://github.com/spring-projects/spring-boot/blob/master/cli/spring-boot-cli/src/test/java/org/springframework/boot/cli/command/OptionParsingCommandTests.java")</f>
        <v/>
      </c>
      <c r="D2310" t="inlineStr">
        <is>
          <t>The `OptionParsingCommand` class provides methods for parsing command line options using the Spring Boot CLI framework. It defines a test method named `optionHelp()` that tests the behavior of the `parseOptions()` method when the `--help` option is specified.
The `parseOptions()` method takes a list of arguments as input and returns a map of parsed options. The method uses</t>
        </is>
      </c>
      <c r="E2310" t="n">
        <v>0.0032</v>
      </c>
      <c r="F2310" t="n">
        <v>0.0308</v>
      </c>
      <c r="G2310" t="n">
        <v>0.0775</v>
      </c>
      <c r="H2310" t="inlineStr">
        <is>
          <t>The provided code defines a JUnit test class named `OptionParsingCommandTests` that tests the behavior of the `OptionParsingCommand` class. The test method `optionHelp()` verifies that the command correctly handles the `--help` option, which displays usage information about the available options.</t>
        </is>
      </c>
      <c r="I2310" t="n">
        <v>0</v>
      </c>
      <c r="J2310" t="n">
        <v>0</v>
      </c>
      <c r="K2310" t="n">
        <v>0</v>
      </c>
      <c r="L2310" t="inlineStr">
        <is>
          <t>The provided code defines a class called `OptionParsingCommand` that extends `AbstractOptionParsingCommand`. It provides a test method named `optionHelp()` that tests the parsing of command line options using the `OptionHandler` class.
The `OptionParsingCommand` class uses the `OptionHandler` class to parse command line options and handle them accordingly. The</t>
        </is>
      </c>
      <c r="M2310" t="n">
        <v>0.0039</v>
      </c>
      <c r="N2310" t="n">
        <v>0.0364</v>
      </c>
      <c r="O2310" t="n">
        <v>0.08400000000000001</v>
      </c>
    </row>
    <row r="2311">
      <c r="A2311" t="inlineStr">
        <is>
          <t>springboot</t>
        </is>
      </c>
      <c r="B2311" t="inlineStr">
        <is>
          <t>cli/spring-boot-cli/src/test/java/org/springframework/boot/cli/command/CommandRunnerIntegrationTests.java</t>
        </is>
      </c>
      <c r="C2311">
        <f>HYPERLINK("https://github.com/spring-projects/spring-boot/blob/master/cli/spring-boot-cli/src/test/java/org/springframework/boot/cli/command/CommandRunnerIntegrationTests.java")</f>
        <v/>
      </c>
      <c r="D2311" t="inlineStr">
        <is>
          <t>The code defines a class called `CommandRunner` that implements the `run()` method, which takes a command as input and runs it using a specified runner. The method returns an exit status indicating whether the command was successful or not. It also has a constructor that takes a runner object as an argument.
The class also includes some unit tests, including one that verifies that the `</t>
        </is>
      </c>
      <c r="E2311" t="n">
        <v>0.0033</v>
      </c>
      <c r="F2311" t="n">
        <v>0.0548</v>
      </c>
      <c r="G2311" t="n">
        <v>0.1087</v>
      </c>
      <c r="H2311" t="inlineStr">
        <is>
          <t>This code defines a class called `CommandRunner` that implements the `run()` method, which takes a string argument representing a command line and returns an integer exit status. The `CommandRunner` class uses JUnit 5's `@BeforeEach`, `@Test`, and `@AfterEach` annotations to define test cases for the `run()` method. It also includes a license header and documentation</t>
        </is>
      </c>
      <c r="I2311" t="n">
        <v>0.0045</v>
      </c>
      <c r="J2311" t="n">
        <v>0.09520000000000001</v>
      </c>
      <c r="K2311" t="n">
        <v>0.1587</v>
      </c>
      <c r="L2311" t="inlineStr">
        <is>
          <t>The provided code defines an integration test suite for the `CommandRunner` class in the Spring Boot CLI project. It imports various dependencies, including JUnit and JSpecify annotations, and defines several test methods that verify the expected behavior of the `CommandRunner` class. The test cases cover various scenarios related to command execution, such as parsing arguments, handling errors, and providing feedback to the user</t>
        </is>
      </c>
      <c r="M2311" t="n">
        <v>0.0029</v>
      </c>
      <c r="N2311" t="n">
        <v>0.0282</v>
      </c>
      <c r="O2311" t="n">
        <v>0.037</v>
      </c>
    </row>
    <row r="2312">
      <c r="A2312" t="inlineStr">
        <is>
          <t>springboot</t>
        </is>
      </c>
      <c r="B2312" t="inlineStr">
        <is>
          <t>cli/spring-boot-cli/src/test/java/org/springframework/boot/cli/command/CommandRunnerTests.java</t>
        </is>
      </c>
      <c r="C2312">
        <f>HYPERLINK("https://github.com/spring-projects/spring-boot/blob/master/cli/spring-boot-cli/src/test/java/org/springframework/boot/cli/command/CommandRunnerTests.java")</f>
        <v/>
      </c>
      <c r="D2312" t="inlineStr">
        <is>
          <t>This Java code defines a class called `Command` that represents a command line interface (CLI) command. The class has several methods and fields related to parsing input arguments, executing the command, and handling errors. It also uses annotations such as `@Nullable` from the JUnit library and `@Mock` from Mockito.
The main method of the program takes one argument, which is</t>
        </is>
      </c>
      <c r="E2312" t="n">
        <v>0.0036</v>
      </c>
      <c r="F2312" t="n">
        <v>0.0588</v>
      </c>
      <c r="G2312" t="n">
        <v>0.1136</v>
      </c>
      <c r="H2312" t="inlineStr">
        <is>
          <t>This code appears to be part of a Java project that uses Spring Boot as its framework. It defines several classes related to command line interfaces (CLIs), including `Command`, `Option`, and `Argument`. The `Command` class represents a single CLI command, while the `Option` and `Argument` classes represent options and arguments that can be passed to a command, respectively.</t>
        </is>
      </c>
      <c r="I2312" t="n">
        <v>0.0037</v>
      </c>
      <c r="J2312" t="n">
        <v>0.0606</v>
      </c>
      <c r="K2312" t="n">
        <v>0.1154</v>
      </c>
      <c r="L2312" t="inlineStr">
        <is>
          <t>The provided code defines a Spring Boot CLI command that allows users to interact with the application using a simple text interface. The command uses JUnit tests and Mockito to test its functionality. It also includes documentation comments and annotations to ensure that the code is readable and easy to understand. Overall, the code appears to be well-structured and follows best practices for Java development.</t>
        </is>
      </c>
      <c r="M2312" t="n">
        <v>0.0028</v>
      </c>
      <c r="N2312" t="n">
        <v>0.0541</v>
      </c>
      <c r="O2312" t="n">
        <v>0.073</v>
      </c>
    </row>
    <row r="2313">
      <c r="A2313" t="inlineStr">
        <is>
          <t>springboot</t>
        </is>
      </c>
      <c r="B2313" t="inlineStr">
        <is>
          <t>cli/spring-boot-cli/src/test/java/org/springframework/boot/cli/command/encodepassword/EncodePasswordCommandTests.java</t>
        </is>
      </c>
      <c r="C2313">
        <f>HYPERLINK("https://github.com/spring-projects/spring-boot/blob/master/cli/spring-boot-cli/src/test/java/org/springframework/boot/cli/command/encodepassword/EncodePasswordCommandTests.java")</f>
        <v/>
      </c>
      <c r="D2313" t="inlineStr">
        <is>
          <t>The code provides an implementation of a command line utility that encodes passwords using the BCrypt algorithm. It uses JUnit 5 for unit testing and Mockito for mocking dependencies. The main class, `EncodePasswordCommand`, has a single method, `run()`, which takes a password as input and returns its encoded version. The `main()` method sets up the command line interface and</t>
        </is>
      </c>
      <c r="E2313" t="n">
        <v>0.0031</v>
      </c>
      <c r="F2313" t="n">
        <v>0.0597</v>
      </c>
      <c r="G2313" t="n">
        <v>0.1145</v>
      </c>
      <c r="H2313" t="inlineStr">
        <is>
          <t>This code appears to be part of a Spring Boot CLI project that provides an implementation for the `encodePassword` command. The code defines a class called `EncodePasswordCommand` that extends the abstract `SpringBootCliCommand` class. It also imports several other classes from the `org.springframework.boot.cli` package.
The `EncodePasswordCommand` class has</t>
        </is>
      </c>
      <c r="I2313" t="n">
        <v>0.0039</v>
      </c>
      <c r="J2313" t="n">
        <v>0.06900000000000001</v>
      </c>
      <c r="K2313" t="n">
        <v>0.1261</v>
      </c>
      <c r="L2313" t="inlineStr">
        <is>
          <t>The provided code is part of a Spring Boot CLI application that implements a command line interface for encoding passwords using the BCrypt algorithm. The `EncodePasswordCommand` class provides a method called `run()` which takes a password as input and returns an encoded version of the password using the BCrypt algorithm. The command also includes unit tests using JUnit and Mockito for testing purposes.</t>
        </is>
      </c>
      <c r="M2313" t="n">
        <v>0.0034</v>
      </c>
      <c r="N2313" t="n">
        <v>0.0563</v>
      </c>
      <c r="O2313" t="n">
        <v>0.1111</v>
      </c>
    </row>
    <row r="2314">
      <c r="A2314" t="inlineStr">
        <is>
          <t>springboot</t>
        </is>
      </c>
      <c r="B2314" t="inlineStr">
        <is>
          <t>cli/spring-boot-cli/src/test/java/org/springframework/boot/cli/command/init/InitCommandTests.java</t>
        </is>
      </c>
      <c r="C2314">
        <f>HYPERLINK("https://github.com/spring-projects/spring-boot/blob/master/cli/spring-boot-cli/src/test/java/org/springframework/boot/cli/command/init/InitCommandTests.java")</f>
        <v/>
      </c>
      <c r="D2314" t="inlineStr">
        <is>
          <t>This Java code appears to be part of a Spring Boot CLI application that provides an `init` command for creating new projects based on a template. The code defines several classes and methods related to project initialization, including `InitCommand`, which represents the main entry point for the `init` command, and `TemplateResolver`, which resolves templates from various sources such as local files, remote repositories,</t>
        </is>
      </c>
      <c r="E2314" t="n">
        <v>0.0034</v>
      </c>
      <c r="F2314" t="n">
        <v>0.0563</v>
      </c>
      <c r="G2314" t="n">
        <v>0.1111</v>
      </c>
      <c r="H2314" t="inlineStr">
        <is>
          <t>This code appears to be part of a Java project that uses Spring Boot as its framework. It defines several classes and methods related to the initialization of a new Spring Boot application. The main class, `InitCommand`, implements the `Command` interface from the Spring Boot CLI library. Its `run()` method takes an `OptionSet` object as input and performs various operations based on the options specified</t>
        </is>
      </c>
      <c r="I2314" t="n">
        <v>0.0037</v>
      </c>
      <c r="J2314" t="n">
        <v>0.0822</v>
      </c>
      <c r="K2314" t="n">
        <v>0.146</v>
      </c>
      <c r="L2314" t="inlineStr">
        <is>
          <t>The provided code initializes a new Spring Boot project using the `spring init` command. It takes several parameters as input, including the name of the project, the version of Spring Boot to use, and any additional dependencies to add. The code then generates a ZIP archive containing the initialized project files, which can be used to create a new project directory.</t>
        </is>
      </c>
      <c r="M2314" t="n">
        <v>0.003</v>
      </c>
      <c r="N2314" t="n">
        <v>0.029</v>
      </c>
      <c r="O2314" t="n">
        <v>0.0752</v>
      </c>
    </row>
    <row r="2315">
      <c r="A2315" t="inlineStr">
        <is>
          <t>springboot</t>
        </is>
      </c>
      <c r="B2315" t="inlineStr">
        <is>
          <t>cli/spring-boot-cli/src/test/java/org/springframework/boot/cli/command/init/InitializrServiceTests.java</t>
        </is>
      </c>
      <c r="C2315">
        <f>HYPERLINK("https://github.com/spring-projects/spring-boot/blob/master/cli/spring-boot-cli/src/test/java/org/springframework/boot/cli/command/init/InitializrServiceTests.java")</f>
        <v/>
      </c>
      <c r="D2315" t="inlineStr">
        <is>
          <t>The code defines a class called `InitCommand` that extends the `AbstractCommand` class from the Spring Boot CLI library. It has one method called `execute()` which takes two arguments, a `String[] args`, and a `PrintWriter out`. The `execute()` method first checks if the command line argument `-v` was passed, and if it was, it prints a message to</t>
        </is>
      </c>
      <c r="E2315" t="n">
        <v>0.0032</v>
      </c>
      <c r="F2315" t="n">
        <v>0.0308</v>
      </c>
      <c r="G2315" t="n">
        <v>0.0388</v>
      </c>
      <c r="H2315" t="inlineStr">
        <is>
          <t>This code appears to be part of a Spring Boot CLI project that implements the `init` command. The `init` command is used to initialize a new Spring Boot application from scratch. The code defines several classes and methods related to HTTP requests and responses, as well as some unit tests using JUnit.
The main class, `InitCommand`, extends the `SpringBootCommandSupport`</t>
        </is>
      </c>
      <c r="I2315" t="n">
        <v>0.0041</v>
      </c>
      <c r="J2315" t="n">
        <v>0.0896</v>
      </c>
      <c r="K2315" t="n">
        <v>0.1527</v>
      </c>
      <c r="L2315" t="inlineStr">
        <is>
          <t>The provided code is part of a Spring Boot CLI application that initializes a new project using the `init` command. It uses the Apache HTTP client library to download a template from a remote server and then copies the downloaded content into the local project directory. The code also includes unit tests to verify the correctness of the initialization process.</t>
        </is>
      </c>
      <c r="M2315" t="n">
        <v>0.003</v>
      </c>
      <c r="N2315" t="n">
        <v>0.0294</v>
      </c>
      <c r="O2315" t="n">
        <v>0.07580000000000001</v>
      </c>
    </row>
    <row r="2316">
      <c r="A2316" t="inlineStr">
        <is>
          <t>springboot</t>
        </is>
      </c>
      <c r="B2316" t="inlineStr">
        <is>
          <t>cli/spring-boot-cli/src/test/java/org/springframework/boot/cli/command/init/ServiceCapabilitiesReportGeneratorTests.java</t>
        </is>
      </c>
      <c r="C2316">
        <f>HYPERLINK("https://github.com/spring-projects/spring-boot/blob/master/cli/spring-boot-cli/src/test/java/org/springframework/boot/cli/command/init/ServiceCapabilitiesReportGeneratorTests.java")</f>
        <v/>
      </c>
      <c r="D2316" t="inlineStr">
        <is>
          <t>The `ServiceCapabilitiesReportGenerator` class is used to generate a report that describes the capabilities of a service. It takes a list of services as input and generates a report that includes information about each service, such as its name, description, version, and any dependencies it has. The generated report can be used to determine which services are compatible with each other and which ones need to be upgrad</t>
        </is>
      </c>
      <c r="E2316" t="n">
        <v>0.0027</v>
      </c>
      <c r="F2316" t="n">
        <v>0.0267</v>
      </c>
      <c r="G2316" t="n">
        <v>0.07190000000000001</v>
      </c>
      <c r="H2316" t="inlineStr">
        <is>
          <t>The provided code defines a class called `ServiceCapabilitiesReportGenerator` that generates a report of service capabilities based on the input data. It uses JUnit tests to verify the correctness of its implementation. The class has a constructor that takes an instance of `AbstractHttpClientMockTests`, which provides a mock HTTP client to be used during testing. The `generate()` method is responsible for generating</t>
        </is>
      </c>
      <c r="I2316" t="n">
        <v>0</v>
      </c>
      <c r="J2316" t="n">
        <v>0.0294</v>
      </c>
      <c r="K2316" t="n">
        <v>0.0379</v>
      </c>
      <c r="L2316" t="inlineStr">
        <is>
          <t>The provided code defines a class named `ServiceCapabilitiesReportGenerator` that generates a report about the capabilities of a service. It uses JUnit tests to verify the correctness of the generated report. The class takes an HTTP client as input and uses it to make requests to the service. The report includes information such as the service's name, version, and supported features.</t>
        </is>
      </c>
      <c r="M2316" t="n">
        <v>0.003</v>
      </c>
      <c r="N2316" t="n">
        <v>0.029</v>
      </c>
      <c r="O2316" t="n">
        <v>0.07580000000000001</v>
      </c>
    </row>
    <row r="2317">
      <c r="A2317" t="inlineStr">
        <is>
          <t>springboot</t>
        </is>
      </c>
      <c r="B2317" t="inlineStr">
        <is>
          <t>cli/spring-boot-cli/src/test/java/org/springframework/boot/cli/command/init/InitializrServiceMetadataTests.java</t>
        </is>
      </c>
      <c r="C2317">
        <f>HYPERLINK("https://github.com/spring-projects/spring-boot/blob/master/cli/spring-boot-cli/src/test/java/org/springframework/boot/cli/command/init/InitializrServiceMetadataTests.java")</f>
        <v/>
      </c>
      <c r="D2317" t="inlineStr">
        <is>
          <t>This Java class `InitCommand` implements the `org.springframework.boot.cli.command.init.InitCommand` interface and provides a way to initialize a Spring Boot project using the command line. It has several methods that perform different tasks related to initialization, such as reading and parsing JSON files, creating directories, and setting up dependencies. The class also uses various annotations and imports from the</t>
        </is>
      </c>
      <c r="E2317" t="n">
        <v>0.0043</v>
      </c>
      <c r="F2317" t="n">
        <v>0.0857</v>
      </c>
      <c r="G2317" t="n">
        <v>0.1563</v>
      </c>
      <c r="H2317" t="inlineStr">
        <is>
          <t>This code defines a Java class called `InitCommand` that implements a command line interface (CLI) for generating Spring Boot projects. The class has several methods, including `run()`, which is the entry point for the CLI, and `execute()`, which performs the actual work of generating the project. It also includes some utility methods for reading JSON files and handling user input.
The READ</t>
        </is>
      </c>
      <c r="I2317" t="n">
        <v>0.0039</v>
      </c>
      <c r="J2317" t="n">
        <v>0.0857</v>
      </c>
      <c r="K2317" t="n">
        <v>0.1493</v>
      </c>
      <c r="L2317" t="inlineStr">
        <is>
          <t>The provided code initializes Spring Boot CLI projects using a JSON configuration file. It reads the contents of the file as a `JSONObject` and uses the data within to create a new project directory structure and populate it with necessary files. The code also includes unit tests that validate the functionality of the initialization process.</t>
        </is>
      </c>
      <c r="M2317" t="n">
        <v>0.004</v>
      </c>
      <c r="N2317" t="n">
        <v>0.0317</v>
      </c>
      <c r="O2317" t="n">
        <v>0.07870000000000001</v>
      </c>
    </row>
    <row r="2318">
      <c r="A2318" t="inlineStr">
        <is>
          <t>springboot</t>
        </is>
      </c>
      <c r="B2318" t="inlineStr">
        <is>
          <t>cli/spring-boot-cli/src/test/java/org/springframework/boot/cli/command/init/AbstractHttpClientMockTests.java</t>
        </is>
      </c>
      <c r="C2318">
        <f>HYPERLINK("https://github.com/spring-projects/spring-boot/blob/master/cli/spring-boot-cli/src/test/java/org/springframework/boot/cli/command/init/AbstractHttpClientMockTests.java")</f>
        <v/>
      </c>
      <c r="D2318" t="inlineStr">
        <is>
          <t>This code appears to be part of a Spring Boot CLI application that provides an `init` command to generate a new project from a template. The main class, `InitCommand`, defines the `execute()` method that is called when the `init` command is run.
The method first checks if the user has specified a custom template URL using the `--template-url` option. If</t>
        </is>
      </c>
      <c r="E2318" t="n">
        <v>0.003</v>
      </c>
      <c r="F2318" t="n">
        <v>0.029</v>
      </c>
      <c r="G2318" t="n">
        <v>0.07580000000000001</v>
      </c>
      <c r="H2318" t="inlineStr">
        <is>
          <t>This code defines a Java package named `org.springframework.boot.cli.command.init` that contains classes related to Spring Boot CLI initialization. The package includes a class called `InitCommand` that implements the `Command` interface from the `spring-boot-cli` library. The `InitCommand` class has a method called `execute()` that takes no arguments and returns a `</t>
        </is>
      </c>
      <c r="I2318" t="n">
        <v>0.0049</v>
      </c>
      <c r="J2318" t="n">
        <v>0.09520000000000001</v>
      </c>
      <c r="K2318" t="n">
        <v>0.124</v>
      </c>
      <c r="L2318" t="inlineStr">
        <is>
          <t>The provided code initializes a Spring Boot project using the `spring init` command. It imports several dependencies, including Spring Boot itself, as well as third-party libraries such as Apache HttpComponents. The code also defines a class called `InitCommand`, which extends the `SpringBootCommandSupport` abstract class from the Spring Boot CLI. The `InitCommand` class has a single method called</t>
        </is>
      </c>
      <c r="M2318" t="n">
        <v>0</v>
      </c>
      <c r="N2318" t="n">
        <v>0</v>
      </c>
      <c r="O2318" t="n">
        <v>0.0388</v>
      </c>
    </row>
    <row r="2319">
      <c r="A2319" t="inlineStr">
        <is>
          <t>springboot</t>
        </is>
      </c>
      <c r="B2319" t="inlineStr">
        <is>
          <t>cli/spring-boot-cli/src/test/java/org/springframework/boot/cli/command/init/ProjectGenerationRequestTests.java</t>
        </is>
      </c>
      <c r="C2319">
        <f>HYPERLINK("https://github.com/spring-projects/spring-boot/blob/master/cli/spring-boot-cli/src/test/java/org/springframework/boot/cli/command/init/ProjectGenerationRequestTests.java")</f>
        <v/>
      </c>
      <c r="D2319" t="inlineStr">
        <is>
          <t>This Java code defines a class named `InitCommand` that implements the `ICommand` interface from the Spring Boot CLI library. The `InitCommand` class has several methods, including a constructor, a `run()` method, and a `getUsageHelp()` method.
The `run()` method takes no arguments and returns nothing. It appears to be responsible for initializing the command</t>
        </is>
      </c>
      <c r="E2319" t="n">
        <v>0.0045</v>
      </c>
      <c r="F2319" t="n">
        <v>0.0984</v>
      </c>
      <c r="G2319" t="n">
        <v>0.12</v>
      </c>
      <c r="H2319" t="inlineStr">
        <is>
          <t>This Java package `org.springframework.boot.cli.command.init` provides a command line interface (CLI) tool for generating new Spring Boot projects using the Spring Initializr service. The tool allows users to specify project details such as project name, version, and dependencies via a JSON configuration file. The tool then generates the necessary files and directories for the project, including a Gradle</t>
        </is>
      </c>
      <c r="I2319" t="n">
        <v>0.0038</v>
      </c>
      <c r="J2319" t="n">
        <v>0.0571</v>
      </c>
      <c r="K2319" t="n">
        <v>0.1163</v>
      </c>
      <c r="L2319" t="inlineStr">
        <is>
          <t>The provided code is part of a Spring Boot CLI application that initializes a new project. It reads a JSON configuration file and performs various tasks based on the contents of the file. The code uses the `java.net` package to handle HTTP requests and responses, as well as the `org.springframework.boot.cli.json` package to parse and manipulate JSON data.
The</t>
        </is>
      </c>
      <c r="M2319" t="n">
        <v>0.0031</v>
      </c>
      <c r="N2319" t="n">
        <v>0.0282</v>
      </c>
      <c r="O2319" t="n">
        <v>0.0769</v>
      </c>
    </row>
    <row r="2320">
      <c r="A2320" t="inlineStr">
        <is>
          <t>springboot</t>
        </is>
      </c>
      <c r="B2320" t="inlineStr">
        <is>
          <t>cli/spring-boot-cli/src/test/java/org/springframework/boot/cli/command/shell/EscapeAwareWhiteSpaceArgumentDelimiterTests.java</t>
        </is>
      </c>
      <c r="C2320">
        <f>HYPERLINK("https://github.com/spring-projects/spring-boot/blob/master/cli/spring-boot-cli/src/test/java/org/springframework/boot/cli/command/shell/EscapeAwareWhiteSpaceArgumentDelimiterTests.java")</f>
        <v/>
      </c>
      <c r="D2320" t="inlineStr">
        <is>
          <t>This code defines a test case for the `EscapeAwareWhiteSpaceArgumentDelimiter` class in the Spring Boot CLI project. The test checks that the delimiter correctly identifies argument boundaries when there are escaped characters present in the input string.
The test sets up two scenarios: one where the input string has no escaped characters and another where it does have some escaped characters. In both</t>
        </is>
      </c>
      <c r="E2320" t="n">
        <v>0.0035</v>
      </c>
      <c r="F2320" t="n">
        <v>0.0571</v>
      </c>
      <c r="G2320" t="n">
        <v>0.0746</v>
      </c>
      <c r="H2320" t="inlineStr">
        <is>
          <t>This Java code defines a class called `EscapeAwareWhiteSpaceArgumentDelimiter` that implements the `ArgumentDelimiter` interface from the JLine library. The class provides a custom implementation of the `delimit()` method that delimits arguments based on whitespace characters while taking into account escape sequences. The method returns an array of strings representing each argument.
The class has one</t>
        </is>
      </c>
      <c r="I2320" t="n">
        <v>0.004</v>
      </c>
      <c r="J2320" t="n">
        <v>0.0645</v>
      </c>
      <c r="K2320" t="n">
        <v>0.0794</v>
      </c>
      <c r="L2320" t="inlineStr">
        <is>
          <t>The provided code defines a class called `EscapeAwareWhiteSpaceArgumentDelimiter` that extends the `ArgumentDelimiter` interface from JLine. It provides a custom implementation of the `delimit()` method that allows for escaping whitespace characters using backslashes.
The class has been tested using JUnit 5's `@Test` annotation, which verifies the correct</t>
        </is>
      </c>
      <c r="M2320" t="n">
        <v>0</v>
      </c>
      <c r="N2320" t="n">
        <v>0.0364</v>
      </c>
      <c r="O2320" t="n">
        <v>0.0847</v>
      </c>
    </row>
    <row r="2321">
      <c r="A2321" t="inlineStr">
        <is>
          <t>springboot</t>
        </is>
      </c>
      <c r="B2321" t="inlineStr">
        <is>
          <t>cli/spring-boot-cli/src/test/java/org/springframework/boot/cli/util/MockLog.java</t>
        </is>
      </c>
      <c r="C2321">
        <f>HYPERLINK("https://github.com/spring-projects/spring-boot/blob/master/cli/spring-boot-cli/src/test/java/org/springframework/boot/cli/util/MockLog.java")</f>
        <v/>
      </c>
      <c r="D2321" t="inlineStr">
        <is>
          <t>This code defines a `MockLog` class that provides a way to test logging messages without actually printing them. It allows developers to attach and detach listeners to the logger, which can be used to verify that certain messages have been logged during a unit test. The `attach()` method creates a new instance of the `MockLog` class and sets it as the current listener, while the</t>
        </is>
      </c>
      <c r="E2321" t="n">
        <v>0.0033</v>
      </c>
      <c r="F2321" t="n">
        <v>0.0548</v>
      </c>
      <c r="G2321" t="n">
        <v>0.1095</v>
      </c>
      <c r="H2321" t="inlineStr">
        <is>
          <t>This code defines a `MockLog` class that allows for attaching and detaching a mock implementation of the `LogListener` interface. The `attach()` method creates a new instance of the `MockLog` class and sets it as the current listener using the `Log.setListener()` method. The `clear()` method removes any currently attached listeners.</t>
        </is>
      </c>
      <c r="I2321" t="n">
        <v>0.0045</v>
      </c>
      <c r="J2321" t="n">
        <v>0.1034</v>
      </c>
      <c r="K2321" t="n">
        <v>0.1653</v>
      </c>
      <c r="L2321" t="inlineStr">
        <is>
          <t>The provided code defines a `MockLog` interface that provides a mock implementation of the `LogListener` interface for testing purposes. It allows developers to test their application's logging mechanism without actually printing any messages to the console. The `attach()` method creates a new instance of `MockLog`, sets it as the current listener, and returns it, while the `clear()` method removes the</t>
        </is>
      </c>
      <c r="M2321" t="n">
        <v>0.003</v>
      </c>
      <c r="N2321" t="n">
        <v>0.058</v>
      </c>
      <c r="O2321" t="n">
        <v>0.07580000000000001</v>
      </c>
    </row>
    <row r="2322">
      <c r="A2322" t="inlineStr">
        <is>
          <t>springboot</t>
        </is>
      </c>
      <c r="B2322" t="inlineStr">
        <is>
          <t>buildpack/spring-boot-buildpack-platform/src/main/java/org/springframework/boot/buildpack/platform/io/TarArchive.java</t>
        </is>
      </c>
      <c r="C2322">
        <f>HYPERLINK("https://github.com/spring-projects/spring-boot/blob/master/buildpack/spring-boot-buildpack-platform/src/main/java/org/springframework/boot/buildpack/platform/io/TarArchive.java")</f>
        <v/>
      </c>
      <c r="D2322" t="inlineStr">
        <is>
          <t>This Java code defines a class called `TarArchiveEntry` that represents a single entry within a tar archive. It provides methods for reading and writing entries from a tar archive using GZip compression. The code also includes support for extracting files from the archive and creating new archives.
The `TarArchiveEntry` class has several fields and methods, including:</t>
        </is>
      </c>
      <c r="E2322" t="n">
        <v>0.0039</v>
      </c>
      <c r="F2322" t="n">
        <v>0.0625</v>
      </c>
      <c r="G2322" t="n">
        <v>0.1172</v>
      </c>
      <c r="H2322" t="inlineStr">
        <is>
          <t>The provided code defines a Java package called `org.springframework.boot.buildpack.platform.io` that provides various utility methods for working with files and streams. The package includes classes such as `ZipSource`, `TarSource`, and `ResourceCoordinates`. These classes provide functions for reading and writing Zip and Tar archives, as well as extracting resources from these arch</t>
        </is>
      </c>
      <c r="I2322" t="n">
        <v>0.0037</v>
      </c>
      <c r="J2322" t="n">
        <v>0.0635</v>
      </c>
      <c r="K2322" t="n">
        <v>0.082</v>
      </c>
      <c r="L2322" t="inlineStr">
        <is>
          <t>The provided code defines a class named `TarArchive` that provides methods for working with tar archives. It uses the Java standard library's `java.util.zip` package for handling gzipped files. The class has several methods for reading, writing, and extracting tar archives, including `read`, `write`, `extract`, and `getEntries`.</t>
        </is>
      </c>
      <c r="M2322" t="n">
        <v>0.004</v>
      </c>
      <c r="N2322" t="n">
        <v>0.0351</v>
      </c>
      <c r="O2322" t="n">
        <v>0.0847</v>
      </c>
    </row>
    <row r="2323">
      <c r="A2323" t="inlineStr">
        <is>
          <t>springboot</t>
        </is>
      </c>
      <c r="B2323" t="inlineStr">
        <is>
          <t>buildpack/spring-boot-buildpack-platform/src/main/java/org/springframework/boot/buildpack/platform/io/package-info.java</t>
        </is>
      </c>
      <c r="C2323">
        <f>HYPERLINK("https://github.com/spring-projects/spring-boot/blob/master/buildpack/spring-boot-buildpack-platform/src/main/java/org/springframework/boot/buildpack/platform/io/package-info.java")</f>
        <v/>
      </c>
      <c r="D2323" t="inlineStr">
        <is>
          <t>The provided code defines a package called `org.springframework.boot.buildpack.platform.io` that provides various I/O related classes and utilities. The package is annotated with `@NullMarked`, which indicates that it uses nullable references.
The package includes several classes, including `Resource`, `ResourceReader`, and `ResourceWriter`. These classes provide methods for</t>
        </is>
      </c>
      <c r="E2323" t="n">
        <v>0.0042</v>
      </c>
      <c r="F2323" t="n">
        <v>0.0345</v>
      </c>
      <c r="G2323" t="n">
        <v>0.0862</v>
      </c>
      <c r="H2323" t="inlineStr">
        <is>
          <t>This package provides various I/O related classes and utilities used by Spring Boot buildpack platform. The package is annotated with `@NullMarked` indicating that it uses nullable references. It contains several classes including `Resource`, `ResourceReader`, `ResourceWriter`, and `TarArchive`. These classes provide methods for reading and writing resources from tar archives, as well as</t>
        </is>
      </c>
      <c r="I2323" t="n">
        <v>0.0042</v>
      </c>
      <c r="J2323" t="n">
        <v>0.06560000000000001</v>
      </c>
      <c r="K2323" t="n">
        <v>0.121</v>
      </c>
      <c r="L2323" t="inlineStr">
        <is>
          <t>The provided code defines several classes and utilities related to input/output (I/O) operations for a Spring Boot buildpack platform. The package is annotated with `@NullMarked`, indicating that it uses nullable references. The package includes classes such as `FileTarArchive` and `DirectoryExporter`, which provide methods for working with tar archives and directories, respectively</t>
        </is>
      </c>
      <c r="M2323" t="n">
        <v>0.0036</v>
      </c>
      <c r="N2323" t="n">
        <v>0.0328</v>
      </c>
      <c r="O2323" t="n">
        <v>0.0813</v>
      </c>
    </row>
    <row r="2324">
      <c r="A2324" t="inlineStr">
        <is>
          <t>springboot</t>
        </is>
      </c>
      <c r="B2324" t="inlineStr">
        <is>
          <t>buildpack/spring-boot-buildpack-platform/src/main/java/org/springframework/boot/buildpack/platform/io/InspectedContent.java</t>
        </is>
      </c>
      <c r="C2324">
        <f>HYPERLINK("https://github.com/spring-projects/spring-boot/blob/master/buildpack/spring-boot-buildpack-platform/src/main/java/org/springframework/boot/buildpack/platform/io/InspectedContent.java")</f>
        <v/>
      </c>
      <c r="D2324" t="inlineStr">
        <is>
          <t>This Java code defines several classes related to input/output operations using files and streams. The `IO` class provides methods for reading and writing data from/to files and streams, including `readFrom`, `writeTo`, and `copy`. The `FileUtils` class provides utility methods for working with files, such as creating directories and deleting files. The `StreamUtils` class provides utility</t>
        </is>
      </c>
      <c r="E2324" t="n">
        <v>0.004</v>
      </c>
      <c r="F2324" t="n">
        <v>0.0615</v>
      </c>
      <c r="G2324" t="n">
        <v>0.1181</v>
      </c>
      <c r="H2324" t="inlineStr">
        <is>
          <t>This Java package `org.springframework.boot.buildpack.platform.io` provides classes that implement input/output operations for various data sources such as files, streams, and byte arrays. The package includes several classes that provide methods for reading from and writing to these sources, including `File`, `FileInputStream`, `FileOutputStream`, `InputStream`, and `OutputStream`. Additionally, there are</t>
        </is>
      </c>
      <c r="I2324" t="n">
        <v>0.0046</v>
      </c>
      <c r="J2324" t="n">
        <v>0.0984</v>
      </c>
      <c r="K2324" t="n">
        <v>0.1261</v>
      </c>
      <c r="L2324" t="inlineStr">
        <is>
          <t>The code defines a class named `TarArchive` that provides methods for creating, reading, and extracting tar archives. It uses the Java Archive Utilities library to perform these tasks. The class has several constructors and methods that allow users to create new instances, write files to the archive, and extract files from the archive. Additionally, it includes support for reading and writing com</t>
        </is>
      </c>
      <c r="M2324" t="n">
        <v>0.0029</v>
      </c>
      <c r="N2324" t="n">
        <v>0.0286</v>
      </c>
      <c r="O2324" t="n">
        <v>0.0746</v>
      </c>
    </row>
    <row r="2325">
      <c r="A2325" t="inlineStr">
        <is>
          <t>springboot</t>
        </is>
      </c>
      <c r="B2325" t="inlineStr">
        <is>
          <t>buildpack/spring-boot-buildpack-platform/src/main/java/org/springframework/boot/buildpack/platform/io/IOSupplier.java</t>
        </is>
      </c>
      <c r="C2325">
        <f>HYPERLINK("https://github.com/spring-projects/spring-boot/blob/master/buildpack/spring-boot-buildpack-platform/src/main/java/org/springframework/boot/buildpack/platform/io/IOSupplier.java")</f>
        <v/>
      </c>
      <c r="D2325" t="inlineStr">
        <is>
          <t>The `IOSupplier` interface defines a functional interface that provides a method named `get()` which returns a value of type `T`. However, unlike other suppliers, it allows throwing `IOException`s. This means that any implementation of this interface must be able to handle potential errors during execution.</t>
        </is>
      </c>
      <c r="E2325" t="n">
        <v>0.0041</v>
      </c>
      <c r="F2325" t="n">
        <v>0.0741</v>
      </c>
      <c r="G2325" t="n">
        <v>0.1282</v>
      </c>
      <c r="H2325" t="inlineStr">
        <is>
          <t>The provided code defines an interface called `IOSupplier` which has one method named `get()` that returns a value of type `T`. This interface is annotated with `@FunctionalInterface`, indicating that it represents a functional programming concept. The interface also includes some documentation comments explaining its purpose and the expected behavior of the `get()` method.
The `get()` method throws an</t>
        </is>
      </c>
      <c r="I2325" t="n">
        <v>0.0037</v>
      </c>
      <c r="J2325" t="n">
        <v>0.09089999999999999</v>
      </c>
      <c r="K2325" t="n">
        <v>0.1154</v>
      </c>
      <c r="L2325" t="inlineStr">
        <is>
          <t>The `IOSupplier` class provides a functional interface for supplying values that can potentially throw an `IOException`. It has one method named `get()` that returns the supplied value.</t>
        </is>
      </c>
      <c r="M2325" t="n">
        <v>0</v>
      </c>
      <c r="N2325" t="n">
        <v>0.0571</v>
      </c>
      <c r="O2325" t="n">
        <v>0.0505</v>
      </c>
    </row>
    <row r="2326">
      <c r="A2326" t="inlineStr">
        <is>
          <t>springboot</t>
        </is>
      </c>
      <c r="B2326" t="inlineStr">
        <is>
          <t>buildpack/spring-boot-buildpack-platform/src/main/java/org/springframework/boot/buildpack/platform/io/Owner.java</t>
        </is>
      </c>
      <c r="C2326">
        <f>HYPERLINK("https://github.com/spring-projects/spring-boot/blob/master/buildpack/spring-boot-buildpack-platform/src/main/java/org/springframework/boot/buildpack/platform/io/Owner.java")</f>
        <v/>
      </c>
      <c r="D2326" t="inlineStr">
        <is>
          <t>The `Owner` class represents a user and group ID that can be used to indicate file ownership. It provides methods for getting the user and group identifiers (UIDs), as well as a static constant `ROOT` representing root ownership.</t>
        </is>
      </c>
      <c r="E2326" t="n">
        <v>0.0049</v>
      </c>
      <c r="F2326" t="n">
        <v>0.0435</v>
      </c>
      <c r="G2326" t="n">
        <v>0.09089999999999999</v>
      </c>
      <c r="H2326" t="inlineStr">
        <is>
          <t>This Java class represents a user and group ID that can be used to indicate file ownership. It has several methods, including `getUserId()`, which returns the user identifier (UID), and `getGroupId()`, which returns the group identifier (GID). The class also defines a constant called `ROOT`, which represents the root user and group IDs.</t>
        </is>
      </c>
      <c r="I2326" t="n">
        <v>0.0041</v>
      </c>
      <c r="J2326" t="n">
        <v>0.06560000000000001</v>
      </c>
      <c r="K2326" t="n">
        <v>0.12</v>
      </c>
      <c r="L2326" t="inlineStr">
        <is>
          <t>The `Owner` interface defines a user and group ID that can be used to indicate file ownership in Spring Boot's buildpack platform. It provides methods for accessing the user and group IDs, as well as a constant for root ownership.</t>
        </is>
      </c>
      <c r="M2326" t="n">
        <v>0.0046</v>
      </c>
      <c r="N2326" t="n">
        <v>0.0408</v>
      </c>
      <c r="O2326" t="n">
        <v>0.0893</v>
      </c>
    </row>
    <row r="2327">
      <c r="A2327" t="inlineStr">
        <is>
          <t>springboot</t>
        </is>
      </c>
      <c r="B2327" t="inlineStr">
        <is>
          <t>buildpack/spring-boot-buildpack-platform/src/main/java/org/springframework/boot/buildpack/platform/io/IOBiConsumer.java</t>
        </is>
      </c>
      <c r="C2327">
        <f>HYPERLINK("https://github.com/spring-projects/spring-boot/blob/master/buildpack/spring-boot-buildpack-platform/src/main/java/org/springframework/boot/buildpack/platform/io/IOBiConsumer.java")</f>
        <v/>
      </c>
      <c r="D2327" t="inlineStr">
        <is>
          <t>The `IOBiConsumer` interface defines a functional interface that takes two input parameters of types T and U, performs some operation using them, and returns no result. It extends the `java.util.function.BiConsumer` interface and adds the ability to throw an `IOException`. This allows for more flexible exception handling when working with I/O operations.</t>
        </is>
      </c>
      <c r="E2327" t="n">
        <v>0.0043</v>
      </c>
      <c r="F2327" t="n">
        <v>0.0635</v>
      </c>
      <c r="G2327" t="n">
        <v>0.122</v>
      </c>
      <c r="H2327" t="inlineStr">
        <is>
          <t>This is a Java class named `IOBiConsumer` that implements the `java.util.function.BiConsumer` functional interface. It takes two generic parameters, `T` and `U`, which represent the types of the input values that will be passed to the consumer when it is invoked. The class has one method, `accept()`, which accepts two arguments of type `T</t>
        </is>
      </c>
      <c r="I2327" t="n">
        <v>0.0045</v>
      </c>
      <c r="J2327" t="n">
        <v>0.125</v>
      </c>
      <c r="K2327" t="n">
        <v>0.16</v>
      </c>
      <c r="L2327" t="inlineStr">
        <is>
          <t>The provided code defines an interface called `IOBiConsumer` which takes two generic parameters `T` and `U`. It has one method named `accept` that accepts two arguments of type `T` and `U`, respectively. The method throws an exception if any I/O error occurs during execution. The class is annotated with `@FunctionalInterface` and has a JavaDoc</t>
        </is>
      </c>
      <c r="M2327" t="n">
        <v>0.0034</v>
      </c>
      <c r="N2327" t="n">
        <v>0.0317</v>
      </c>
      <c r="O2327" t="n">
        <v>0.0397</v>
      </c>
    </row>
    <row r="2328">
      <c r="A2328" t="inlineStr">
        <is>
          <t>springboot</t>
        </is>
      </c>
      <c r="B2328" t="inlineStr">
        <is>
          <t>buildpack/spring-boot-buildpack-platform/src/main/java/org/springframework/boot/buildpack/platform/io/FilePermissions.java</t>
        </is>
      </c>
      <c r="C2328">
        <f>HYPERLINK("https://github.com/spring-projects/spring-boot/blob/master/buildpack/spring-boot-buildpack-platform/src/main/java/org/springframework/boot/buildpack/platform/io/FilePermissions.java")</f>
        <v/>
      </c>
      <c r="D2328" t="inlineStr">
        <is>
          <t>The provided code defines a utility class named `Permissions` that provides methods for working with file permissions. It has several static methods that perform various operations related to file permissions, such as setting permissions, checking if a user has permission to access a file, and getting the current permissions of a file.
The `setOwnerReadOnly` method takes a path object as input and sets the</t>
        </is>
      </c>
      <c r="E2328" t="n">
        <v>0.0028</v>
      </c>
      <c r="F2328" t="n">
        <v>0.0278</v>
      </c>
      <c r="G2328" t="n">
        <v>0.0735</v>
      </c>
      <c r="H2328" t="inlineStr">
        <is>
          <t>This code defines a utility class called `Permissions` that provides methods for working with file permissions. The class has several methods, including `setExecutable`, which sets the executable flag on a given file, and `getExecutable`, which returns whether a file is executable. Additionally, there are methods for setting and getting the owner and group IDs, as well as for setting and getting the</t>
        </is>
      </c>
      <c r="I2328" t="n">
        <v>0.0035</v>
      </c>
      <c r="J2328" t="n">
        <v>0.0571</v>
      </c>
      <c r="K2328" t="n">
        <v>0.1119</v>
      </c>
      <c r="L2328" t="inlineStr">
        <is>
          <t>The provided code defines a utility class for working with file permissions in Spring Boot applications. It provides methods for setting and getting Posix file permissions, as well as a method for recursively applying permissions to directories. Additionally, it includes comments that provide context about the code's purpose and usage.</t>
        </is>
      </c>
      <c r="M2328" t="n">
        <v>0.0037</v>
      </c>
      <c r="N2328" t="n">
        <v>0.0339</v>
      </c>
      <c r="O2328" t="n">
        <v>0.082</v>
      </c>
    </row>
    <row r="2329">
      <c r="A2329" t="inlineStr">
        <is>
          <t>springboot</t>
        </is>
      </c>
      <c r="B2329" t="inlineStr">
        <is>
          <t>buildpack/spring-boot-buildpack-platform/src/main/java/org/springframework/boot/buildpack/platform/io/Content.java</t>
        </is>
      </c>
      <c r="C2329">
        <f>HYPERLINK("https://github.com/spring-projects/spring-boot/blob/master/buildpack/spring-boot-buildpack-platform/src/main/java/org/springframework/boot/buildpack/platform/io/Content.java")</f>
        <v/>
      </c>
      <c r="D2329" t="inlineStr">
        <is>
          <t>This Java class implements various methods for reading and writing files and streams. It uses Spring's `FileCopyUtils` class to perform file copying operations. The class has several methods that take input parameters such as file paths, stream objects, and byte arrays. These methods include:
* `copy`: Copies a file from one location to another.
* `copyTo`: Cop</t>
        </is>
      </c>
      <c r="E2329" t="n">
        <v>0.0042</v>
      </c>
      <c r="F2329" t="n">
        <v>0.09379999999999999</v>
      </c>
      <c r="G2329" t="n">
        <v>0.155</v>
      </c>
      <c r="H2329" t="inlineStr">
        <is>
          <t>This Java package `org.springframework.boot.buildpack.platform.io` provides classes for working with input and output streams. The main class `Resource` represents a resource that can be read from or written to, and it has methods for reading and writing data to these resources. The `Resource` class also includes a constructor that takes a string path as its argument, which allows users</t>
        </is>
      </c>
      <c r="I2329" t="n">
        <v>0.0037</v>
      </c>
      <c r="J2329" t="n">
        <v>0.0563</v>
      </c>
      <c r="K2329" t="n">
        <v>0.1154</v>
      </c>
      <c r="L2329" t="inlineStr">
        <is>
          <t>The provided code defines a class called `TarArchiveEntry` that represents a single entry within a tar archive. It provides methods for reading and writing entries from/to an input stream, as well as methods for accessing metadata about each entry such as its name, size, and modification time.</t>
        </is>
      </c>
      <c r="M2329" t="n">
        <v>0.0039</v>
      </c>
      <c r="N2329" t="n">
        <v>0.0357</v>
      </c>
      <c r="O2329" t="n">
        <v>0.042</v>
      </c>
    </row>
    <row r="2330">
      <c r="A2330" t="inlineStr">
        <is>
          <t>springboot</t>
        </is>
      </c>
      <c r="B2330" t="inlineStr">
        <is>
          <t>buildpack/spring-boot-buildpack-platform/src/main/java/org/springframework/boot/buildpack/platform/io/ZipFileTarArchive.java</t>
        </is>
      </c>
      <c r="C2330">
        <f>HYPERLINK("https://github.com/spring-projects/spring-boot/blob/master/buildpack/spring-boot-buildpack-platform/src/main/java/org/springframework/boot/buildpack/platform/io/ZipFileTarArchive.java")</f>
        <v/>
      </c>
      <c r="D2330" t="inlineStr">
        <is>
          <t>The provided code appears to be a Java implementation of a tar archive writer using the `TarArchiveOutputStream` class from the Apache Commons Compress library. It allows users to create a new tar archive and add files to it, as well as extract existing archives. The main method takes two arguments: a path to a directory containing the files to be added to the archive, and a</t>
        </is>
      </c>
      <c r="E2330" t="n">
        <v>0.0028</v>
      </c>
      <c r="F2330" t="n">
        <v>0.0541</v>
      </c>
      <c r="G2330" t="n">
        <v>0.1087</v>
      </c>
      <c r="H2330" t="inlineStr">
        <is>
          <t>This code appears to be part of a Java library that provides classes and methods for working with files and streams in a tar archive format. The `TarArchiveEntry` class represents a single entry in a tar archive, while the `TarArchiveOutputStream` class allows for creating and writing tar archives. The `TarInputSteam` class can be used to read from</t>
        </is>
      </c>
      <c r="I2330" t="n">
        <v>0.0038</v>
      </c>
      <c r="J2330" t="n">
        <v>0.0615</v>
      </c>
      <c r="K2330" t="n">
        <v>0.1163</v>
      </c>
      <c r="L2330" t="inlineStr">
        <is>
          <t>The provided code creates a tar archive using the Apache Commons Compress library. It takes two arguments: a directory path and a tar output stream. The method iterates over all files in the specified directory and adds them to the tar archive, using the TarArchiveEntry class from the same library. The resulting tar archive can be used as input for other processes that require a tar format.</t>
        </is>
      </c>
      <c r="M2330" t="n">
        <v>0.0027</v>
      </c>
      <c r="N2330" t="n">
        <v>0.0267</v>
      </c>
      <c r="O2330" t="n">
        <v>0.07190000000000001</v>
      </c>
    </row>
    <row r="2331">
      <c r="A2331" t="inlineStr">
        <is>
          <t>springboot</t>
        </is>
      </c>
      <c r="B2331" t="inlineStr">
        <is>
          <t>buildpack/spring-boot-buildpack-platform/src/main/java/org/springframework/boot/buildpack/platform/io/IOConsumer.java</t>
        </is>
      </c>
      <c r="C2331">
        <f>HYPERLINK("https://github.com/spring-projects/spring-boot/blob/master/buildpack/spring-boot-buildpack-platform/src/main/java/org/springframework/boot/buildpack/platform/io/IOConsumer.java")</f>
        <v/>
      </c>
      <c r="D2331" t="inlineStr">
        <is>
          <t>This code defines an `IOConsumer` functional interface in Java, which represents a consumer that can safely throw `IOException`s. The interface has one method called `accept`, which takes an object of type `T` as input and performs some operation on it. The implementation of this interface is expected to be thread-safe.</t>
        </is>
      </c>
      <c r="E2331" t="n">
        <v>0.0044</v>
      </c>
      <c r="F2331" t="n">
        <v>0.1</v>
      </c>
      <c r="G2331" t="n">
        <v>0.1639</v>
      </c>
      <c r="H2331" t="inlineStr">
        <is>
          <t>This code defines an `IOConsumer` functional interface that takes a generic parameter `T` and throws an `IOException`. The implementation of the `accept` method performs some operation on the given argument `t`, which could potentially result in an I/O exception being thrown.</t>
        </is>
      </c>
      <c r="I2331" t="n">
        <v>0.0054</v>
      </c>
      <c r="J2331" t="n">
        <v>0.12</v>
      </c>
      <c r="K2331" t="n">
        <v>0.177</v>
      </c>
      <c r="L2331" t="inlineStr">
        <is>
          <t>The code defines an interface named `IOConsumer` that represents a consumer that can safely throw `IOException`s. It takes one generic parameter named `T`. The interface has only one method named `accept`, which accepts an object of type `T` as input and throws an `IOException` if something goes wrong.</t>
        </is>
      </c>
      <c r="M2331" t="n">
        <v>0.0038</v>
      </c>
      <c r="N2331" t="n">
        <v>0.0351</v>
      </c>
      <c r="O2331" t="n">
        <v>0.0417</v>
      </c>
    </row>
    <row r="2332">
      <c r="A2332" t="inlineStr">
        <is>
          <t>springboot</t>
        </is>
      </c>
      <c r="B2332" t="inlineStr">
        <is>
          <t>buildpack/spring-boot-buildpack-platform/src/main/java/org/springframework/boot/buildpack/platform/io/Layout.java</t>
        </is>
      </c>
      <c r="C2332">
        <f>HYPERLINK("https://github.com/spring-projects/spring-boot/blob/master/buildpack/spring-boot-buildpack-platform/src/main/java/org/springframework/boot/buildpack/platform/io/Layout.java")</f>
        <v/>
      </c>
      <c r="D2332" t="inlineStr">
        <is>
          <t>The `Layout` interface defines a method called `addDirectory` which takes two parameters: `name` and `owner`. It represents a way to write a file/directory layout. The implementation of this interface is responsible for adding directories to the content.</t>
        </is>
      </c>
      <c r="E2332" t="n">
        <v>0.005</v>
      </c>
      <c r="F2332" t="n">
        <v>0.0435</v>
      </c>
      <c r="G2332" t="n">
        <v>0.1376</v>
      </c>
      <c r="H2332" t="inlineStr">
        <is>
          <t>This Java class defines an interface called `Layout` which represents a file system layout. It has one method called `addDirectory`, which takes a string parameter named `name` representing the full path of the directory to add and another parameter named `owner` representing the owner of the directory. The method does not have any return type specified, but it is expected to modify the state of the object</t>
        </is>
      </c>
      <c r="I2332" t="n">
        <v>0.0032</v>
      </c>
      <c r="J2332" t="n">
        <v>0.0533</v>
      </c>
      <c r="K2332" t="n">
        <v>0.07190000000000001</v>
      </c>
      <c r="L2332" t="inlineStr">
        <is>
          <t>The `Layout` class provides an interface for creating a file/directory layout using the `addDirectory()` method. It takes two parameters: the first is the full name of the directory to add, and the second is the owner of the directory.</t>
        </is>
      </c>
      <c r="M2332" t="n">
        <v>0.0047</v>
      </c>
      <c r="N2332" t="n">
        <v>0.0417</v>
      </c>
      <c r="O2332" t="n">
        <v>0.0901</v>
      </c>
    </row>
    <row r="2333">
      <c r="A2333" t="inlineStr">
        <is>
          <t>springboot</t>
        </is>
      </c>
      <c r="B2333" t="inlineStr">
        <is>
          <t>buildpack/spring-boot-buildpack-platform/src/main/java/org/springframework/boot/buildpack/platform/io/TarLayoutWriter.java</t>
        </is>
      </c>
      <c r="C2333">
        <f>HYPERLINK("https://github.com/spring-projects/spring-boot/blob/master/buildpack/spring-boot-buildpack-platform/src/main/java/org/springframework/boot/buildpack/platform/io/TarLayoutWriter.java")</f>
        <v/>
      </c>
      <c r="D2333" t="inlineStr">
        <is>
          <t>This Java class implements the `Closeable` interface and provides methods for creating and manipulating tar archives using the `Apache Commons Compress` library. The class has several constructors that allow it to be initialized with different types of output streams, such as `FileOutputStream`, `ByteArrayOutputStream`, or `GZIPOutputStream`. It also has methods for adding entries to the archive</t>
        </is>
      </c>
      <c r="E2333" t="n">
        <v>0.0044</v>
      </c>
      <c r="F2333" t="n">
        <v>0.09520000000000001</v>
      </c>
      <c r="G2333" t="n">
        <v>0.1575</v>
      </c>
      <c r="H2333" t="inlineStr">
        <is>
          <t>This code appears to be part of a Java project that uses the Spring Boot buildpack platform and Apache Commons Compress libraries. The code defines a class called `TarArchiver` that implements the `Closeable` interface and has a single method named `addFile()` that takes a file path as input and adds it to a tar archive using the `TarArchiveOutputStream` class</t>
        </is>
      </c>
      <c r="I2333" t="n">
        <v>0.0041</v>
      </c>
      <c r="J2333" t="n">
        <v>0.0896</v>
      </c>
      <c r="K2333" t="n">
        <v>0.1527</v>
      </c>
      <c r="L2333" t="inlineStr">
        <is>
          <t>The code defines a class named `TarArchiveEntryWriter` that implements the `Closeable` interface and provides methods for writing tar archive entries to an output stream. It uses the `Apache Commons Compress` library's `TarArchiveOutputStream` class to perform the actual archiving. The class takes an instance of `TarArchiveOutputStream` as a constructor</t>
        </is>
      </c>
      <c r="M2333" t="n">
        <v>0.0045</v>
      </c>
      <c r="N2333" t="n">
        <v>0.0702</v>
      </c>
      <c r="O2333" t="n">
        <v>0.125</v>
      </c>
    </row>
    <row r="2334">
      <c r="A2334" t="inlineStr">
        <is>
          <t>springboot</t>
        </is>
      </c>
      <c r="B2334" t="inlineStr">
        <is>
          <t>buildpack/spring-boot-buildpack-platform/src/main/java/org/springframework/boot/buildpack/platform/io/DefaultOwner.java</t>
        </is>
      </c>
      <c r="C2334">
        <f>HYPERLINK("https://github.com/spring-projects/spring-boot/blob/master/buildpack/spring-boot-buildpack-platform/src/main/java/org/springframework/boot/buildpack/platform/io/DefaultOwner.java")</f>
        <v/>
      </c>
      <c r="D2334" t="inlineStr">
        <is>
          <t>The `DefaultOwner` class represents a default owner of a resource, which consists of two identifiers: user ID (`uid`) and group ID (`gid`). It provides methods for accessing these IDs and implements the `Owner` interface. The constructor takes two `long` arguments representing the user and group IDs, respectively. The `getUid()` method returns the user ID, while the</t>
        </is>
      </c>
      <c r="E2334" t="n">
        <v>0.0039</v>
      </c>
      <c r="F2334" t="n">
        <v>0.0625</v>
      </c>
      <c r="G2334" t="n">
        <v>0.0781</v>
      </c>
      <c r="H2334" t="inlineStr">
        <is>
          <t>This code defines a Java class called `DefaultOwner` that implements the `Owner` interface. The `DefaultOwner` class has two fields: `uid` and `gid`, which represent the user ID and group ID respectively. It also has one constructor that takes two long arguments representing these IDs. Additionally, it has two methods: `getUid()` and `getGid()`,</t>
        </is>
      </c>
      <c r="I2334" t="n">
        <v>0.0046</v>
      </c>
      <c r="J2334" t="n">
        <v>0.1</v>
      </c>
      <c r="K2334" t="n">
        <v>0.121</v>
      </c>
      <c r="L2334" t="inlineStr">
        <is>
          <t>The `DefaultOwner` class provides an implementation of the `Owner` interface, which represents the ownership of a resource. It takes two long values as constructor arguments, representing the user ID (UID) and group ID (GID), respectively. The class has one method, `getUid()`, which returns the UID value.</t>
        </is>
      </c>
      <c r="M2334" t="n">
        <v>0.004</v>
      </c>
      <c r="N2334" t="n">
        <v>0.0741</v>
      </c>
      <c r="O2334" t="n">
        <v>0.0847</v>
      </c>
    </row>
    <row r="2335">
      <c r="A2335" t="inlineStr">
        <is>
          <t>springboot</t>
        </is>
      </c>
      <c r="B2335" t="inlineStr">
        <is>
          <t>buildpack/spring-boot-buildpack-platform/src/main/java/org/springframework/boot/buildpack/platform/system/package-info.java</t>
        </is>
      </c>
      <c r="C2335">
        <f>HYPERLINK("https://github.com/spring-projects/spring-boot/blob/master/buildpack/spring-boot-buildpack-platform/src/main/java/org/springframework/boot/buildpack/platform/system/package-info.java")</f>
        <v/>
      </c>
      <c r="D2335" t="inlineStr">
        <is>
          <t>This code defines a package called `org.springframework.boot.buildpack.platform.system` that provides system abstractions for the Spring Boot Buildpack Platform. The package is annotated with `@NullMarked`, which indicates that it uses nullable references.
The package includes several classes, including `SystemAbstractionLayer`, `EnvironmentVariableAccessor`, and `FileMetadataReader</t>
        </is>
      </c>
      <c r="E2335" t="n">
        <v>0.0055</v>
      </c>
      <c r="F2335" t="n">
        <v>0.0755</v>
      </c>
      <c r="G2335" t="n">
        <v>0.1339</v>
      </c>
      <c r="H2335" t="inlineStr">
        <is>
          <t>This code defines a package called `org.springframework.boot.buildpack.platform.system` that provides system abstractions for building and running applications. The package is annotated with `@NullMarked`, indicating that it uses nullable references. It also includes documentation comments that explain its purpose and provide information about the complexity and commits. Finally, the code size is reported as 77</t>
        </is>
      </c>
      <c r="I2335" t="n">
        <v>0.0041</v>
      </c>
      <c r="J2335" t="n">
        <v>0.0606</v>
      </c>
      <c r="K2335" t="n">
        <v>0.12</v>
      </c>
      <c r="L2335" t="inlineStr">
        <is>
          <t>The code defines a package named `org.springframework.boot.buildpack.platform.system` that provides system abstractions for Spring Boot buildpack platform. It uses the `@NullMarked` annotation from JSpecify library to indicate nullable return types. The package includes several classes and interfaces related to system operations such as reading environment variables, executing commands, and parsing command output.</t>
        </is>
      </c>
      <c r="M2335" t="n">
        <v>0.0036</v>
      </c>
      <c r="N2335" t="n">
        <v>0.0312</v>
      </c>
      <c r="O2335" t="n">
        <v>0.0813</v>
      </c>
    </row>
    <row r="2336">
      <c r="A2336" t="inlineStr">
        <is>
          <t>springboot</t>
        </is>
      </c>
      <c r="B2336" t="inlineStr">
        <is>
          <t>buildpack/spring-boot-buildpack-platform/src/main/java/org/springframework/boot/buildpack/platform/system/Environment.java</t>
        </is>
      </c>
      <c r="C2336">
        <f>HYPERLINK("https://github.com/spring-projects/spring-boot/blob/master/buildpack/spring-boot-buildpack-platform/src/main/java/org/springframework/boot/buildpack/platform/system/Environment.java")</f>
        <v/>
      </c>
      <c r="D2336" t="inlineStr">
        <is>
          <t>The `Environment` interface provides access to environment variable values. It is implemented as a functional interface and has one method, `getValue`, which returns the value of an environment variable given its name. The method can return null if the variable does not exist or if it cannot be read.</t>
        </is>
      </c>
      <c r="E2336" t="n">
        <v>0.0037</v>
      </c>
      <c r="F2336" t="n">
        <v>0.1053</v>
      </c>
      <c r="G2336" t="n">
        <v>0.124</v>
      </c>
      <c r="H2336" t="inlineStr">
        <is>
          <t>This Java class implements the `Environment` functional interface, which provides access to environment variables. It defines a single method called `getValue`, which takes a string parameter representing the name of an environment variable and returns its value as a string. The class also includes some annotations and documentation, including a comment block that describes the purpose of the class and the `@Nullable` annotation, which indicates that the</t>
        </is>
      </c>
      <c r="I2336" t="n">
        <v>0.0036</v>
      </c>
      <c r="J2336" t="n">
        <v>0.1067</v>
      </c>
      <c r="K2336" t="n">
        <v>0.1439</v>
      </c>
      <c r="L2336" t="inlineStr">
        <is>
          <t>The `Environment` class provides a functional interface for accessing environment variables. It allows developers to retrieve environment variable values using a simple API. The class is annotated with `@FunctionalInterface`, which means that only one method can be implemented. The method returns a nullable string value based on the specified environment variable name.</t>
        </is>
      </c>
      <c r="M2336" t="n">
        <v>0</v>
      </c>
      <c r="N2336" t="n">
        <v>0.0333</v>
      </c>
      <c r="O2336" t="n">
        <v>0.0403</v>
      </c>
    </row>
    <row r="2337">
      <c r="A2337" t="inlineStr">
        <is>
          <t>springboot</t>
        </is>
      </c>
      <c r="B2337" t="inlineStr">
        <is>
          <t>buildpack/spring-boot-buildpack-platform/src/main/java/org/springframework/boot/buildpack/platform/build/BuildpackResolver.java</t>
        </is>
      </c>
      <c r="C2337">
        <f>HYPERLINK("https://github.com/spring-projects/spring-boot/blob/master/buildpack/spring-boot-buildpack-platform/src/main/java/org/springframework/boot/buildpack/platform/build/BuildpackResolver.java")</f>
        <v/>
      </c>
      <c r="D2337" t="inlineStr">
        <is>
          <t>The `BuildpackResolver` interface defines a strategy for resolving a `BuildpackReference` object to a `Buildpack` object. It is part of the Spring Boot buildpack platform project.
The `BuildpackReference` class represents a reference to a buildpack, which can be specified as a string identifier or a URL. The `BuildpackResolver` interface provides methods for</t>
        </is>
      </c>
      <c r="E2337" t="n">
        <v>0</v>
      </c>
      <c r="F2337" t="n">
        <v>0</v>
      </c>
      <c r="G2337" t="n">
        <v>0.0407</v>
      </c>
      <c r="H2337" t="inlineStr">
        <is>
          <t>This repository contains backend software components that implement various algorithms related to building and resolving buildpack references. The `BuildpackResolver` interface defines a strategy for resolving a `BuildpackReference` to a `Buildpack`. There are several implementations of this interface available in the `BuildpackResolvers` class, including `DefaultBuildpackResolver`, which uses a default set of buildpacks</t>
        </is>
      </c>
      <c r="I2337" t="n">
        <v>0.0047</v>
      </c>
      <c r="J2337" t="n">
        <v>0.1356</v>
      </c>
      <c r="K2337" t="n">
        <v>0.2033</v>
      </c>
      <c r="L2337" t="inlineStr">
        <is>
          <t>The provided code defines an interface called `BuildpackResolver` that is used to resolve a `BuildpackReference` to a `Buildpack`. It is part of the Spring Boot buildpack platform project. The interface has one method, `resolve`, which takes a `BuildpackReference` as input and returns a `Buildpack` object if successful, or null otherwise. The class is annot</t>
        </is>
      </c>
      <c r="M2337" t="n">
        <v>0.0034</v>
      </c>
      <c r="N2337" t="n">
        <v>0.0323</v>
      </c>
      <c r="O2337" t="n">
        <v>0.0794</v>
      </c>
    </row>
    <row r="2338">
      <c r="A2338" t="inlineStr">
        <is>
          <t>springboot</t>
        </is>
      </c>
      <c r="B2338" t="inlineStr">
        <is>
          <t>buildpack/spring-boot-buildpack-platform/src/main/java/org/springframework/boot/buildpack/platform/build/BuildLog.java</t>
        </is>
      </c>
      <c r="C2338">
        <f>HYPERLINK("https://github.com/spring-projects/spring-boot/blob/master/buildpack/spring-boot-buildpack-platform/src/main/java/org/springframework/boot/buildpack/platform/build/BuildLog.java")</f>
        <v/>
      </c>
      <c r="D2338" t="inlineStr">
        <is>
          <t>The provided Java code defines a class named `Build` that represents a build process for a platform image using Spring Boot Buildpacks. It has several methods for building images, including `build`, `buildAndPush`, and `buildAndPublish`. These methods take various parameters such as the source directory, the target registry, and the target tag. They also have callback functions for handling log</t>
        </is>
      </c>
      <c r="E2338" t="n">
        <v>0.0031</v>
      </c>
      <c r="F2338" t="n">
        <v>0.0299</v>
      </c>
      <c r="G2338" t="n">
        <v>0.07630000000000001</v>
      </c>
      <c r="H2338" t="inlineStr">
        <is>
          <t>This code appears to be part of a Java project that uses Spring Boot buildpack platform to build Docker images. The code defines several classes and methods related to building Docker images using the Spring Boot buildpack platform.
The `Build` class is responsible for building Docker images using the Spring Boot buildpack platform. It takes in a `Builder` object as a parameter and calls its `build</t>
        </is>
      </c>
      <c r="I2338" t="n">
        <v>0.0033</v>
      </c>
      <c r="J2338" t="n">
        <v>0.0541</v>
      </c>
      <c r="K2338" t="n">
        <v>0.1087</v>
      </c>
      <c r="L2338" t="inlineStr">
        <is>
          <t>The provided code defines a class named `Build` that builds Docker images using the Spring Boot Buildpack platform. It takes two parameters: `imageName` and `builder`, which represent the name of the image to be built and the builder used to perform the build, respectively.
The `Build` class has several methods that handle different aspects of the build process, including building the image</t>
        </is>
      </c>
      <c r="M2338" t="n">
        <v>0.0029</v>
      </c>
      <c r="N2338" t="n">
        <v>0.0286</v>
      </c>
      <c r="O2338" t="n">
        <v>0.0746</v>
      </c>
    </row>
    <row r="2339">
      <c r="A2339" t="inlineStr">
        <is>
          <t>springboot</t>
        </is>
      </c>
      <c r="B2339" t="inlineStr">
        <is>
          <t>buildpack/spring-boot-buildpack-platform/src/main/java/org/springframework/boot/buildpack/platform/build/BuildpackReference.java</t>
        </is>
      </c>
      <c r="C2339">
        <f>HYPERLINK("https://github.com/spring-projects/spring-boot/blob/master/buildpack/spring-boot-buildpack-platform/src/main/java/org/springframework/boot/buildpack/platform/build/BuildpackReference.java")</f>
        <v/>
      </c>
      <c r="D2339" t="inlineStr">
        <is>
          <t>The `Buildpack` class represents an opaque reference to a buildpack. It provides methods for creating a URL from a string representation of a buildpack ID and version, as well as methods for resolving the location of a buildpack's metadata directory. Additionally, it includes a method for checking if two instances of `Buildpack` represent the same buildpack.</t>
        </is>
      </c>
      <c r="E2339" t="n">
        <v>0.0033</v>
      </c>
      <c r="F2339" t="n">
        <v>0.0308</v>
      </c>
      <c r="G2339" t="n">
        <v>0.0391</v>
      </c>
      <c r="H2339" t="inlineStr">
        <is>
          <t>This Java class represents an opaque reference to a buildpack, which is a component used in building container images using Cloud Native Buildpacks. The class has several methods that perform various operations related to buildpacks, such as parsing URLs, validating paths, and creating instances of the `Buildpack` interface. It also includes annotations from the JSpecify library, which provides nullability</t>
        </is>
      </c>
      <c r="I2339" t="n">
        <v>0.0037</v>
      </c>
      <c r="J2339" t="n">
        <v>0.0597</v>
      </c>
      <c r="K2339" t="n">
        <v>0.1145</v>
      </c>
      <c r="L2339" t="inlineStr">
        <is>
          <t>The provided code defines a class named `Buildpack` that represents an opaque reference to a buildpack. It has several methods that allow manipulating the buildpack's metadata, such as retrieving its name and version, and setting its URI. The class also provides a constructor that takes a URL string and parses it into a `Buildpack` object.</t>
        </is>
      </c>
      <c r="M2339" t="n">
        <v>0.0033</v>
      </c>
      <c r="N2339" t="n">
        <v>0.0312</v>
      </c>
      <c r="O2339" t="n">
        <v>0.0394</v>
      </c>
    </row>
    <row r="2340">
      <c r="A2340" t="inlineStr">
        <is>
          <t>springboot</t>
        </is>
      </c>
      <c r="B2340" t="inlineStr">
        <is>
          <t>buildpack/spring-boot-buildpack-platform/src/main/java/org/springframework/boot/buildpack/platform/build/BuildpackResolverContext.java</t>
        </is>
      </c>
      <c r="C2340">
        <f>HYPERLINK("https://github.com/spring-projects/spring-boot/blob/master/buildpack/spring-boot-buildpack-platform/src/main/java/org/springframework/boot/buildpack/platform/build/BuildpackResolverContext.java")</f>
        <v/>
      </c>
      <c r="D2340" t="inlineStr">
        <is>
          <t>The provided code defines a class named `Build` that represents a build process for a container image using the Buildpacks platform. It has several methods, including:
* `run`: Runs the build process, which involves creating a new Docker image from a set of source files.
* `getBuilderImage`: Returns the builder image used during the build process.
* `</t>
        </is>
      </c>
      <c r="E2340" t="n">
        <v>0</v>
      </c>
      <c r="F2340" t="n">
        <v>0</v>
      </c>
      <c r="G2340" t="n">
        <v>0.0385</v>
      </c>
      <c r="H2340" t="inlineStr">
        <is>
          <t>This code defines a Java package named `org.springframework.boot.buildpack.platform.build` that provides classes and methods related to building Docker images using Spring Boot buildpacks. The package includes several classes, including `Builder`, `BuildItem`, and `Docker`. These classes provide various functionalities such as copying files between directories, creating new Docker images from existing ones, and</t>
        </is>
      </c>
      <c r="I2340" t="n">
        <v>0.0043</v>
      </c>
      <c r="J2340" t="n">
        <v>0.09379999999999999</v>
      </c>
      <c r="K2340" t="n">
        <v>0.122</v>
      </c>
      <c r="L2340" t="inlineStr">
        <is>
          <t>The provided code defines a class that represents a build process for a Spring Boot application using the Buildpack Platform API. It takes in input parameters such as the image reference, builder name, and list of layers, and then uses those values to create a new Docker image. The method `create` is responsible for creating the actual image, while `writeLayer` is used to write each layer to</t>
        </is>
      </c>
      <c r="M2340" t="n">
        <v>0.0027</v>
      </c>
      <c r="N2340" t="n">
        <v>0.0267</v>
      </c>
      <c r="O2340" t="n">
        <v>0.07190000000000001</v>
      </c>
    </row>
    <row r="2341">
      <c r="A2341" t="inlineStr">
        <is>
          <t>springboot</t>
        </is>
      </c>
      <c r="B2341" t="inlineStr">
        <is>
          <t>buildpack/spring-boot-buildpack-platform/src/main/java/org/springframework/boot/buildpack/platform/build/Buildpack.java</t>
        </is>
      </c>
      <c r="C2341">
        <f>HYPERLINK("https://github.com/spring-projects/spring-boot/blob/master/buildpack/spring-boot-buildpack-platform/src/main/java/org/springframework/boot/buildpack/platform/build/Buildpack.java")</f>
        <v/>
      </c>
      <c r="D2341" t="inlineStr">
        <is>
          <t>The provided code defines an interface called `Buildpack` which represents a buildpack that can be used by the builder during image building process. It has one method `apply` which takes two arguments - `layer` and `consumer`. The `layer` argument is a reference to a layer object, while the `consumer` argument is a lambda function that will be applied to the layer</t>
        </is>
      </c>
      <c r="E2341" t="n">
        <v>0.003</v>
      </c>
      <c r="F2341" t="n">
        <v>0.0294</v>
      </c>
      <c r="G2341" t="n">
        <v>0.0752</v>
      </c>
      <c r="H2341" t="inlineStr">
        <is>
          <t>This code defines an interface called `Buildpack` that represents a buildpack used by the Spring Boot buildpack platform. The interface has one method, `apply`, which takes a layer as input and applies it to the current state of the application being built. The apply method also takes an IO consumer as an argument, which allows the buildpack to write output to the console while applying the layer</t>
        </is>
      </c>
      <c r="I2341" t="n">
        <v>0.0032</v>
      </c>
      <c r="J2341" t="n">
        <v>0.0533</v>
      </c>
      <c r="K2341" t="n">
        <v>0.1079</v>
      </c>
      <c r="L2341" t="inlineStr">
        <is>
          <t>The code defines a class named `Buildpack` that represents a buildpack used by the Spring Boot build process. It has three methods:
* `apply`: Applies the buildpack to the given layer using the given consumer.
* `detect`: Detects whether the buildpack can be applied to the given layer.
* `getName`: Returns the name of the</t>
        </is>
      </c>
      <c r="M2341" t="n">
        <v>0</v>
      </c>
      <c r="N2341" t="n">
        <v>0</v>
      </c>
      <c r="O2341" t="n">
        <v>0.0394</v>
      </c>
    </row>
    <row r="2342">
      <c r="A2342" t="inlineStr">
        <is>
          <t>springboot</t>
        </is>
      </c>
      <c r="B2342" t="inlineStr">
        <is>
          <t>buildpack/spring-boot-buildpack-platform/src/main/java/org/springframework/boot/buildpack/platform/build/ImageType.java</t>
        </is>
      </c>
      <c r="C2342">
        <f>HYPERLINK("https://github.com/spring-projects/spring-boot/blob/master/buildpack/spring-boot-buildpack-platform/src/main/java/org/springframework/boot/buildpack/platform/build/ImageType.java")</f>
        <v/>
      </c>
      <c r="D2342" t="inlineStr">
        <is>
          <t>The provided code defines three enum values representing different types of images used in building applications using the Spring Boot buildpack platform. Each value has a description that describes its purpose. The `ImageType` class also includes a constructor that takes a string argument and sets the `description` field based on it.</t>
        </is>
      </c>
      <c r="E2342" t="n">
        <v>0.0036</v>
      </c>
      <c r="F2342" t="n">
        <v>0.0339</v>
      </c>
      <c r="G2342" t="n">
        <v>0.0813</v>
      </c>
      <c r="H2342" t="inlineStr">
        <is>
          <t>This Java enum class defines three different types of images that can be used in the Spring Boot buildpack platform: builder, runner, and buildpack. Each type has a brief description associated with it.</t>
        </is>
      </c>
      <c r="I2342" t="n">
        <v>0.0067</v>
      </c>
      <c r="J2342" t="n">
        <v>0.09760000000000001</v>
      </c>
      <c r="K2342" t="n">
        <v>0.1429</v>
      </c>
      <c r="L2342" t="inlineStr">
        <is>
          <t>The provided code defines an `ImageType` enum that represents different types of images used in the Spring Boot buildpack platform. It includes three values: `BUILDER`, `RUNNER`, and `BUILDPACK`. Each value has a brief description of its intended usage.</t>
        </is>
      </c>
      <c r="M2342" t="n">
        <v>0.0049</v>
      </c>
      <c r="N2342" t="n">
        <v>0.0435</v>
      </c>
      <c r="O2342" t="n">
        <v>0.09089999999999999</v>
      </c>
    </row>
    <row r="2343">
      <c r="A2343" t="inlineStr">
        <is>
          <t>springboot</t>
        </is>
      </c>
      <c r="B2343" t="inlineStr">
        <is>
          <t>buildpack/spring-boot-buildpack-platform/src/main/java/org/springframework/boot/buildpack/platform/build/PrintStreamBuildLog.java</t>
        </is>
      </c>
      <c r="C2343">
        <f>HYPERLINK("https://github.com/spring-projects/spring-boot/blob/master/buildpack/spring-boot-buildpack-platform/src/main/java/org/springframework/boot/buildpack/platform/build/PrintStreamBuildLog.java")</f>
        <v/>
      </c>
      <c r="D2343" t="inlineStr">
        <is>
          <t>The provided code defines a `BuildLog` class that implements the `org.springframework.boot.buildpack.platform.build.BuildLog` interface. It has the following responsibilities:
* Prints build progress information to a specified `PrintStream`.
* Tracks the total progress of the build process using a `TotalProgressBar`.
* Handles `Total</t>
        </is>
      </c>
      <c r="E2343" t="n">
        <v>0.0045</v>
      </c>
      <c r="F2343" t="n">
        <v>0.0385</v>
      </c>
      <c r="G2343" t="n">
        <v>0.0885</v>
      </c>
      <c r="H2343" t="inlineStr">
        <is>
          <t>This code defines a class called `BuildLog` that implements the `Consumer` interface from Java's functional programming library. The `BuildLog` class takes in a `PrintStream` object as its constructor argument and uses it to print out messages related to building Docker images using Spring Boot buildpacks. It also has several methods that allow users to log progress events during the build process</t>
        </is>
      </c>
      <c r="I2343" t="n">
        <v>0.0039</v>
      </c>
      <c r="J2343" t="n">
        <v>0.1143</v>
      </c>
      <c r="K2343" t="n">
        <v>0.1504</v>
      </c>
      <c r="L2343" t="inlineStr">
        <is>
          <t>The provided code defines a class called `BuildLog` that implements the `org.springframework.boot.buildpack.platform.build.BuildLog` interface. It has two constructors, one that takes no arguments and another that takes a `java.lang.String` argument. The class has several methods, including `info`, `warn`, `error`, and `progress`. These</t>
        </is>
      </c>
      <c r="M2343" t="n">
        <v>0.0054</v>
      </c>
      <c r="N2343" t="n">
        <v>0.0702</v>
      </c>
      <c r="O2343" t="n">
        <v>0.0885</v>
      </c>
    </row>
    <row r="2344">
      <c r="A2344" t="inlineStr">
        <is>
          <t>springboot</t>
        </is>
      </c>
      <c r="B2344" t="inlineStr">
        <is>
          <t>buildpack/spring-boot-buildpack-platform/src/main/java/org/springframework/boot/buildpack/platform/build/package-info.java</t>
        </is>
      </c>
      <c r="C2344">
        <f>HYPERLINK("https://github.com/spring-projects/spring-boot/blob/master/buildpack/spring-boot-buildpack-platform/src/main/java/org/springframework/boot/buildpack/platform/build/package-info.java")</f>
        <v/>
      </c>
      <c r="D2344" t="inlineStr">
        <is>
          <t>The `org.springframework.boot.buildpack.platform.build` package provides a central API for building applications using buildpacks. It includes several classes that implement different aspects of the build process, such as the `Builder` class which encapsulates the logic for running the buildpacks, and the `BuildItem` class which represents a single item produced by the build process</t>
        </is>
      </c>
      <c r="E2344" t="n">
        <v>0.0036</v>
      </c>
      <c r="F2344" t="n">
        <v>0.0625</v>
      </c>
      <c r="G2344" t="n">
        <v>0.122</v>
      </c>
      <c r="H2344" t="inlineStr">
        <is>
          <t>This code defines a Java package named `org.springframework.boot.buildpack.platform.build` that provides a central API for building applications using the Spring Boot Buildpack platform. The package includes several classes and interfaces related to the build process, including the `BuildBuilder` class, which is responsible for orchestrating the build process. Additionally, there are various utility classes and interfaces used</t>
        </is>
      </c>
      <c r="I2344" t="n">
        <v>0.004</v>
      </c>
      <c r="J2344" t="n">
        <v>0.0588</v>
      </c>
      <c r="K2344" t="n">
        <v>0.1181</v>
      </c>
      <c r="L2344" t="inlineStr">
        <is>
          <t>The code provides a central API for building applications using the Spring Boot Buildpack platform. It includes a set of classes and methods that facilitate the process of building an application, including the ability to specify input parameters such as the location of the application's source code and any dependencies that need to be included during the build process.</t>
        </is>
      </c>
      <c r="M2344" t="n">
        <v>0.0031</v>
      </c>
      <c r="N2344" t="n">
        <v>0.0294</v>
      </c>
      <c r="O2344" t="n">
        <v>0.07630000000000001</v>
      </c>
    </row>
    <row r="2345">
      <c r="A2345" t="inlineStr">
        <is>
          <t>springboot</t>
        </is>
      </c>
      <c r="B2345" t="inlineStr">
        <is>
          <t>buildpack/spring-boot-buildpack-platform/src/main/java/org/springframework/boot/buildpack/platform/build/BuilderException.java</t>
        </is>
      </c>
      <c r="C2345">
        <f>HYPERLINK("https://github.com/spring-projects/spring-boot/blob/master/buildpack/spring-boot-buildpack-platform/src/main/java/org/springframework/boot/buildpack/platform/build/BuilderException.java")</f>
        <v/>
      </c>
      <c r="D2345" t="inlineStr">
        <is>
          <t>The `BuilderException` class represents an exception that is thrown when there is an issue during the build process. It has two constructors: one that takes no arguments and another that takes a message as its argument. The `operation` field is optional and can be set to any string value. The `s` field is also optional and can be set to any integer value.</t>
        </is>
      </c>
      <c r="E2345" t="n">
        <v>0.0029</v>
      </c>
      <c r="F2345" t="n">
        <v>0.0282</v>
      </c>
      <c r="G2345" t="n">
        <v>0.037</v>
      </c>
      <c r="H2345" t="inlineStr">
        <is>
          <t>This code defines a custom exception called `BuilderException` that is used to represent errors that occur during the execution of a build process implemented using Spring Boot's Buildpack Platform. The exception has three fields:
* `operation`: A string representing the name of the operation that failed.
* `status`: An integer indicating the status code associated with the failure.
* `message</t>
        </is>
      </c>
      <c r="I2345" t="n">
        <v>0.003</v>
      </c>
      <c r="J2345" t="n">
        <v>0.0606</v>
      </c>
      <c r="K2345" t="n">
        <v>0.1136</v>
      </c>
      <c r="L2345" t="inlineStr">
        <is>
          <t>The provided code defines a custom exception called `BuilderException` that is used within the Spring Boot build process. It inherits from the standard Java `RuntimeException` class and provides additional information about the builder operation that failed. The constructor takes two parameters: `operation`, which represents the name of the builder operation that failed, and `cause`, which specifies the underlying cause of the failure</t>
        </is>
      </c>
      <c r="M2345" t="n">
        <v>0.0029</v>
      </c>
      <c r="N2345" t="n">
        <v>0.0286</v>
      </c>
      <c r="O2345" t="n">
        <v>0.0746</v>
      </c>
    </row>
    <row r="2346">
      <c r="A2346" t="inlineStr">
        <is>
          <t>springboot</t>
        </is>
      </c>
      <c r="B2346" t="inlineStr">
        <is>
          <t>buildpack/spring-boot-buildpack-platform/src/main/java/org/springframework/boot/buildpack/platform/build/Lifecycle.java</t>
        </is>
      </c>
      <c r="C2346">
        <f>HYPERLINK("https://github.com/spring-projects/spring-boot/blob/master/buildpack/spring-boot-buildpack-platform/src/main/java/org/springframework/boot/buildpack/platform/build/Lifecycle.java")</f>
        <v/>
      </c>
      <c r="D2346" t="inlineStr">
        <is>
          <t>This Java code defines a class called `Build` that represents a build process for a Spring Boot application. It has several methods that perform different tasks related to building the application, such as copying files, creating directories, and running commands using JNA. The code also includes comments explaining what each method does and how it works. Additionally, there is a README file that provides information about the</t>
        </is>
      </c>
      <c r="E2346" t="n">
        <v>0.0032</v>
      </c>
      <c r="F2346" t="n">
        <v>0.0533</v>
      </c>
      <c r="G2346" t="n">
        <v>0.1079</v>
      </c>
      <c r="H2346" t="inlineStr">
        <is>
          <t>This Java package `org.springframework.boot.buildpack.platform.build` provides a set of classes that implement various build tools used in the Spring Boot project. The main class `Build` implements the `Build` interface and provides methods for building applications using different buildpacks. It also includes a `Builder` class that provides a fluent API for configuring builds. Additionally,</t>
        </is>
      </c>
      <c r="I2346" t="n">
        <v>0.0046</v>
      </c>
      <c r="J2346" t="n">
        <v>0.09229999999999999</v>
      </c>
      <c r="K2346" t="n">
        <v>0.1613</v>
      </c>
      <c r="L2346" t="inlineStr">
        <is>
          <t>The provided code defines a class named `Build` that implements the `Closeable` interface. It has several methods that perform various tasks related to building a project using Spring Boot Buildpack Platform.
The class's constructor takes two arguments: a `Path` object representing the directory where the build process will take place, and a `boolean` value indicating whether the build should be done</t>
        </is>
      </c>
      <c r="M2346" t="n">
        <v>0.0036</v>
      </c>
      <c r="N2346" t="n">
        <v>0.0571</v>
      </c>
      <c r="O2346" t="n">
        <v>0.1128</v>
      </c>
    </row>
    <row r="2347">
      <c r="A2347" t="inlineStr">
        <is>
          <t>springboot</t>
        </is>
      </c>
      <c r="B2347" t="inlineStr">
        <is>
          <t>buildpack/spring-boot-buildpack-platform/src/main/java/org/springframework/boot/buildpack/platform/build/ImageBuildpack.java</t>
        </is>
      </c>
      <c r="C2347">
        <f>HYPERLINK("https://github.com/spring-projects/spring-boot/blob/master/buildpack/spring-boot-buildpack-platform/src/main/java/org/springframework/boot/buildpack/platform/build/ImageBuildpack.java")</f>
        <v/>
      </c>
      <c r="D2347" t="inlineStr">
        <is>
          <t>This Java code appears to be part of a build process for a Spring Boot application. It uses the Apache Commons Compress library to create a tar archive from a list of files, which will later be used as input for another process. The code also defines several utility methods for working with paths and streams. Overall, it seems like this code is responsible for preparing data for the build process</t>
        </is>
      </c>
      <c r="E2347" t="n">
        <v>0.003</v>
      </c>
      <c r="F2347" t="n">
        <v>0.0506</v>
      </c>
      <c r="G2347" t="n">
        <v>0.1049</v>
      </c>
      <c r="H2347" t="inlineStr">
        <is>
          <t>The code defines a Java class named `Build` that implements the `org.springframework.boot.buildpack.platform.build.Build` interface. It takes an input stream containing a tarball archive as its constructor argument and provides methods for extracting files from the archive, adding new files, and creating a new tarball archive.
The class uses the `Apache Commons Com</t>
        </is>
      </c>
      <c r="I2347" t="n">
        <v>0.0043</v>
      </c>
      <c r="J2347" t="n">
        <v>0.0615</v>
      </c>
      <c r="K2347" t="n">
        <v>0.122</v>
      </c>
      <c r="L2347" t="inlineStr">
        <is>
          <t>The provided Java code defines a class called `BuildImageBuilder` that builds Docker images using the Spring Boot buildpack platform. The class takes an input stream containing a tar archive as a parameter and returns an output stream containing the built image's tar archive. The method uses the Apache Commons Compress library to extract files from the input stream and then uses the Spring Boot buildpack platform to create</t>
        </is>
      </c>
      <c r="M2347" t="n">
        <v>0.0027</v>
      </c>
      <c r="N2347" t="n">
        <v>0.026</v>
      </c>
      <c r="O2347" t="n">
        <v>0.07140000000000001</v>
      </c>
    </row>
    <row r="2348">
      <c r="A2348" t="inlineStr">
        <is>
          <t>springboot</t>
        </is>
      </c>
      <c r="B2348" t="inlineStr">
        <is>
          <t>buildpack/spring-boot-buildpack-platform/src/main/java/org/springframework/boot/buildpack/platform/build/LifecycleVersion.java</t>
        </is>
      </c>
      <c r="C2348">
        <f>HYPERLINK("https://github.com/spring-projects/spring-boot/blob/master/buildpack/spring-boot-buildpack-platform/src/main/java/org/springframework/boot/buildpack/platform/build/LifecycleVersion.java")</f>
        <v/>
      </c>
      <c r="D2348" t="inlineStr">
        <is>
          <t>The `LifecycleVersion` class represents a version number for the Spring Boot buildpack platform's lifecycle. It consists of three parts: major, minor, and patch. The class provides methods for comparing versions and parsing strings into version objects. Additionally, it includes annotations from the JSpecify library for nullability checking.</t>
        </is>
      </c>
      <c r="E2348" t="n">
        <v>0.0039</v>
      </c>
      <c r="F2348" t="n">
        <v>0.0357</v>
      </c>
      <c r="G2348" t="n">
        <v>0.042</v>
      </c>
      <c r="H2348" t="inlineStr">
        <is>
          <t>The `LifecycleVersion` class represents a version number for the Spring Boot Buildpack Platform build process. It consists of three parts: major, minor, and patch. The class provides methods for comparing versions and sorting them based on their numerical values. Additionally, it includes a comment block that explains its purpose and provides information about the license used.</t>
        </is>
      </c>
      <c r="I2348" t="n">
        <v>0.0033</v>
      </c>
      <c r="J2348" t="n">
        <v>0.0312</v>
      </c>
      <c r="K2348" t="n">
        <v>0.0391</v>
      </c>
      <c r="L2348" t="inlineStr">
        <is>
          <t>The `LifecycleVersion` class represents a version number for the Spring Boot buildpack platform's lifecycle. It consists of three parts: major, minor, and patch. The class provides methods for comparing versions and extracting their individual components.</t>
        </is>
      </c>
      <c r="M2348" t="n">
        <v>0.0053</v>
      </c>
      <c r="N2348" t="n">
        <v>0.0455</v>
      </c>
      <c r="O2348" t="n">
        <v>0.0467</v>
      </c>
    </row>
    <row r="2349">
      <c r="A2349" t="inlineStr">
        <is>
          <t>springboot</t>
        </is>
      </c>
      <c r="B2349" t="inlineStr">
        <is>
          <t>buildpack/spring-boot-buildpack-platform/src/main/java/org/springframework/boot/buildpack/platform/build/BuildpackResolvers.java</t>
        </is>
      </c>
      <c r="C2349">
        <f>HYPERLINK("https://github.com/spring-projects/spring-boot/blob/master/buildpack/spring-boot-buildpack-platform/src/main/java/org/springframework/boot/buildpack/platform/build/BuildpackResolvers.java")</f>
        <v/>
      </c>
      <c r="D2349" t="inlineStr">
        <is>
          <t>This code defines a `BuildpackResolver` class that resolves buildpack references based on the order specified in the `buildpacks` list. The `resolve()` method takes a collection of `BuildpackReference` objects as input and returns a new `List` containing all resolved buildpack references.
The implementation first checks if any of the buildpack references have already been resolved,</t>
        </is>
      </c>
      <c r="E2349" t="n">
        <v>0.004</v>
      </c>
      <c r="F2349" t="n">
        <v>0.0645</v>
      </c>
      <c r="G2349" t="n">
        <v>0.119</v>
      </c>
      <c r="H2349" t="inlineStr">
        <is>
          <t>This Java class `BuildpackResolver` implements a resolver for buildpack references. It takes a collection of buildpack references as input and returns a list of resolved buildpack references. The implementation uses a combination of static analysis and dynamic resolution to determine which buildpacks should be applied to a given application.
The class has several methods, including:
* `resolve`: T</t>
        </is>
      </c>
      <c r="I2349" t="n">
        <v>0.0041</v>
      </c>
      <c r="J2349" t="n">
        <v>0.09229999999999999</v>
      </c>
      <c r="K2349" t="n">
        <v>0.1538</v>
      </c>
      <c r="L2349" t="inlineStr">
        <is>
          <t>The provided code defines a class called `BuildpackResolver` that resolves buildpack references based on a list of available buildpacks. It takes a collection of buildpack references as input and returns a list of resolved buildpack references. The class uses several methods to perform the resolution, including `resolve`, `resolveGroup`, and `resolveOrder`. These methods take into account various factors such</t>
        </is>
      </c>
      <c r="M2349" t="n">
        <v>0.0031</v>
      </c>
      <c r="N2349" t="n">
        <v>0.0303</v>
      </c>
      <c r="O2349" t="n">
        <v>0.0769</v>
      </c>
    </row>
    <row r="2350">
      <c r="A2350" t="inlineStr">
        <is>
          <t>springboot</t>
        </is>
      </c>
      <c r="B2350" t="inlineStr">
        <is>
          <t>buildpack/spring-boot-buildpack-platform/src/main/java/org/springframework/boot/buildpack/platform/build/EphemeralBuilder.java</t>
        </is>
      </c>
      <c r="C2350">
        <f>HYPERLINK("https://github.com/spring-projects/spring-boot/blob/master/buildpack/spring-boot-buildpack-platform/src/main/java/org/springframework/boot/buildpack/platform/build/EphemeralBuilder.java")</f>
        <v/>
      </c>
      <c r="D2350" t="inlineStr">
        <is>
          <t>This Java code defines a class called `Build` that represents a build process for creating a Docker image from a set of source files. The class has several methods that perform different tasks during the build process, such as extracting the source files, building the application, and packaging the resulting image into an archive.
The `Build` class also includes some utility methods for working with images</t>
        </is>
      </c>
      <c r="E2350" t="n">
        <v>0.0033</v>
      </c>
      <c r="F2350" t="n">
        <v>0.0541</v>
      </c>
      <c r="G2350" t="n">
        <v>0.1087</v>
      </c>
      <c r="H2350" t="inlineStr">
        <is>
          <t>This code defines a Java class that implements the `Build` interface from the Spring Boot Buildpack Platform library. It takes an image archive as input and returns an image object. The implementation uses the `ImageArchive` class from the same package to extract the contents of the archive into a temporary directory, and then uses the `Image` class to create an image object based on the extracted files</t>
        </is>
      </c>
      <c r="I2350" t="n">
        <v>0.0036</v>
      </c>
      <c r="J2350" t="n">
        <v>0.08</v>
      </c>
      <c r="K2350" t="n">
        <v>0.1439</v>
      </c>
      <c r="L2350" t="inlineStr">
        <is>
          <t>The provided code defines a class that builds a Docker image using the Spring Boot Buildpack platform. It takes in input parameters such as the name of the image, the path to the application directory, and any additional build arguments. The method then uses these inputs to create an Image object, which is then built and returned as an ImageArchive object.</t>
        </is>
      </c>
      <c r="M2350" t="n">
        <v>0.003</v>
      </c>
      <c r="N2350" t="n">
        <v>0.029</v>
      </c>
      <c r="O2350" t="n">
        <v>0.0752</v>
      </c>
    </row>
    <row r="2351">
      <c r="A2351" t="inlineStr">
        <is>
          <t>springboot</t>
        </is>
      </c>
      <c r="B2351" t="inlineStr">
        <is>
          <t>buildpack/spring-boot-buildpack-platform/src/main/java/org/springframework/boot/buildpack/platform/build/Cache.java</t>
        </is>
      </c>
      <c r="C2351">
        <f>HYPERLINK("https://github.com/spring-projects/spring-boot/blob/master/buildpack/spring-boot-buildpack-platform/src/main/java/org/springframework/boot/buildpack/platform/build/Cache.java")</f>
        <v/>
      </c>
      <c r="D2351" t="inlineStr">
        <is>
          <t>The provided code defines a class called `Cache` that represents details of a cache used by the Cloud Native Buildpacks (CNB) builder. It has several fields, including:
* `name`: A unique name for the cache.
* `volume`: A volume name representing the location of the cache on disk.
* `path`: A path within the volume where the</t>
        </is>
      </c>
      <c r="E2351" t="n">
        <v>0</v>
      </c>
      <c r="F2351" t="n">
        <v>0</v>
      </c>
      <c r="G2351" t="n">
        <v>0.0388</v>
      </c>
      <c r="H2351" t="inlineStr">
        <is>
          <t>The code defines a class named `Cache` that represents a cache used by the Cloud Native Buildpack (CNB) builder. It has several methods that allow it to be configured and used as a cache during the build process.
The `Cache` class has the following properties:
* A name property that specifies the name of the cache.
* A volume property that</t>
        </is>
      </c>
      <c r="I2351" t="n">
        <v>0.003</v>
      </c>
      <c r="J2351" t="n">
        <v>0.0299</v>
      </c>
      <c r="K2351" t="n">
        <v>0.0752</v>
      </c>
      <c r="L2351" t="inlineStr">
        <is>
          <t>The provided code defines a class named `CacheDetails` that represents details about a cache used by the Cloud Native Buildpack (CNB) builder. It has several fields and methods that provide information about the cache, such as its name, volume name, and whether it's enabled. The class also provides some utility methods for working with caches.</t>
        </is>
      </c>
      <c r="M2351" t="n">
        <v>0.0033</v>
      </c>
      <c r="N2351" t="n">
        <v>0.0312</v>
      </c>
      <c r="O2351" t="n">
        <v>0.07870000000000001</v>
      </c>
    </row>
    <row r="2352">
      <c r="A2352" t="inlineStr">
        <is>
          <t>springboot</t>
        </is>
      </c>
      <c r="B2352" t="inlineStr">
        <is>
          <t>buildpack/spring-boot-buildpack-platform/src/main/java/org/springframework/boot/buildpack/platform/build/Phase.java</t>
        </is>
      </c>
      <c r="C2352">
        <f>HYPERLINK("https://github.com/spring-projects/spring-boot/blob/master/buildpack/spring-boot-buildpack-platform/src/main/java/org/springframework/boot/buildpack/platform/build/Phase.java")</f>
        <v/>
      </c>
      <c r="D2352" t="inlineStr">
        <is>
          <t>This Java code defines a class named `Build` that represents a build process for a container image. It has several methods that perform different tasks related to building the image, such as adding layers, setting environment variables, and binding volumes. The code also uses annotations from the JSpecify library to specify nullability of certain parameters and return values.</t>
        </is>
      </c>
      <c r="E2352" t="n">
        <v>0.0037</v>
      </c>
      <c r="F2352" t="n">
        <v>0.0606</v>
      </c>
      <c r="G2352" t="n">
        <v>0.1154</v>
      </c>
      <c r="H2352" t="inlineStr">
        <is>
          <t>This Java package `org.springframework.boot.buildpack.platform.build` provides classes and interfaces related to building Docker images using Spring Boot buildpacks. The main class, `Build`, takes a list of bindings as input and uses them to create a new image. The `Bindings` interface represents a collection of binding objects that can be used to configure the build process.</t>
        </is>
      </c>
      <c r="I2352" t="n">
        <v>0.004</v>
      </c>
      <c r="J2352" t="n">
        <v>0.0597</v>
      </c>
      <c r="K2352" t="n">
        <v>0.119</v>
      </c>
      <c r="L2352" t="inlineStr">
        <is>
          <t>The provided Java code defines a class named `Builder` that builds Docker images using the Spring Boot Buildpack platform. It takes a list of bindings as input and returns a map of image IDs and their corresponding build logs. The `Builder` class uses the `Conta` class from the same package to create a new container based on the given bindings. It then runs the `Build</t>
        </is>
      </c>
      <c r="M2352" t="n">
        <v>0.0028</v>
      </c>
      <c r="N2352" t="n">
        <v>0.0274</v>
      </c>
      <c r="O2352" t="n">
        <v>0.073</v>
      </c>
    </row>
    <row r="2353">
      <c r="A2353" t="inlineStr">
        <is>
          <t>springboot</t>
        </is>
      </c>
      <c r="B2353" t="inlineStr">
        <is>
          <t>buildpack/spring-boot-buildpack-platform/src/main/java/org/springframework/boot/buildpack/platform/build/BuildRequest.java</t>
        </is>
      </c>
      <c r="C2353">
        <f>HYPERLINK("https://github.com/spring-projects/spring-boot/blob/master/buildpack/spring-boot-buildpack-platform/src/main/java/org/springframework/boot/buildpack/platform/build/BuildRequest.java")</f>
        <v/>
      </c>
      <c r="D2353" t="inlineStr">
        <is>
          <t>The provided code defines a Java class that implements various functions related to building Docker images using the Spring Boot Buildpack platform. It includes methods for parsing command line arguments, reading configuration files, and executing buildpack lifecycle phases. Additionally, it provides utility classes for working with dates and collections.</t>
        </is>
      </c>
      <c r="E2353" t="n">
        <v>0.0045</v>
      </c>
      <c r="F2353" t="n">
        <v>0.1053</v>
      </c>
      <c r="G2353" t="n">
        <v>0.124</v>
      </c>
      <c r="H2353" t="inlineStr">
        <is>
          <t>This Java package `org.springframework.boot.buildpack.platform.build` contains classes that implement various build related functionalities. The main class `Build` provides methods for building a Docker image from a set of source files. It also includes a number of utility functions for working with Docker images and layers. Other classes in the package include `Builder`, which represents a builder instance used during</t>
        </is>
      </c>
      <c r="I2353" t="n">
        <v>0.0037</v>
      </c>
      <c r="J2353" t="n">
        <v>0.1127</v>
      </c>
      <c r="K2353" t="n">
        <v>0.1538</v>
      </c>
      <c r="L2353" t="inlineStr">
        <is>
          <t>The provided code defines a Java class named `Build` that represents a build process for a Spring Boot application. It takes in input parameters such as the name of the application, the version number, and the platform type, and then performs various tasks related to building the application, including compiling the code, creating a Docker image, and pushing the image to a registry.
The class has several</t>
        </is>
      </c>
      <c r="M2353" t="n">
        <v>0.0027</v>
      </c>
      <c r="N2353" t="n">
        <v>0.0267</v>
      </c>
      <c r="O2353" t="n">
        <v>0.036</v>
      </c>
    </row>
    <row r="2354">
      <c r="A2354" t="inlineStr">
        <is>
          <t>springboot</t>
        </is>
      </c>
      <c r="B2354" t="inlineStr">
        <is>
          <t>buildpack/spring-boot-buildpack-platform/src/main/java/org/springframework/boot/buildpack/platform/build/BuilderBuildpack.java</t>
        </is>
      </c>
      <c r="C2354">
        <f>HYPERLINK("https://github.com/spring-projects/spring-boot/blob/master/buildpack/spring-boot-buildpack-platform/src/main/java/org/springframework/boot/buildpack/platform/build/BuilderBuildpack.java")</f>
        <v/>
      </c>
      <c r="D2354" t="inlineStr">
        <is>
          <t>The `Buildpack` class represents a buildpack used during the build process of a Docker image using Spring Boot's platform module. It has several methods that allow it to interact with layers of a Docker image, such as adding new layers, modifying existing ones, and removing them. Additionally, it provides a way to set the order in which the buildpacks should be applied during the build</t>
        </is>
      </c>
      <c r="E2354" t="n">
        <v>0.0028</v>
      </c>
      <c r="F2354" t="n">
        <v>0.0541</v>
      </c>
      <c r="G2354" t="n">
        <v>0.073</v>
      </c>
      <c r="H2354" t="inlineStr">
        <is>
          <t>This Java class implements a custom `Buildpack` interface that provides a way to reference a buildpack contained within a Docker image. The class has several methods, including a constructor, getters, setters, and a `build()` method that takes an input stream and returns a `Layer`. It also includes some annotations such as `@Nullable` and `@Override`, which indicate that certain variables</t>
        </is>
      </c>
      <c r="I2354" t="n">
        <v>0.0041</v>
      </c>
      <c r="J2354" t="n">
        <v>0.0896</v>
      </c>
      <c r="K2354" t="n">
        <v>0.1145</v>
      </c>
      <c r="L2354" t="inlineStr">
        <is>
          <t>The provided code defines a class called `Buildpack` that represents a buildpack used in the Spring Boot Buildpack Platform. It has several methods, including `detect()`, `build()` and `createBuilder()`. The `detect()` method returns a string indicating whether the buildpack can be applied to a given application, while the `build()` method builds the application using the referenced buildpack</t>
        </is>
      </c>
      <c r="M2354" t="n">
        <v>0.0033</v>
      </c>
      <c r="N2354" t="n">
        <v>0.0312</v>
      </c>
      <c r="O2354" t="n">
        <v>0.0781</v>
      </c>
    </row>
    <row r="2355">
      <c r="A2355" t="inlineStr">
        <is>
          <t>springboot</t>
        </is>
      </c>
      <c r="B2355" t="inlineStr">
        <is>
          <t>buildpack/spring-boot-buildpack-platform/src/main/java/org/springframework/boot/buildpack/platform/build/BuildOwner.java</t>
        </is>
      </c>
      <c r="C2355">
        <f>HYPERLINK("https://github.com/spring-projects/spring-boot/blob/master/buildpack/spring-boot-buildpack-platform/src/main/java/org/springframework/boot/buildpack/platform/build/BuildOwner.java")</f>
        <v/>
      </c>
      <c r="D2355" t="inlineStr">
        <is>
          <t>This Java class represents an owner who can perform a build. It has several methods, including `getId()`, which returns the ID of the owner, and `getName()`, which returns the name of the owner. Additionally, it has a constructor that takes two parameters: `id` and `name`.
The class also implements the `equals()` method, which checks if two objects have the</t>
        </is>
      </c>
      <c r="E2355" t="n">
        <v>0.0041</v>
      </c>
      <c r="F2355" t="n">
        <v>0.0597</v>
      </c>
      <c r="G2355" t="n">
        <v>0.1145</v>
      </c>
      <c r="H2355" t="inlineStr">
        <is>
          <t>This code defines a Java class named `BuildOwner` that represents the owner of a build process. It has several methods for setting and getting information about the owner, such as their name and email address. Additionally, it includes annotations from the JSpecify library, which provide nullability guarantees for some of its fields. Overall, this code appears to be related to building software using Spring</t>
        </is>
      </c>
      <c r="I2355" t="n">
        <v>0.0037</v>
      </c>
      <c r="J2355" t="n">
        <v>0.0556</v>
      </c>
      <c r="K2355" t="n">
        <v>0.1471</v>
      </c>
      <c r="L2355" t="inlineStr">
        <is>
          <t>The `Owner` class represents the owner of the build process in Spring Boot's Buildpack Platform. It encapsulates the necessary data and methods to perform the build, including the ability to specify the owner's name and email address.</t>
        </is>
      </c>
      <c r="M2355" t="n">
        <v>0.005</v>
      </c>
      <c r="N2355" t="n">
        <v>0.0426</v>
      </c>
      <c r="O2355" t="n">
        <v>0.0459</v>
      </c>
    </row>
    <row r="2356">
      <c r="A2356" t="inlineStr">
        <is>
          <t>springboot</t>
        </is>
      </c>
      <c r="B2356" t="inlineStr">
        <is>
          <t>buildpack/spring-boot-buildpack-platform/src/main/java/org/springframework/boot/buildpack/platform/build/BuilderDockerConfiguration.java</t>
        </is>
      </c>
      <c r="C2356">
        <f>HYPERLINK("https://github.com/spring-projects/spring-boot/blob/master/buildpack/spring-boot-buildpack-platform/src/main/java/org/springframework/boot/buildpack/platform/build/BuilderDockerConfiguration.java")</f>
        <v/>
      </c>
      <c r="D2356" t="inlineStr">
        <is>
          <t>This Java class represents the configuration options for a Docker builder, which is used to build Docker images from source code. It includes fields for specifying the Docker registry authentication credentials, as well as other configuration options such as the Docker connection configuration. The class also defines several methods that can be used to modify these properties.</t>
        </is>
      </c>
      <c r="E2356" t="n">
        <v>0.0032</v>
      </c>
      <c r="F2356" t="n">
        <v>0.0308</v>
      </c>
      <c r="G2356" t="n">
        <v>0.0775</v>
      </c>
      <c r="H2356" t="inlineStr">
        <is>
          <t>This Java class represents the configuration options for the `Builder` component when using Docker as the buildpack platform. It includes properties such as the Docker connection configuration, registry authentication, and other settings that control how the builder interacts with Docker. The class also defines methods for accessing these properties and performing operations related to building images using Docker.</t>
        </is>
      </c>
      <c r="I2356" t="n">
        <v>0.0037</v>
      </c>
      <c r="J2356" t="n">
        <v>0.0606</v>
      </c>
      <c r="K2356" t="n">
        <v>0.1154</v>
      </c>
      <c r="L2356" t="inlineStr">
        <is>
          <t>The provided code defines a Java class that represents builder configuration options for Docker. It includes fields for specifying connection details, authentication credentials, and other settings relevant to interacting with a Docker registry.</t>
        </is>
      </c>
      <c r="M2356" t="n">
        <v>0.0056</v>
      </c>
      <c r="N2356" t="n">
        <v>0.0488</v>
      </c>
      <c r="O2356" t="n">
        <v>0.0476</v>
      </c>
    </row>
    <row r="2357">
      <c r="A2357" t="inlineStr">
        <is>
          <t>springboot</t>
        </is>
      </c>
      <c r="B2357" t="inlineStr">
        <is>
          <t>buildpack/spring-boot-buildpack-platform/src/main/java/org/springframework/boot/buildpack/platform/build/DirectoryBuildpack.java</t>
        </is>
      </c>
      <c r="C2357">
        <f>HYPERLINK("https://github.com/spring-projects/spring-boot/blob/master/buildpack/spring-boot-buildpack-platform/src/main/java/org/springframework/boot/buildpack/platform/build/DirectoryBuildpack.java")</f>
        <v/>
      </c>
      <c r="D2357" t="inlineStr">
        <is>
          <t>This Java code defines a class called `Build` that represents a build process for a project using Spring Boot's Buildpack API. The class has several methods that perform various tasks related to building the project, such as copying files from one location to another, reading input streams, and creating directories. It also includes annotations and documentation comments to indicate its purpose and provide information about its complexity and other</t>
        </is>
      </c>
      <c r="E2357" t="n">
        <v>0.0031</v>
      </c>
      <c r="F2357" t="n">
        <v>0.0513</v>
      </c>
      <c r="G2357" t="n">
        <v>0.1064</v>
      </c>
      <c r="H2357" t="inlineStr">
        <is>
          <t>This Java package `org.springframework.boot.buildpack.platform.build` contains implementation classes for building backend software applications using Spring Boot buildpack platform. The package includes several classes that implement various algorithms used during the build process, such as parsing configuration files, resolving dependencies, and generating artifacts.
The package also includes a class called `BuildPackBuilder`, which is responsible</t>
        </is>
      </c>
      <c r="I2357" t="n">
        <v>0.0046</v>
      </c>
      <c r="J2357" t="n">
        <v>0.1231</v>
      </c>
      <c r="K2357" t="n">
        <v>0.2016</v>
      </c>
      <c r="L2357" t="inlineStr">
        <is>
          <t>The provided code defines a class called `Build` that represents a build process for building Docker images using Spring Boot Buildpacks. It takes input from a directory containing application files and produces a Docker image as output. The class uses Java's NIO library to traverse the file system and perform various operations such as copying files and creating directories. It also uses the JSpecify annotations library to</t>
        </is>
      </c>
      <c r="M2357" t="n">
        <v>0.0027</v>
      </c>
      <c r="N2357" t="n">
        <v>0.0263</v>
      </c>
      <c r="O2357" t="n">
        <v>0.07190000000000001</v>
      </c>
    </row>
    <row r="2358">
      <c r="A2358" t="inlineStr">
        <is>
          <t>springboot</t>
        </is>
      </c>
      <c r="B2358" t="inlineStr">
        <is>
          <t>buildpack/spring-boot-buildpack-platform/src/main/java/org/springframework/boot/buildpack/platform/build/BuilderMetadata.java</t>
        </is>
      </c>
      <c r="C2358">
        <f>HYPERLINK("https://github.com/spring-projects/spring-boot/blob/master/buildpack/spring-boot-buildpack-platform/src/main/java/org/springframework/boot/buildpack/platform/build/BuilderMetadata.java")</f>
        <v/>
      </c>
      <c r="D2358" t="inlineStr">
        <is>
          <t>This code appears to be part of a Java project that uses Spring Boot as its framework. It defines several classes related to building Docker images using the Buildpack platform. The main class, `Build`, takes a list of builders and a set of files to include in the image, and then iterates over each builder, calling its `build` method to generate a Docker image. If any</t>
        </is>
      </c>
      <c r="E2358" t="n">
        <v>0.0033</v>
      </c>
      <c r="F2358" t="n">
        <v>0.0541</v>
      </c>
      <c r="G2358" t="n">
        <v>0.1087</v>
      </c>
      <c r="H2358" t="inlineStr">
        <is>
          <t>This code appears to be part of a Java project that uses Spring Boot as a buildpack platform. It defines several classes and methods related to building and analyzing software components using the Jackson JSON parser library. The main class, `Build`, has a method called `run` that takes a list of arguments and returns a boolean value indicating whether the build was successful. The `analyze` method</t>
        </is>
      </c>
      <c r="I2358" t="n">
        <v>0.0036</v>
      </c>
      <c r="J2358" t="n">
        <v>0.08110000000000001</v>
      </c>
      <c r="K2358" t="n">
        <v>0.1449</v>
      </c>
      <c r="L2358" t="inlineStr">
        <is>
          <t>The provided code defines a class named `Build` that represents a build process for a Spring Boot application. It takes in a list of dependencies as input and generates a set of instructions that can be used to create a Docker image based on those dependencies. The class uses various libraries such as Jackson and Jspecify to parse JSON data and perform various tasks related to building the Docker image.</t>
        </is>
      </c>
      <c r="M2358" t="n">
        <v>0.0026</v>
      </c>
      <c r="N2358" t="n">
        <v>0.0256</v>
      </c>
      <c r="O2358" t="n">
        <v>0.0704</v>
      </c>
    </row>
    <row r="2359">
      <c r="A2359" t="inlineStr">
        <is>
          <t>springboot</t>
        </is>
      </c>
      <c r="B2359" t="inlineStr">
        <is>
          <t>buildpack/spring-boot-buildpack-platform/src/main/java/org/springframework/boot/buildpack/platform/build/BuildpackLayersMetadata.java</t>
        </is>
      </c>
      <c r="C2359">
        <f>HYPERLINK("https://github.com/spring-projects/spring-boot/blob/master/buildpack/spring-boot-buildpack-platform/src/main/java/org/springframework/boot/buildpack/platform/build/BuildpackLayersMetadata.java")</f>
        <v/>
      </c>
      <c r="D2359" t="inlineStr">
        <is>
          <t>The code defines a class called `Build` that represents a build process for a container image using the Spring Boot Buildpack platform. It has several methods, including `run`, which runs the build process, and `getImage`, which returns the built image. The class also uses Jackson's JSON library to parse and manipulate JSON data. Additionally, it imports several other classes from the Spring Boot</t>
        </is>
      </c>
      <c r="E2359" t="n">
        <v>0.0029</v>
      </c>
      <c r="F2359" t="n">
        <v>0.0278</v>
      </c>
      <c r="G2359" t="n">
        <v>0.0741</v>
      </c>
      <c r="H2359" t="inlineStr">
        <is>
          <t>This Java package `org.springframework.boot.buildpack.platform.build` provides classes and methods related to building Docker images using Spring Boot buildpacks. The main class, `Build`, takes a directory containing a project's source files as input and builds a Docker image based on that project. It uses the `Builder` interface to perform the actual building process, which can be</t>
        </is>
      </c>
      <c r="I2359" t="n">
        <v>0.004</v>
      </c>
      <c r="J2359" t="n">
        <v>0.0588</v>
      </c>
      <c r="K2359" t="n">
        <v>0.119</v>
      </c>
      <c r="L2359" t="inlineStr">
        <is>
          <t>The provided code defines a Java class that builds Docker images using Spring Boot buildpacks. It takes input from a JSON configuration file and uses the Jackson library to parse the JSON into a `JsonNode` object. The `JsonNode` object is then used to create a map of environment variables that will be passed to the build process. The class also uses the `MethodHandles` class</t>
        </is>
      </c>
      <c r="M2359" t="n">
        <v>0.0028</v>
      </c>
      <c r="N2359" t="n">
        <v>0.0278</v>
      </c>
      <c r="O2359" t="n">
        <v>0.0735</v>
      </c>
    </row>
    <row r="2360">
      <c r="A2360" t="inlineStr">
        <is>
          <t>springboot</t>
        </is>
      </c>
      <c r="B2360" t="inlineStr">
        <is>
          <t>buildpack/spring-boot-buildpack-platform/src/main/java/org/springframework/boot/buildpack/platform/build/Buildpacks.java</t>
        </is>
      </c>
      <c r="C2360">
        <f>HYPERLINK("https://github.com/spring-projects/spring-boot/blob/master/buildpack/spring-boot-buildpack-platform/src/main/java/org/springframework/boot/buildpack/platform/build/Buildpacks.java")</f>
        <v/>
      </c>
      <c r="D2360" t="inlineStr">
        <is>
          <t>This Java code defines a class called `Build` that represents a build process for a container image. It has several methods that perform various tasks related to building a container image, such as reading input files, creating layers, and writing output files. The code also includes comments and documentation explaining its purpose and how it works.</t>
        </is>
      </c>
      <c r="E2360" t="n">
        <v>0.0039</v>
      </c>
      <c r="F2360" t="n">
        <v>0.0625</v>
      </c>
      <c r="G2360" t="n">
        <v>0.0781</v>
      </c>
      <c r="H2360" t="inlineStr">
        <is>
          <t>This code appears to be part of a Java project that uses Spring Boot's buildpack platform to create Docker images. The code defines several classes related to building Docker images from layers.
The `Build` class is the main entry point for the application. It takes a list of layer IDs as input and returns a new `Image` instance containing those layers. The `Image` class</t>
        </is>
      </c>
      <c r="I2360" t="n">
        <v>0.0034</v>
      </c>
      <c r="J2360" t="n">
        <v>0.0548</v>
      </c>
      <c r="K2360" t="n">
        <v>0.1103</v>
      </c>
      <c r="L2360" t="inlineStr">
        <is>
          <t>The provided code defines a class named `Builder` that implements the `Build` interface from the Spring Boot Buildpack Platform library. It provides methods for building Docker images using layers. The `Builder` class takes in a list of `Layer` objects as input and uses them to create a new image. Each layer represents a single step in the build process, such as installing dependencies or copying files</t>
        </is>
      </c>
      <c r="M2360" t="n">
        <v>0.0033</v>
      </c>
      <c r="N2360" t="n">
        <v>0.0541</v>
      </c>
      <c r="O2360" t="n">
        <v>0.1087</v>
      </c>
    </row>
    <row r="2361">
      <c r="A2361" t="inlineStr">
        <is>
          <t>springboot</t>
        </is>
      </c>
      <c r="B2361" t="inlineStr">
        <is>
          <t>buildpack/spring-boot-buildpack-platform/src/main/java/org/springframework/boot/buildpack/platform/build/Builder.java</t>
        </is>
      </c>
      <c r="C2361">
        <f>HYPERLINK("https://github.com/spring-projects/spring-boot/blob/master/buildpack/spring-boot-buildpack-platform/src/main/java/org/springframework/boot/buildpack/platform/build/Builder.java")</f>
        <v/>
      </c>
      <c r="D2361" t="inlineStr">
        <is>
          <t>The provided code defines a class called `Build` that represents a build process for a container image using the Spring Boot Buildpack platform. It has several methods that perform various tasks related to building the image, such as creating a Docker client instance, setting up the environment, running the buildpacks, and logging the output.
The main method of the class takes two arguments: a list</t>
        </is>
      </c>
      <c r="E2361" t="n">
        <v>0.0028</v>
      </c>
      <c r="F2361" t="n">
        <v>0.0274</v>
      </c>
      <c r="G2361" t="n">
        <v>0.073</v>
      </c>
      <c r="H2361" t="inlineStr">
        <is>
          <t>This Java package `org.springframework.boot.buildpack.platform.build` appears to contain classes related to building Docker images using Spring Boot buildpacks. The package includes several classes that implement various functionalities such as parsing Docker logs, managing Docker API connections, and running commands in a container. The main class, `Build`, seems to be responsible for orchestrating the entire</t>
        </is>
      </c>
      <c r="I2361" t="n">
        <v>0.0041</v>
      </c>
      <c r="J2361" t="n">
        <v>0.1212</v>
      </c>
      <c r="K2361" t="n">
        <v>0.16</v>
      </c>
      <c r="L2361" t="inlineStr">
        <is>
          <t>The provided code defines a class named `Build` that is responsible for building Docker images using the Spring Boot Buildpack platform. It takes a list of buildpacks as input and uses them to create a new image. The class also provides methods for logging and error handling.
The class utilizes the `DockerApi` class from the Spring Boot Buildpack platform to interact with the</t>
        </is>
      </c>
      <c r="M2361" t="n">
        <v>0.0029</v>
      </c>
      <c r="N2361" t="n">
        <v>0.0282</v>
      </c>
      <c r="O2361" t="n">
        <v>0.0741</v>
      </c>
    </row>
    <row r="2362">
      <c r="A2362" t="inlineStr">
        <is>
          <t>springboot</t>
        </is>
      </c>
      <c r="B2362" t="inlineStr">
        <is>
          <t>buildpack/spring-boot-buildpack-platform/src/main/java/org/springframework/boot/buildpack/platform/build/BuildpackCoordinates.java</t>
        </is>
      </c>
      <c r="C2362">
        <f>HYPERLINK("https://github.com/spring-projects/spring-boot/blob/master/buildpack/spring-boot-buildpack-platform/src/main/java/org/springframework/boot/buildpack/platform/build/BuildpackCoordinates.java")</f>
        <v/>
      </c>
      <c r="D2362" t="inlineStr">
        <is>
          <t>This Java class `Build` defines a build process that takes input files and generates output files based on a set of rules defined in a TOML configuration file. The class uses the Toml library to parse the configuration file and extract the necessary information. It then uses Spring's `ApplicationContext` to create instances of classes that implement the `Builder` interface, which define how to generate the</t>
        </is>
      </c>
      <c r="E2362" t="n">
        <v>0.0033</v>
      </c>
      <c r="F2362" t="n">
        <v>0.0541</v>
      </c>
      <c r="G2362" t="n">
        <v>0.146</v>
      </c>
      <c r="H2362" t="inlineStr">
        <is>
          <t>This Java package `org.springframework.boot.buildpack.platform.build` contains classes that implement the building process for backend applications using Spring Boot buildpacks. The package includes several classes that provide different functionalities related to the building process, such as parsing TOML files, creating directories, and reading input streams. Additionally, it also includes comments explaining the purpose of each class and its</t>
        </is>
      </c>
      <c r="I2362" t="n">
        <v>0.0039</v>
      </c>
      <c r="J2362" t="n">
        <v>0.1159</v>
      </c>
      <c r="K2362" t="n">
        <v>0.1563</v>
      </c>
      <c r="L2362" t="inlineStr">
        <is>
          <t>The provided code defines a class called `Build` that represents a build process for a Spring Boot application. It takes in input parameters such as the path to the project directory, the name of the output image, and other options like the builder type and the platform stack. The class uses the Toml library to parse a configuration file named `build.toml`, which specifies the build settings</t>
        </is>
      </c>
      <c r="M2362" t="n">
        <v>0.0028</v>
      </c>
      <c r="N2362" t="n">
        <v>0.0267</v>
      </c>
      <c r="O2362" t="n">
        <v>0.0725</v>
      </c>
    </row>
    <row r="2363">
      <c r="A2363" t="inlineStr">
        <is>
          <t>springboot</t>
        </is>
      </c>
      <c r="B2363" t="inlineStr">
        <is>
          <t>buildpack/spring-boot-buildpack-platform/src/main/java/org/springframework/boot/buildpack/platform/build/Creator.java</t>
        </is>
      </c>
      <c r="C2363">
        <f>HYPERLINK("https://github.com/spring-projects/spring-boot/blob/master/buildpack/spring-boot-buildpack-platform/src/main/java/org/springframework/boot/buildpack/platform/build/Creator.java")</f>
        <v/>
      </c>
      <c r="D2363" t="inlineStr">
        <is>
          <t>The `Creator` class represents identifying information about the tooling that created a builder. It has one field, `version`, which is set during construction and holds the version number of the creator.</t>
        </is>
      </c>
      <c r="E2363" t="n">
        <v>0.006</v>
      </c>
      <c r="F2363" t="n">
        <v>0.0513</v>
      </c>
      <c r="G2363" t="n">
        <v>0.0485</v>
      </c>
      <c r="H2363" t="inlineStr">
        <is>
          <t>The `Creator` class represents identifying information about the tooling used to create a builder. It has one constructor parameter, `version`, which is a string representing the version number of the tooling. The `Creator` class also provides a single method, `getVersion()`, which returns the value of the `version` field.</t>
        </is>
      </c>
      <c r="I2363" t="n">
        <v>0</v>
      </c>
      <c r="J2363" t="n">
        <v>0</v>
      </c>
      <c r="K2363" t="n">
        <v>0.0417</v>
      </c>
      <c r="L2363" t="inlineStr">
        <is>
          <t>The `Creator` class represents identifying information about the tooling that created a builder. It has one field, `version`, which stores the name of the build. The constructor takes a single string argument, which sets the value of the `version` field. The class provides no additional methods or behaviors beyond storing and retrieving this data.</t>
        </is>
      </c>
      <c r="M2363" t="n">
        <v>0.0034</v>
      </c>
      <c r="N2363" t="n">
        <v>0.0323</v>
      </c>
      <c r="O2363" t="n">
        <v>0.0794</v>
      </c>
    </row>
    <row r="2364">
      <c r="A2364" t="inlineStr">
        <is>
          <t>springboot</t>
        </is>
      </c>
      <c r="B2364" t="inlineStr">
        <is>
          <t>buildpack/spring-boot-buildpack-platform/src/main/java/org/springframework/boot/buildpack/platform/build/StackId.java</t>
        </is>
      </c>
      <c r="C2364">
        <f>HYPERLINK("https://github.com/spring-projects/spring-boot/blob/master/buildpack/spring-boot-buildpack-platform/src/main/java/org/springframework/boot/buildpack/platform/build/StackId.java")</f>
        <v/>
      </c>
      <c r="D2364" t="inlineStr">
        <is>
          <t>The provided code defines a `StackId` class that represents a unique identifier for a stack used in building Docker images using Spring Boot Buildpacks. It has two main fields:
* `id`: a string representation of the stack ID
* `config`: an instance of `ImageConfig`, which provides information about the image configuration for the stack.
The constructor takes two arguments</t>
        </is>
      </c>
      <c r="E2364" t="n">
        <v>0</v>
      </c>
      <c r="F2364" t="n">
        <v>0</v>
      </c>
      <c r="G2364" t="n">
        <v>0.0382</v>
      </c>
      <c r="H2364" t="inlineStr">
        <is>
          <t>This Java class represents a Stack ID and provides methods for working with it. It includes annotations and comments that indicate its purpose and usage. The class imports several other classes from the Spring Boot buildpack platform, including `Image` and `ImageConfig`. It also has a constructor that takes a string argument, which is used to initialize the instance's `id` field. Additionally, there are</t>
        </is>
      </c>
      <c r="I2364" t="n">
        <v>0.0034</v>
      </c>
      <c r="J2364" t="n">
        <v>0.0556</v>
      </c>
      <c r="K2364" t="n">
        <v>0.1111</v>
      </c>
      <c r="L2364" t="inlineStr">
        <is>
          <t>The provided code defines a class called `StackId` that represents a unique identifier for a stack used in building Docker images using Spring Boot Buildpacks. It has several fields and methods, including constructors, getters, setters, and utility methods.
The main purpose of this class appears to be to provide a way to uniquely identify a stack, which could be useful when</t>
        </is>
      </c>
      <c r="M2364" t="n">
        <v>0.003</v>
      </c>
      <c r="N2364" t="n">
        <v>0.029</v>
      </c>
      <c r="O2364" t="n">
        <v>0.1128</v>
      </c>
    </row>
    <row r="2365">
      <c r="A2365" t="inlineStr">
        <is>
          <t>springboot</t>
        </is>
      </c>
      <c r="B2365" t="inlineStr">
        <is>
          <t>buildpack/spring-boot-buildpack-platform/src/main/java/org/springframework/boot/buildpack/platform/build/TarGzipBuildpack.java</t>
        </is>
      </c>
      <c r="C2365">
        <f>HYPERLINK("https://github.com/spring-projects/spring-boot/blob/master/buildpack/spring-boot-buildpack-platform/src/main/java/org/springframework/boot/buildpack/platform/build/TarGzipBuildpack.java")</f>
        <v/>
      </c>
      <c r="D2365" t="inlineStr">
        <is>
          <t>This Java code appears to be part of a build process for a Spring Boot application. It uses the Apache Commons Compress library to create a tar archive from a directory containing files that will be included in the final build output. The `createTarArchive` method takes two arguments: a path to the directory containing the files to include in the archive, and an `OutputStream` object where</t>
        </is>
      </c>
      <c r="E2365" t="n">
        <v>0.0033</v>
      </c>
      <c r="F2365" t="n">
        <v>0.0541</v>
      </c>
      <c r="G2365" t="n">
        <v>0.1087</v>
      </c>
      <c r="H2365" t="inlineStr">
        <is>
          <t>This Java package `org.springframework.boot.buildpack.platform.build` contains source code that implements various backend functions used in building and managing software applications. The package uses Apache Commons Compress library to handle archive files, specifically TAR archives. It also includes comments and documentation to help developers understand the purpose and usage of each function. The complexity of the code is estimated as</t>
        </is>
      </c>
      <c r="I2365" t="n">
        <v>0.0045</v>
      </c>
      <c r="J2365" t="n">
        <v>0.1127</v>
      </c>
      <c r="K2365" t="n">
        <v>0.1923</v>
      </c>
      <c r="L2365" t="inlineStr">
        <is>
          <t>The provided code defines a class that implements the `Build` interface from the `org.springframework.boot.buildpack.platform.build` package. It takes in a path to a directory containing buildpacks as input and uses Apache Commons Compress's TarArchiveEntry to create a tarball archive of the contents of the directory. The resulting archive is then written to an output</t>
        </is>
      </c>
      <c r="M2365" t="n">
        <v>0.0041</v>
      </c>
      <c r="N2365" t="n">
        <v>0.0597</v>
      </c>
      <c r="O2365" t="n">
        <v>0.12</v>
      </c>
    </row>
    <row r="2366">
      <c r="A2366" t="inlineStr">
        <is>
          <t>springboot</t>
        </is>
      </c>
      <c r="B2366" t="inlineStr">
        <is>
          <t>buildpack/spring-boot-buildpack-platform/src/main/java/org/springframework/boot/buildpack/platform/build/PullPolicy.java</t>
        </is>
      </c>
      <c r="C2366">
        <f>HYPERLINK("https://github.com/spring-projects/spring-boot/blob/master/buildpack/spring-boot-buildpack-platform/src/main/java/org/springframework/boot/buildpack/platform/build/PullPolicy.java")</f>
        <v/>
      </c>
      <c r="D2366" t="inlineStr">
        <is>
          <t>The `PullPolicy` class defines three constants that represent different strategies for pulling images from a registry when building a container using Spring Boot's buildpack platform. The constants are:
* `ALWAYS`: Always pull the image from the registry.
* `NEVER`: Never pull the image from the registry.
* `IF`: Pull the image from the</t>
        </is>
      </c>
      <c r="E2366" t="n">
        <v>0</v>
      </c>
      <c r="F2366" t="n">
        <v>0</v>
      </c>
      <c r="G2366" t="n">
        <v>0.04</v>
      </c>
      <c r="H2366" t="inlineStr">
        <is>
          <t>The provided code defines an `PullPolicy` enum in Java that represents the possible policies for pulling images when building Docker containers using Spring Boot's build pack platform. The enum has three values: `ALWAYS`, which always pulls the image from the registry; `NEVER`, which never pulls the image from the registry; and `IF`, which pulls the image from</t>
        </is>
      </c>
      <c r="I2366" t="n">
        <v>0.0032</v>
      </c>
      <c r="J2366" t="n">
        <v>0.0303</v>
      </c>
      <c r="K2366" t="n">
        <v>0.0775</v>
      </c>
      <c r="L2366" t="inlineStr">
        <is>
          <t>The `PullPolicy` enumeration defines three values that determine when to pull an image from a registry during buildpack execution. It includes `ALWAYS`, which always pulls the image from the registry, `NEVER`, which never pulls the image, and `IF`, which pulls the image only if it doesn't already exist locally.</t>
        </is>
      </c>
      <c r="M2366" t="n">
        <v>0.0037</v>
      </c>
      <c r="N2366" t="n">
        <v>0.0345</v>
      </c>
      <c r="O2366" t="n">
        <v>0.0413</v>
      </c>
    </row>
    <row r="2367">
      <c r="A2367" t="inlineStr">
        <is>
          <t>springboot</t>
        </is>
      </c>
      <c r="B2367" t="inlineStr">
        <is>
          <t>buildpack/spring-boot-buildpack-platform/src/main/java/org/springframework/boot/buildpack/platform/build/BuildpackMetadata.java</t>
        </is>
      </c>
      <c r="C2367">
        <f>HYPERLINK("https://github.com/spring-projects/spring-boot/blob/master/buildpack/spring-boot-buildpack-platform/src/main/java/org/springframework/boot/buildpack/platform/build/BuildpackMetadata.java")</f>
        <v/>
      </c>
      <c r="D2367" t="inlineStr">
        <is>
          <t>This Java code appears to be part of a Spring Boot buildpack platform project. It defines several classes and methods related to building Docker images using the `tools.jackson` library. The main class, `Build`, has a method called `run()` that takes a JSON configuration object as input and uses it to construct an image using the `ImageBuilder` class. The `ImageBuilder`</t>
        </is>
      </c>
      <c r="E2367" t="n">
        <v>0.0037</v>
      </c>
      <c r="F2367" t="n">
        <v>0.0588</v>
      </c>
      <c r="G2367" t="n">
        <v>0.1145</v>
      </c>
      <c r="H2367" t="inlineStr">
        <is>
          <t>This Java package `org.springframework.boot.buildpack.platform.build` contains classes that implement the build process for Docker images using Spring Boot Buildpacks. The main class is called `Build`, which takes an image name as input and returns an instance of `Image` representing the built image. The `Image` object can be used to retrieve information about the built image, such</t>
        </is>
      </c>
      <c r="I2367" t="n">
        <v>0.004</v>
      </c>
      <c r="J2367" t="n">
        <v>0.0882</v>
      </c>
      <c r="K2367" t="n">
        <v>0.1575</v>
      </c>
      <c r="L2367" t="inlineStr">
        <is>
          <t>The provided code defines a Java class named `Build` that implements the `org.springframework.boot.buildpack.platform.build.Build` interface. It appears to be responsible for building Docker images using a buildpack builder. The class takes a JSON configuration object as input and uses it to construct an image config object. It then calls the `build()` method on the `Image`</t>
        </is>
      </c>
      <c r="M2367" t="n">
        <v>0.004</v>
      </c>
      <c r="N2367" t="n">
        <v>0.0588</v>
      </c>
      <c r="O2367" t="n">
        <v>0.119</v>
      </c>
    </row>
    <row r="2368">
      <c r="A2368" t="inlineStr">
        <is>
          <t>springboot</t>
        </is>
      </c>
      <c r="B2368" t="inlineStr">
        <is>
          <t>buildpack/spring-boot-buildpack-platform/src/main/java/org/springframework/boot/buildpack/platform/build/ApiVersions.java</t>
        </is>
      </c>
      <c r="C2368">
        <f>HYPERLINK("https://github.com/spring-projects/spring-boot/blob/master/buildpack/spring-boot-buildpack-platform/src/main/java/org/springframework/boot/buildpack/platform/build/ApiVersions.java")</f>
        <v/>
      </c>
      <c r="D2368" t="inlineStr">
        <is>
          <t>This Java class represents a set of API version numbers consisting of major and minor values. It provides methods for comparing, parsing, and formatting these versions. The class also includes annotations from the Jspecify library for nullability analysis.</t>
        </is>
      </c>
      <c r="E2368" t="n">
        <v>0.0058</v>
      </c>
      <c r="F2368" t="n">
        <v>0.08699999999999999</v>
      </c>
      <c r="G2368" t="n">
        <v>0.09089999999999999</v>
      </c>
      <c r="H2368" t="inlineStr">
        <is>
          <t>The provided code defines a class called `ApiVersion` that represents a set of API version numbers consisting of major and minor values. It provides several methods for working with these versions, including parsing strings, comparing them, and generating their string representation. Additionally, it includes Javadoc comments explaining each method's purpose and providing examples of how they can be used.</t>
        </is>
      </c>
      <c r="I2368" t="n">
        <v>0.0031</v>
      </c>
      <c r="J2368" t="n">
        <v>0.0294</v>
      </c>
      <c r="K2368" t="n">
        <v>0.07630000000000001</v>
      </c>
      <c r="L2368" t="inlineStr">
        <is>
          <t>The provided code defines a class called `ApiVersion` that represents a set of API version numbers consisting of major and minor values. It provides methods for comparing versions, parsing strings, and generating string representations. The class also includes Javadoc comments describing its purpose and usage.</t>
        </is>
      </c>
      <c r="M2368" t="n">
        <v>0.0041</v>
      </c>
      <c r="N2368" t="n">
        <v>0.0377</v>
      </c>
      <c r="O2368" t="n">
        <v>0.0427</v>
      </c>
    </row>
    <row r="2369">
      <c r="A2369" t="inlineStr">
        <is>
          <t>springboot</t>
        </is>
      </c>
      <c r="B2369" t="inlineStr">
        <is>
          <t>buildpack/spring-boot-buildpack-platform/src/main/java/org/springframework/boot/buildpack/platform/build/AbstractBuildLog.java</t>
        </is>
      </c>
      <c r="C2369">
        <f>HYPERLINK("https://github.com/spring-projects/spring-boot/blob/master/buildpack/spring-boot-buildpack-platform/src/main/java/org/springframework/boot/buildpack/platform/build/AbstractBuildLog.java")</f>
        <v/>
      </c>
      <c r="D2369" t="inlineStr">
        <is>
          <t>This Java code defines a class named `Build` that represents a build process for building Docker images using the Spring Boot Buildpack platform. The class has several methods that perform various tasks related to the build process, such as creating a new builder instance, adding layers to the image, and running the build.
The `Build` class also includes a method called `run()` that runs the</t>
        </is>
      </c>
      <c r="E2369" t="n">
        <v>0.0033</v>
      </c>
      <c r="F2369" t="n">
        <v>0.0548</v>
      </c>
      <c r="G2369" t="n">
        <v>0.1095</v>
      </c>
      <c r="H2369" t="inlineStr">
        <is>
          <t>This Java package `org.springframework.boot.buildpack.platform.build` provides a set of classes that implement various build-related operations using Spring Boot's platform API. The package includes several classes that perform different tasks such as building Docker images, running commands, and managing logs.
The main class of interest is `Build`, which represents a single build operation. It</t>
        </is>
      </c>
      <c r="I2369" t="n">
        <v>0.0042</v>
      </c>
      <c r="J2369" t="n">
        <v>0.0896</v>
      </c>
      <c r="K2369" t="n">
        <v>0.1613</v>
      </c>
      <c r="L2369" t="inlineStr">
        <is>
          <t>The provided code defines a class named `Build` that represents a build process for a Spring Boot application using the Buildpack Platform. It takes a list of images as input and returns a list of built images. The class has several methods, including `withImages`, which sets the input images, `withBuilder`, which sets the builder used during the build process, and `withLogger`, which</t>
        </is>
      </c>
      <c r="M2369" t="n">
        <v>0.0029</v>
      </c>
      <c r="N2369" t="n">
        <v>0.0286</v>
      </c>
      <c r="O2369" t="n">
        <v>0.0746</v>
      </c>
    </row>
    <row r="2370">
      <c r="A2370" t="inlineStr">
        <is>
          <t>springboot</t>
        </is>
      </c>
      <c r="B2370" t="inlineStr">
        <is>
          <t>buildpack/spring-boot-buildpack-platform/src/main/java/org/springframework/boot/buildpack/platform/docker/UpdateEvent.java</t>
        </is>
      </c>
      <c r="C2370">
        <f>HYPERLINK("https://github.com/spring-projects/spring-boot/blob/master/buildpack/spring-boot-buildpack-platform/src/main/java/org/springframework/boot/buildpack/platform/docker/UpdateEvent.java")</f>
        <v/>
      </c>
      <c r="D2370" t="inlineStr">
        <is>
          <t>The `UpdateEvent` class is a base class for update events published by Docker. It provides a common interface for handling different types of updates.</t>
        </is>
      </c>
      <c r="E2370" t="n">
        <v>0</v>
      </c>
      <c r="F2370" t="n">
        <v>0</v>
      </c>
      <c r="G2370" t="n">
        <v>0</v>
      </c>
      <c r="H2370" t="inlineStr">
        <is>
          <t>This code defines a base class called `UpdateEvent` that provides a common interface for handling updates from Docker. The class is part of a larger project called Spring Boot Buildpack Platform Docker, which is used for building and deploying applications using Docker containers. The class is designed to be extended by other classes that handle specific types of updates, such as image builds or container starts.</t>
        </is>
      </c>
      <c r="I2370" t="n">
        <v>0.0033</v>
      </c>
      <c r="J2370" t="n">
        <v>0.0541</v>
      </c>
      <c r="K2370" t="n">
        <v>0.1087</v>
      </c>
      <c r="L2370" t="inlineStr">
        <is>
          <t>The provided code defines a base class called `UpdateEvent` that serves as the superclass for various event classes related to updates in Docker. It provides no functional implementation beyond providing a common interface for handling these events.</t>
        </is>
      </c>
      <c r="M2370" t="n">
        <v>0</v>
      </c>
      <c r="N2370" t="n">
        <v>0.0444</v>
      </c>
      <c r="O2370" t="n">
        <v>0.0917</v>
      </c>
    </row>
    <row r="2371">
      <c r="A2371" t="inlineStr">
        <is>
          <t>springboot</t>
        </is>
      </c>
      <c r="B2371" t="inlineStr">
        <is>
          <t>buildpack/spring-boot-buildpack-platform/src/main/java/org/springframework/boot/buildpack/platform/docker/ProgressUpdateEvent.java</t>
        </is>
      </c>
      <c r="C2371">
        <f>HYPERLINK("https://github.com/spring-projects/spring-boot/blob/master/buildpack/spring-boot-buildpack-platform/src/main/java/org/springframework/boot/buildpack/platform/docker/ProgressUpdateEvent.java")</f>
        <v/>
      </c>
      <c r="D2371" t="inlineStr">
        <is>
          <t>This Java code defines a `ProgressUpdateEvent` class that represents an update event that includes progress information. The class is part of the Spring Boot buildpack platform's Docker module. It has several fields, including `id`, `status`, `progressDetail`, and `errorMessage`. The constructor takes a string ID as input and sets the `id` field. The `status` field</t>
        </is>
      </c>
      <c r="E2371" t="n">
        <v>0.004</v>
      </c>
      <c r="F2371" t="n">
        <v>0.09520000000000001</v>
      </c>
      <c r="G2371" t="n">
        <v>0.119</v>
      </c>
      <c r="H2371" t="inlineStr">
        <is>
          <t>This Java code defines a class called `ProgressUpdateEvent` which is a subclass of `UpdateEvent`. It represents an event that includes progress information. The class has several fields, including a `message` field of type `String`, a `progress` field of type `Integer`, and a `total` field of type `Integer`. The constructor takes three arguments: a `String` message</t>
        </is>
      </c>
      <c r="I2371" t="n">
        <v>0.004</v>
      </c>
      <c r="J2371" t="n">
        <v>0.0635</v>
      </c>
      <c r="K2371" t="n">
        <v>0.07870000000000001</v>
      </c>
      <c r="L2371" t="inlineStr">
        <is>
          <t>The provided code defines a Java class called `ProgressUpdateEvent` that represents an update event that includes progress information. It belongs to the package `org.springframework.boot.buildpack.platform.docker`. The class has two constructors, one of which takes no arguments and the other one takes a single argument of type `String`, and it also has several fields including `progress` and</t>
        </is>
      </c>
      <c r="M2371" t="n">
        <v>0.0033</v>
      </c>
      <c r="N2371" t="n">
        <v>0.0294</v>
      </c>
      <c r="O2371" t="n">
        <v>0.0394</v>
      </c>
    </row>
    <row r="2372">
      <c r="A2372" t="inlineStr">
        <is>
          <t>springboot</t>
        </is>
      </c>
      <c r="B2372" t="inlineStr">
        <is>
          <t>buildpack/spring-boot-buildpack-platform/src/main/java/org/springframework/boot/buildpack/platform/docker/PushImageUpdateEvent.java</t>
        </is>
      </c>
      <c r="C2372">
        <f>HYPERLINK("https://github.com/spring-projects/spring-boot/blob/master/buildpack/spring-boot-buildpack-platform/src/main/java/org/springframework/boot/buildpack/platform/docker/PushImageUpdateEvent.java")</f>
        <v/>
      </c>
      <c r="D2372" t="inlineStr">
        <is>
          <t>The `PushImageUpdateEvent` class represents a progress update event that is fired when an image is being pushed to a registry using Spring Boot's buildpack platform Docker API. It has three fields:
* `id`: a unique identifier for the push operation
* `progress`: a string representing the current progress of the push operation
* `status`: a string indicating the status</t>
        </is>
      </c>
      <c r="E2372" t="n">
        <v>0</v>
      </c>
      <c r="F2372" t="n">
        <v>0</v>
      </c>
      <c r="G2372" t="n">
        <v>0.0382</v>
      </c>
      <c r="H2372" t="inlineStr">
        <is>
          <t>This code defines a Java class called `PushImageUpdateEvent` that represents a progress update event fired when an image is being pushed to a registry using the Spring Boot Buildpack Platform Docker library. The class has several annotations that provide additional information about its purpose, complexity, and other relevant details.
The constructor of the class takes three parameters: `id`, `status`, and `progress</t>
        </is>
      </c>
      <c r="I2372" t="n">
        <v>0.0036</v>
      </c>
      <c r="J2372" t="n">
        <v>0.058</v>
      </c>
      <c r="K2372" t="n">
        <v>0.1128</v>
      </c>
      <c r="L2372" t="inlineStr">
        <is>
          <t>The provided code defines a Java class called `PushImageUpdateEvent` that extends from another class called `ProgressUpdateEvent`. It is part of a Spring Boot project and is used to track progress during the push process of an image to a Docker registry.
The `PushImageUpdateEvent` class has three constructors, each annotated with `@JsonCreator`, which allow for creating</t>
        </is>
      </c>
      <c r="M2372" t="n">
        <v>0.0033</v>
      </c>
      <c r="N2372" t="n">
        <v>0.0317</v>
      </c>
      <c r="O2372" t="n">
        <v>0.07870000000000001</v>
      </c>
    </row>
    <row r="2373">
      <c r="A2373" t="inlineStr">
        <is>
          <t>springboot</t>
        </is>
      </c>
      <c r="B2373" t="inlineStr">
        <is>
          <t>buildpack/spring-boot-buildpack-platform/src/main/java/org/springframework/boot/buildpack/platform/docker/LoadImageUpdateEvent.java</t>
        </is>
      </c>
      <c r="C2373">
        <f>HYPERLINK("https://github.com/spring-projects/spring-boot/blob/master/buildpack/spring-boot-buildpack-platform/src/main/java/org/springframework/boot/buildpack/platform/docker/LoadImageUpdateEvent.java")</f>
        <v/>
      </c>
      <c r="D2373" t="inlineStr">
        <is>
          <t>This code defines a Java class named `LoadImageUpdateEvent` that represents a progress update event while loading an image using Docker. The class inherits from `Progress`, which provides common fields and methods for tracking progress updates. It has two constructors, one of which takes no arguments and the other takes a single argument of type `Progress`. The class also has several getters and setters</t>
        </is>
      </c>
      <c r="E2373" t="n">
        <v>0.0034</v>
      </c>
      <c r="F2373" t="n">
        <v>0.0563</v>
      </c>
      <c r="G2373" t="n">
        <v>0.1111</v>
      </c>
      <c r="H2373" t="inlineStr">
        <is>
          <t>This code defines a Java class called `LoadImageUpdateEvent` that represents a progress update event during the loading of an image into Docker. The class has several fields and methods, including a constructor, getters, setters, and a method named `getProgress()` that returns a string representation of the current progress. Additionally, there is also a comment block at the top of the file that</t>
        </is>
      </c>
      <c r="I2373" t="n">
        <v>0.0035</v>
      </c>
      <c r="J2373" t="n">
        <v>0.0571</v>
      </c>
      <c r="K2373" t="n">
        <v>0.0746</v>
      </c>
      <c r="L2373" t="inlineStr">
        <is>
          <t>The code defines a Java class called `LoadImageUpdateEvent` that represents a progress update event fired during the loading of an image using Spring Boot's buildpack platform Docker module. It inherits from the `Progress` class and adds additional fields related to the load process.</t>
        </is>
      </c>
      <c r="M2373" t="n">
        <v>0.0043</v>
      </c>
      <c r="N2373" t="n">
        <v>0.0769</v>
      </c>
      <c r="O2373" t="n">
        <v>0.08699999999999999</v>
      </c>
    </row>
    <row r="2374">
      <c r="A2374" t="inlineStr">
        <is>
          <t>springboot</t>
        </is>
      </c>
      <c r="B2374" t="inlineStr">
        <is>
          <t>buildpack/spring-boot-buildpack-platform/src/main/java/org/springframework/boot/buildpack/platform/docker/LogUpdateEvent.java</t>
        </is>
      </c>
      <c r="C2374">
        <f>HYPERLINK("https://github.com/spring-projects/spring-boot/blob/master/buildpack/spring-boot-buildpack-platform/src/main/java/org/springframework/boot/buildpack/platform/docker/LogUpdateEvent.java")</f>
        <v/>
      </c>
      <c r="D2374" t="inlineStr">
        <is>
          <t>The provided code defines a class named `Update` that represents an update to a Docker image. It has several methods that allow it to be used as a builder pattern, such as `withImageId`, `withLayerDiffId`, and `withLayerSize`. These methods return a new instance of the `Update` class with the specified changes applied.
The `apply` method takes</t>
        </is>
      </c>
      <c r="E2374" t="n">
        <v>0.0033</v>
      </c>
      <c r="F2374" t="n">
        <v>0.0317</v>
      </c>
      <c r="G2374" t="n">
        <v>0.07870000000000001</v>
      </c>
      <c r="H2374" t="inlineStr">
        <is>
          <t>This Java package `org.springframework.boot.buildpack.platform.docker` provides classes and methods related to Docker image management. The main class `DockerImage` represents a Docker image and has methods for reading and modifying its contents. The `Dockerfile` class parses a Dockerfile and allows access to its instructions and arguments. Additionally, there are utility classes for working</t>
        </is>
      </c>
      <c r="I2374" t="n">
        <v>0.0043</v>
      </c>
      <c r="J2374" t="n">
        <v>0.0625</v>
      </c>
      <c r="K2374" t="n">
        <v>0.122</v>
      </c>
      <c r="L2374" t="inlineStr">
        <is>
          <t>The provided code defines a class named `Update` that represents an update to a Docker image. It takes an input stream as a constructor argument and uses the `StreamUtils` class from Spring's Util package to parse the contents of the stream into a string. The `Update` object then extracts relevant data such as the image name and tag using regular expressions. Finally, it provides methods</t>
        </is>
      </c>
      <c r="M2374" t="n">
        <v>0.0028</v>
      </c>
      <c r="N2374" t="n">
        <v>0.027</v>
      </c>
      <c r="O2374" t="n">
        <v>0.073</v>
      </c>
    </row>
    <row r="2375">
      <c r="A2375" t="inlineStr">
        <is>
          <t>springboot</t>
        </is>
      </c>
      <c r="B2375" t="inlineStr">
        <is>
          <t>buildpack/spring-boot-buildpack-platform/src/main/java/org/springframework/boot/buildpack/platform/docker/TotalProgressPushListener.java</t>
        </is>
      </c>
      <c r="C2375">
        <f>HYPERLINK("https://github.com/spring-projects/spring-boot/blob/master/buildpack/spring-boot-buildpack-platform/src/main/java/org/springframework/boot/buildpack/platform/docker/TotalProgressPushListener.java")</f>
        <v/>
      </c>
      <c r="D2375" t="inlineStr">
        <is>
          <t>The `TotalProgressPushListener` class is a custom implementation of the `UpdateListener` interface from Spring Boot's buildpack platform library. It listens for updates related to pushing Docker images and provides information about the overall progress of the operation through the publication of a `TotalProgressEvent`.
The class uses Java 8 lambda expressions to define a consumer function that takes a single argument</t>
        </is>
      </c>
      <c r="E2375" t="n">
        <v>0.0031</v>
      </c>
      <c r="F2375" t="n">
        <v>0.0588</v>
      </c>
      <c r="G2375" t="n">
        <v>0.1145</v>
      </c>
      <c r="H2375" t="inlineStr">
        <is>
          <t>This Java code defines a custom implementation of the `TotalProgressPushListener` interface from Spring Boot's buildpack platform module. The listener calculates the total progress of the entire push operation and publishes a `TotalProgressEvent`. It does so by extending the `TotalProgressListener` abstract class and overriding its `onNext` method to calculate the total progress based on the number of</t>
        </is>
      </c>
      <c r="I2375" t="n">
        <v>0.0039</v>
      </c>
      <c r="J2375" t="n">
        <v>0.09229999999999999</v>
      </c>
      <c r="K2375" t="n">
        <v>0.1172</v>
      </c>
      <c r="L2375" t="inlineStr">
        <is>
          <t>The provided code defines a custom implementation of the `TotalProgressListener` interface from Spring Boot's buildpack platform module. It listens for updates related to pushing Docker images and calculates the overall progress of the operation based on the number of bytes transferred. Whenever there is a significant change in the progress, it emits a `TotalProgressEvent`, which includes the current progress percentage and</t>
        </is>
      </c>
      <c r="M2375" t="n">
        <v>0.003</v>
      </c>
      <c r="N2375" t="n">
        <v>0.0571</v>
      </c>
      <c r="O2375" t="n">
        <v>0.0752</v>
      </c>
    </row>
    <row r="2376">
      <c r="A2376" t="inlineStr">
        <is>
          <t>springboot</t>
        </is>
      </c>
      <c r="B2376" t="inlineStr">
        <is>
          <t>buildpack/spring-boot-buildpack-platform/src/main/java/org/springframework/boot/buildpack/platform/docker/package-info.java</t>
        </is>
      </c>
      <c r="C2376">
        <f>HYPERLINK("https://github.com/spring-projects/spring-boot/blob/master/buildpack/spring-boot-buildpack-platform/src/main/java/org/springframework/boot/buildpack/platform/docker/package-info.java")</f>
        <v/>
      </c>
      <c r="D2376" t="inlineStr">
        <is>
          <t>This code defines a custom implementation of the `Docker` interface, which provides a subset of the full Docker API that is necessary for building applications using Spring Boot's buildpack feature. The implementation is annotated with `@NullMarked`, indicating that it uses nullable references. It also includes Javadoc comments describing its purpose and functionality.</t>
        </is>
      </c>
      <c r="E2376" t="n">
        <v>0.0042</v>
      </c>
      <c r="F2376" t="n">
        <v>0.0984</v>
      </c>
      <c r="G2376" t="n">
        <v>0.1613</v>
      </c>
      <c r="H2376" t="inlineStr">
        <is>
          <t>This code defines a package called `org.springframework.boot.buildpack.platform.docker` that provides a limited implementation of the Docker API. The package is annotated with `@NullMarked`, indicating that it uses nullable references. It also includes documentation comments explaining its purpose and licensing information.
The code consists of several classes and interfaces, including `DockerClient</t>
        </is>
      </c>
      <c r="I2376" t="n">
        <v>0.0045</v>
      </c>
      <c r="J2376" t="n">
        <v>0.0968</v>
      </c>
      <c r="K2376" t="n">
        <v>0.1653</v>
      </c>
      <c r="L2376" t="inlineStr">
        <is>
          <t>The code defines a custom implementation of the Docker API for Spring Boot's buildpack platform. It provides a subset of the full Docker API, including operations such as image creation, inspection, and removal. The implementation uses annotations from the Jspecify library to indicate that null values are allowed in certain places where they would otherwise be disallowed by the Java Language Specification.</t>
        </is>
      </c>
      <c r="M2376" t="n">
        <v>0.0029</v>
      </c>
      <c r="N2376" t="n">
        <v>0.0563</v>
      </c>
      <c r="O2376" t="n">
        <v>0.1119</v>
      </c>
    </row>
    <row r="2377">
      <c r="A2377" t="inlineStr">
        <is>
          <t>springboot</t>
        </is>
      </c>
      <c r="B2377" t="inlineStr">
        <is>
          <t>buildpack/spring-boot-buildpack-platform/src/main/java/org/springframework/boot/buildpack/platform/docker/TotalProgressPullListener.java</t>
        </is>
      </c>
      <c r="C2377">
        <f>HYPERLINK("https://github.com/spring-projects/spring-boot/blob/master/buildpack/spring-boot-buildpack-platform/src/main/java/org/springframework/boot/buildpack/platform/docker/TotalProgressPullListener.java")</f>
        <v/>
      </c>
      <c r="D2377" t="inlineStr">
        <is>
          <t>This code defines a `TotalProgressPullListener` class that listens for updates from a Docker image pull operation and calculates the total progress of the entire pull process. It does this by implementing the `UpdateListener` interface and publishing `TotalProgressEvent` objects. The `TotalProgressEvent` object includes information about the current state of the pull operation, such as the number of bytes</t>
        </is>
      </c>
      <c r="E2377" t="n">
        <v>0.0038</v>
      </c>
      <c r="F2377" t="n">
        <v>0.09229999999999999</v>
      </c>
      <c r="G2377" t="n">
        <v>0.1163</v>
      </c>
      <c r="H2377" t="inlineStr">
        <is>
          <t>This code defines a custom implementation of the `UpdateListener` interface from Spring Boot's buildpack platform module. The listener calculates the total progress of the entire pull operation and publishes a `TotalProgressEvent`. It does so by extending the `TotalProgressListener` class and overriding its `onUpdate()` method.
The code imports several packages, including `java.util</t>
        </is>
      </c>
      <c r="I2377" t="n">
        <v>0.0043</v>
      </c>
      <c r="J2377" t="n">
        <v>0.0984</v>
      </c>
      <c r="K2377" t="n">
        <v>0.122</v>
      </c>
      <c r="L2377" t="inlineStr">
        <is>
          <t>The `TotalProgressPullListener` class is a custom implementation of the `UpdateListener` interface that provides a way to calculate the overall progress of a Docker image pull operation. It does this by listening to events published by the `TotalProgressListener` class and calculating the total progress based on the number of bytes transferred so far. When the total progress reaches 100%, the listener</t>
        </is>
      </c>
      <c r="M2377" t="n">
        <v>0.003</v>
      </c>
      <c r="N2377" t="n">
        <v>0.0588</v>
      </c>
      <c r="O2377" t="n">
        <v>0.1136</v>
      </c>
    </row>
    <row r="2378">
      <c r="A2378" t="inlineStr">
        <is>
          <t>springboot</t>
        </is>
      </c>
      <c r="B2378" t="inlineStr">
        <is>
          <t>buildpack/spring-boot-buildpack-platform/src/main/java/org/springframework/boot/buildpack/platform/docker/ImagePlatform.java</t>
        </is>
      </c>
      <c r="C2378">
        <f>HYPERLINK("https://github.com/spring-projects/spring-boot/blob/master/buildpack/spring-boot-buildpack-platform/src/main/java/org/springframework/boot/buildpack/platform/docker/ImagePlatform.java")</f>
        <v/>
      </c>
      <c r="D2378" t="inlineStr">
        <is>
          <t>The provided code defines a Java class named `ImageConfig`, which represents the configuration for an image that can be used as a base image for building other images using the Spring Boot Buildpack Platform. It has several fields, including `imageName` and `imageTag`, which represent the name and tag of the base image, respectively. Additionally, it includes methods for setting and getting these values,</t>
        </is>
      </c>
      <c r="E2378" t="n">
        <v>0.0029</v>
      </c>
      <c r="F2378" t="n">
        <v>0.0282</v>
      </c>
      <c r="G2378" t="n">
        <v>0.0741</v>
      </c>
      <c r="H2378" t="inlineStr">
        <is>
          <t>This code appears to be part of a Java project that uses Spring Boot as a framework. It defines several classes related to Docker image management, including `Image`, which represents a Docker image, and `ImageConfigurer`, which configures images. The code also includes some utility methods for working with JSON data.
The main class of interest appears to be `ImageConfigurer`, which has</t>
        </is>
      </c>
      <c r="I2378" t="n">
        <v>0.0036</v>
      </c>
      <c r="J2378" t="n">
        <v>0.058</v>
      </c>
      <c r="K2378" t="n">
        <v>0.1128</v>
      </c>
      <c r="L2378" t="inlineStr">
        <is>
          <t>The provided code defines a class called `SpringBootBuildpackPlatformDocker` that provides various methods related to Docker images. It imports several classes from other packages, including `java.util.Objects`, `tools.jackson.databind.node.ObjectNode`, and `org.springframework.boot.buildpack.platform.json.SharedJsonMapper`.
The class has</t>
        </is>
      </c>
      <c r="M2378" t="n">
        <v>0.006</v>
      </c>
      <c r="N2378" t="n">
        <v>0.0392</v>
      </c>
      <c r="O2378" t="n">
        <v>0.0485</v>
      </c>
    </row>
    <row r="2379">
      <c r="A2379" t="inlineStr">
        <is>
          <t>springboot</t>
        </is>
      </c>
      <c r="B2379" t="inlineStr">
        <is>
          <t>buildpack/spring-boot-buildpack-platform/src/main/java/org/springframework/boot/buildpack/platform/docker/TotalProgressListener.java</t>
        </is>
      </c>
      <c r="C2379">
        <f>HYPERLINK("https://github.com/spring-projects/spring-boot/blob/master/buildpack/spring-boot-buildpack-platform/src/main/java/org/springframework/boot/buildpack/platform/docker/TotalProgressListener.java")</f>
        <v/>
      </c>
      <c r="D2379" t="inlineStr">
        <is>
          <t>This Java class implements an `UpdateListener` interface from Spring Boot's buildpack platform module. It listens for progress updates from Docker operations and provides information about the current progress, including the overall percentage complete. The implementation uses a concurrent hash map to store progress details for each operation, allowing multiple threads to update the same instance without conflicts. The class also includes a method to retrieve the total</t>
        </is>
      </c>
      <c r="E2379" t="n">
        <v>0.0036</v>
      </c>
      <c r="F2379" t="n">
        <v>0.0789</v>
      </c>
      <c r="G2379" t="n">
        <v>0.1439</v>
      </c>
      <c r="H2379" t="inlineStr">
        <is>
          <t>This Java class implements an update listener that calculates the total progress of multiple Docker build processes. It uses a concurrent hash map to store the progress details for each process and provides methods to add new processes, remove completed processes, and get the overall progress. The class also defines a consumer interface for handling progress updates.</t>
        </is>
      </c>
      <c r="I2379" t="n">
        <v>0.0042</v>
      </c>
      <c r="J2379" t="n">
        <v>0.09229999999999999</v>
      </c>
      <c r="K2379" t="n">
        <v>0.155</v>
      </c>
      <c r="L2379" t="inlineStr">
        <is>
          <t>The provided code defines a class called `TotalProgressUpdater` that implements the `UpdateListener` interface from Spring Boot's buildpack platform package. It listens for progress update events from Docker containers and calculates the total progress based on the number of completed tasks and the total number of tasks. The calculated progress is then passed to a consumer function that can be used to display the</t>
        </is>
      </c>
      <c r="M2379" t="n">
        <v>0.0034</v>
      </c>
      <c r="N2379" t="n">
        <v>0.0556</v>
      </c>
      <c r="O2379" t="n">
        <v>0.1111</v>
      </c>
    </row>
    <row r="2380">
      <c r="A2380" t="inlineStr">
        <is>
          <t>wordpress</t>
        </is>
      </c>
      <c r="B2380" t="inlineStr">
        <is>
          <t>WordPress/src/jetpack/assets/support_chat_widget.js</t>
        </is>
      </c>
      <c r="C2380">
        <f>HYPERLINK("https://github.com/wordpress-mobile/WordPress-Android/blob/master/WordPress/src/jetpack/assets/support_chat_widget.js")</f>
        <v/>
      </c>
      <c r="D2380" t="inlineStr">
        <is>
          <t>The provided code is a JavaScript module that defines several functions for initializing and interacting with a DocsBot AI instance. The `loadDocsBotAI` function loads the DocsBot AI library and sets up the necessary parameters to initialize it. The `supportCallback` function is called when the user clicks on the "Support" button in the chat interface,</t>
        </is>
      </c>
      <c r="E2380" t="n">
        <v>0.004</v>
      </c>
      <c r="F2380" t="n">
        <v>0.0968</v>
      </c>
      <c r="G2380" t="n">
        <v>0.119</v>
      </c>
      <c r="H2380" t="inlineStr">
        <is>
          <t>The provided code is a JavaScript file that defines a module for implementing a chatbot using the DocsBot AI platform. The module exports a single function called `loadDocsBotAI` which performs the following actions when called:
* It retrieves query parameters from the current URL using the `getQueryParams` function.
* It initializes the DocsB</t>
        </is>
      </c>
      <c r="I2380" t="n">
        <v>0.0035</v>
      </c>
      <c r="J2380" t="n">
        <v>0.1017</v>
      </c>
      <c r="K2380" t="n">
        <v>0.12</v>
      </c>
      <c r="L2380" t="inlineStr">
        <is>
          <t>The code initializes DocsBot AI by loading the necessary scripts and setting up the chat interface. It also defines a callback function that listens for user interactions and sends them to the Android device through a custom message.</t>
        </is>
      </c>
      <c r="M2380" t="n">
        <v>0.0049</v>
      </c>
      <c r="N2380" t="n">
        <v>0.08699999999999999</v>
      </c>
      <c r="O2380" t="n">
        <v>0.09089999999999999</v>
      </c>
    </row>
    <row r="2381">
      <c r="A2381" t="inlineStr">
        <is>
          <t>wordpress</t>
        </is>
      </c>
      <c r="B2381" t="inlineStr">
        <is>
          <t>WordPress/src/jetpack/assets/bot_widget.js</t>
        </is>
      </c>
      <c r="C2381">
        <f>HYPERLINK("https://github.com/wordpress-mobile/WordPress-Android/blob/master/WordPress/src/jetpack/assets/bot_widget.js")</f>
        <v/>
      </c>
      <c r="D2381" t="inlineStr">
        <is>
          <t>The provided code is a JavaScript module that initializes a DocsBot AI widget on a web page. It creates a script tag with the src attribute set to "https://widget.docsbot.ai/chat.js" and appends it to the head section of the HTML document. Once the script has loaded, it calls the `mount` method on the `window.</t>
        </is>
      </c>
      <c r="E2381" t="n">
        <v>0.0041</v>
      </c>
      <c r="F2381" t="n">
        <v>0.0606</v>
      </c>
      <c r="G2381" t="n">
        <v>0.08</v>
      </c>
      <c r="H2381" t="inlineStr">
        <is>
          <t>This code defines a JavaScript object called `DocsBotAI` on the `window` global variable, if it does not already exist. The `init` method is defined as a property of this object, which takes a single argument `c`. It returns a promise that resolves when the script has been loaded and the DocsBot AI widget has been mounted.</t>
        </is>
      </c>
      <c r="I2381" t="n">
        <v>0.0039</v>
      </c>
      <c r="J2381" t="n">
        <v>0.0625</v>
      </c>
      <c r="K2381" t="n">
        <v>0.0781</v>
      </c>
      <c r="L2381" t="inlineStr">
        <is>
          <t>The provided code initializes DocsBotAI, which is a JavaScript library for creating conversational interfaces. It creates a script tag that loads the DocsBotAI widget from a remote URL, adds it to the page's head section, and mounts the DocsBotAI component using the specified configuration object.</t>
        </is>
      </c>
      <c r="M2381" t="n">
        <v>0.0041</v>
      </c>
      <c r="N2381" t="n">
        <v>0.037</v>
      </c>
      <c r="O2381" t="n">
        <v>0.08550000000000001</v>
      </c>
    </row>
    <row r="2382">
      <c r="A2382" t="inlineStr">
        <is>
          <t>wordpress</t>
        </is>
      </c>
      <c r="B2382" t="inlineStr">
        <is>
          <t>WordPress/src/jetpack/assets/reader_text_events.js</t>
        </is>
      </c>
      <c r="C2382">
        <f>HYPERLINK("https://github.com/wordpress-mobile/WordPress-Android/blob/master/WordPress/src/jetpack/assets/reader_text_events.js")</f>
        <v/>
      </c>
      <c r="D2382" t="inlineStr">
        <is>
          <t>This code defines a JavaScript message handler called "wvHandler" that listens for events on a web view. Whenever the user selects or copies text within the web view, it sends a message to the parent application with the selected text. The message handler also includes a debounced function called "textHighlighted" that is triggered when the user highlights text in the web view.</t>
        </is>
      </c>
      <c r="E2382" t="n">
        <v>0.0029</v>
      </c>
      <c r="F2382" t="n">
        <v>0.0571</v>
      </c>
      <c r="G2382" t="n">
        <v>0.0746</v>
      </c>
      <c r="H2382" t="inlineStr">
        <is>
          <t>The code defines a JavaScript function called "debounce" that takes another function as its argument and returns a new function with the same behavior but delayed by a specified amount of time. The returned function will only be executed after the specified delay has passed since the last call to it. This allows for efficient handling of events that occur frequently, such as keyboard input or mouse movement.
The code</t>
        </is>
      </c>
      <c r="I2382" t="n">
        <v>0.0031</v>
      </c>
      <c r="J2382" t="n">
        <v>0.0513</v>
      </c>
      <c r="K2382" t="n">
        <v>0.1056</v>
      </c>
      <c r="L2382" t="inlineStr">
        <is>
          <t>The code defines a message handler called "wvHandler" that listens for messages posted by a WebView component. Whenever the user selects text within the WebView, the code highlights the selected text and sends a message to the parent window indicating that the text has been highlighted. Additionally, when the user copies text from the WebView, the code sends another message to the parent</t>
        </is>
      </c>
      <c r="M2382" t="n">
        <v>0.0029</v>
      </c>
      <c r="N2382" t="n">
        <v>0.0282</v>
      </c>
      <c r="O2382" t="n">
        <v>0.037</v>
      </c>
    </row>
    <row r="2383">
      <c r="A2383" t="inlineStr">
        <is>
          <t>wordpress</t>
        </is>
      </c>
      <c r="B2383" t="inlineStr">
        <is>
          <t>WordPress/src/jetpack/java/org/wordpress/android/ui/accounts/login/LoginPrologueRevampedViewModel.kt</t>
        </is>
      </c>
      <c r="C2383">
        <f>HYPERLINK("https://github.com/wordpress-mobile/WordPress-Android/blob/master/WordPress/src/jetpack/java/org/wordpress/android/ui/accounts/login/LoginPrologueRevampedViewModel.kt")</f>
        <v/>
      </c>
      <c r="D2383" t="inlineStr">
        <is>
          <t>This code defines a `Factor` class that converts raw sensor data from a device's accelerometer into a more suitable scale for use in Android composable UI elements. It does this by using the `Pitch` property of the `Sensor` object to calculate the angle between the phone's x-axis and its current orientation. The resulting value is then multiplied by a</t>
        </is>
      </c>
      <c r="E2383" t="n">
        <v>0.0037</v>
      </c>
      <c r="F2383" t="n">
        <v>0.0571</v>
      </c>
      <c r="G2383" t="n">
        <v>0.1145</v>
      </c>
      <c r="H2383" t="inlineStr">
        <is>
          <t>This Kotlin file defines a ViewModel class that implements the SensorEventListener interface and provides data for a composable function in Android's Jetpack Compose framework. It uses the Hilt dependency injection library to inject dependencies into the constructor.
The view model listens for changes in the device's orientation using the SensorManager and SensorEvent objects, and updates a Live</t>
        </is>
      </c>
      <c r="I2383" t="n">
        <v>0.0042</v>
      </c>
      <c r="J2383" t="n">
        <v>0.1194</v>
      </c>
      <c r="K2383" t="n">
        <v>0.155</v>
      </c>
      <c r="L2383" t="inlineStr">
        <is>
          <t>This class provides a view model that manages the login process for the WordPress Android app. It uses sensors to detect user gestures and converts them into a scaled value that can be consumed by the UI composables. The class also tracks analytics events related to the login process and exposes live data objects to communicate with other parts of the app.</t>
        </is>
      </c>
      <c r="M2383" t="n">
        <v>0.0035</v>
      </c>
      <c r="N2383" t="n">
        <v>0.0571</v>
      </c>
      <c r="O2383" t="n">
        <v>0.1119</v>
      </c>
    </row>
    <row r="2384">
      <c r="A2384" t="inlineStr">
        <is>
          <t>wordpress</t>
        </is>
      </c>
      <c r="B2384" t="inlineStr">
        <is>
          <t>WordPress/src/jetpack/java/org/wordpress/android/ui/accounts/login/LoginPrologueRevampedFragment.kt</t>
        </is>
      </c>
      <c r="C2384">
        <f>HYPERLINK("https://github.com/wordpress-mobile/WordPress-Android/blob/master/WordPress/src/jetpack/java/org/wordpress/android/ui/accounts/login/LoginPrologueRevampedFragment.kt")</f>
        <v/>
      </c>
      <c r="D2384" t="inlineStr">
        <is>
          <t>The code is a part of a WordPress Android app's login screen implementation using Compose for Desktop. It defines several composables that make up the layout of the login screen, including a box with a background image, a logo, and a form to enter username and password. The `CompositionLocal` class is used to provide contextual values to the composition, such as the</t>
        </is>
      </c>
      <c r="E2384" t="n">
        <v>0.0029</v>
      </c>
      <c r="F2384" t="n">
        <v>0.0563</v>
      </c>
      <c r="G2384" t="n">
        <v>0.1119</v>
      </c>
      <c r="H2384" t="inlineStr">
        <is>
          <t>This is a Java package containing Android UI components for logging in to WordPress accounts using Compose UI framework. The package imports various dependencies from the AndroidX library and defines several composable functions that create a login screen with a background image, a logo, and input fields for username and password. The layout is defined using a combination of `Box`, `Spacer`, `fillMaxSize</t>
        </is>
      </c>
      <c r="I2384" t="n">
        <v>0.0035</v>
      </c>
      <c r="J2384" t="n">
        <v>0.0857</v>
      </c>
      <c r="K2384" t="n">
        <v>0.1119</v>
      </c>
      <c r="L2384" t="inlineStr">
        <is>
          <t>The provided code is part of an Android app's login screen implementation using Compose for Desktop. It defines several composables that make up the UI layout, including a Box, Spacer, and other elements. The code also includes imports for various dependencies such as Android content and composition runtime libraries.
The overall purpose of the code appears to be to create a responsive and</t>
        </is>
      </c>
      <c r="M2384" t="n">
        <v>0.0029</v>
      </c>
      <c r="N2384" t="n">
        <v>0.0556</v>
      </c>
      <c r="O2384" t="n">
        <v>0.1111</v>
      </c>
    </row>
    <row r="2385">
      <c r="A2385" t="inlineStr">
        <is>
          <t>wordpress</t>
        </is>
      </c>
      <c r="B2385" t="inlineStr">
        <is>
          <t>WordPress/src/jetpack/java/org/wordpress/android/ui/accounts/login/components/RepeatingColumn.kt</t>
        </is>
      </c>
      <c r="C2385">
        <f>HYPERLINK("https://github.com/wordpress-mobile/WordPress-Android/blob/master/WordPress/src/jetpack/java/org/wordpress/android/ui/accounts/login/components/RepeatingColumn.kt")</f>
        <v/>
      </c>
      <c r="D2385" t="inlineStr">
        <is>
          <t>The provided code defines a Composable function called "RepeatingColumn" that takes three parameters:
* `position`: A float value representing the position where the repeating column should be placed, with 0 being the topmost position and 1 being the bottommost position.
* `modifier`: An instance of the `Modifier` class that can be used to modify the</t>
        </is>
      </c>
      <c r="E2385" t="n">
        <v>0.0033</v>
      </c>
      <c r="F2385" t="n">
        <v>0.06560000000000001</v>
      </c>
      <c r="G2385" t="n">
        <v>0.07870000000000001</v>
      </c>
      <c r="H2385" t="inlineStr">
        <is>
          <t>This code defines a Composable function called "RepeatingColumn" that takes three parameters: position, modifier, and repeat. It returns a Column layout with the specified number of repetitions of its children. The position parameter determines how far down the page the column should be placed, while the repeat parameter controls how many times the column's contents will be repeated.</t>
        </is>
      </c>
      <c r="I2385" t="n">
        <v>0.0037</v>
      </c>
      <c r="J2385" t="n">
        <v>0.0896</v>
      </c>
      <c r="K2385" t="n">
        <v>0.1154</v>
      </c>
      <c r="L2385" t="inlineStr">
        <is>
          <t>The code defines a custom Composable function called "RepeatingColumn" that takes three parameters: position, modifier, and repeat. The function returns a Column layout that repeats its child composable based on the specified repeat parameter, while also offsetting the position of the repeating column by the given position value. The function uses the AndroidX Compose UI library to create a flexible and</t>
        </is>
      </c>
      <c r="M2385" t="n">
        <v>0.003</v>
      </c>
      <c r="N2385" t="n">
        <v>0.058</v>
      </c>
      <c r="O2385" t="n">
        <v>0.0752</v>
      </c>
    </row>
    <row r="2386">
      <c r="A2386" t="inlineStr">
        <is>
          <t>wordpress</t>
        </is>
      </c>
      <c r="B2386" t="inlineStr">
        <is>
          <t>WordPress/src/jetpack/java/org/wordpress/android/ui/accounts/login/components/LoopingText.kt</t>
        </is>
      </c>
      <c r="C2386">
        <f>HYPERLINK("https://github.com/wordpress-mobile/WordPress-Android/blob/master/WordPress/src/jetpack/java/org/wordpress/android/ui/accounts/login/components/LoopingText.kt")</f>
        <v/>
      </c>
      <c r="D2386" t="inlineStr">
        <is>
          <t>This is a Kotlin file that defines a Composable function called `LoginScreen` for displaying a login screen in a WordPress Android app. The function takes no arguments and returns a `Unit`. It uses several other functions and classes from the `org.wordpress.android.ui.accounts.login.components` package to build the UI elements of the screen.
The `</t>
        </is>
      </c>
      <c r="E2386" t="n">
        <v>0.0042</v>
      </c>
      <c r="F2386" t="n">
        <v>0.09229999999999999</v>
      </c>
      <c r="G2386" t="n">
        <v>0.2061</v>
      </c>
      <c r="H2386" t="inlineStr">
        <is>
          <t>This is a Kotlin file that defines a set of composable functions for building UI elements in Android using the Compose library. The file imports various dependencies from other packages, such as `androidx.compose.*` and `org.wordpress.android.ui.compose.theme`. It also includes some constants and variables defined at the top of the file.
The main function of</t>
        </is>
      </c>
      <c r="I2386" t="n">
        <v>0.0041</v>
      </c>
      <c r="J2386" t="n">
        <v>0.0896</v>
      </c>
      <c r="K2386" t="n">
        <v>0.12</v>
      </c>
      <c r="L2386" t="inlineStr">
        <is>
          <t>The provided code is part of a Compose for Desktop application that displays a login screen. It defines a Composable function called "LoginScreen" that takes in several parameters and returns a UI element representing the login screen. The function uses various Compose functions such as Modifier, Text, and ParagraphStyle to create the layout and styling of the login screen. It also includes some</t>
        </is>
      </c>
      <c r="M2386" t="n">
        <v>0.0029</v>
      </c>
      <c r="N2386" t="n">
        <v>0.0563</v>
      </c>
      <c r="O2386" t="n">
        <v>0.0741</v>
      </c>
    </row>
    <row r="2387">
      <c r="A2387" t="inlineStr">
        <is>
          <t>wordpress</t>
        </is>
      </c>
      <c r="B2387" t="inlineStr">
        <is>
          <t>WordPress/src/jetpack/java/org/wordpress/android/ui/accounts/login/components/LoopingTextWithBackground.kt</t>
        </is>
      </c>
      <c r="C2387">
        <f>HYPERLINK("https://github.com/wordpress-mobile/WordPress-Android/blob/master/WordPress/src/jetpack/java/org/wordpress/android/ui/accounts/login/components/LoopingTextWithBackground.kt")</f>
        <v/>
      </c>
      <c r="D2387" t="inlineStr">
        <is>
          <t>The `LoopingTextWithBackground` function is a Composable UI component that displays text with a background image in a loop. It takes two parameters as input: `modifier`, which is used to modify the overall layout of the component, and `blurModifier`, which is used to apply a blurring effect to the background image.
The function first sets up the background</t>
        </is>
      </c>
      <c r="E2387" t="n">
        <v>0.0032</v>
      </c>
      <c r="F2387" t="n">
        <v>0.0615</v>
      </c>
      <c r="G2387" t="n">
        <v>0.1163</v>
      </c>
      <c r="H2387" t="inlineStr">
        <is>
          <t>This is a Kotlin file containing a Composable function called `LoopingTextWithBackground`. It takes in two parameters, `modifier` and `blurModifier`, which are both instances of the `Modifier` class from the Compose UI library. The function returns a `Box` element with a specific layout configuration and content.
The `Box` element has its size</t>
        </is>
      </c>
      <c r="I2387" t="n">
        <v>0.0043</v>
      </c>
      <c r="J2387" t="n">
        <v>0.1017</v>
      </c>
      <c r="K2387" t="n">
        <v>0.122</v>
      </c>
      <c r="L2387" t="inlineStr">
        <is>
          <t>The `LoopingTextWithBackground` function is a composable that displays text with a background image. It takes two parameters: `modifier`, which is used for layout purposes, and `blurModifier`, which is used to apply a blurring effect to the background image. The function uses the `Box` component from Compose UI to display the text and background image side by</t>
        </is>
      </c>
      <c r="M2387" t="n">
        <v>0.0033</v>
      </c>
      <c r="N2387" t="n">
        <v>0.0625</v>
      </c>
      <c r="O2387" t="n">
        <v>0.1172</v>
      </c>
    </row>
    <row r="2388">
      <c r="A2388" t="inlineStr">
        <is>
          <t>wordpress</t>
        </is>
      </c>
      <c r="B2388" t="inlineStr">
        <is>
          <t>WordPress/src/jetpack/java/org/wordpress/android/ui/accounts/login/components/PrimaryButton.kt</t>
        </is>
      </c>
      <c r="C2388">
        <f>HYPERLINK("https://github.com/wordpress-mobile/WordPress-Android/blob/master/WordPress/src/jetpack/java/org/wordpress/android/ui/accounts/login/components/PrimaryButton.kt")</f>
        <v/>
      </c>
      <c r="D2388" t="inlineStr">
        <is>
          <t>The provided code is a Composable function called `PrimaryButton` that renders a Material Design button with a specific style. It takes two parameters: `onClick`, which is a lambda function to be executed when the button is clicked, and `modifier`, which is a modifier for the button's layout.
The `PrimaryButton` function uses the `Button` composable</t>
        </is>
      </c>
      <c r="E2388" t="n">
        <v>0.0034</v>
      </c>
      <c r="F2388" t="n">
        <v>0.0635</v>
      </c>
      <c r="G2388" t="n">
        <v>0.0794</v>
      </c>
      <c r="H2388" t="inlineStr">
        <is>
          <t>The provided code is a part of a larger Android application that implements a button component in Compose UI framework. The `PrimaryButton` function takes an `onClick` lambda as a parameter and returns a `Button` element with some default styling and behavior. The button has a blue background color, white text, and a medium font weight. It also has a small margin around it.</t>
        </is>
      </c>
      <c r="I2388" t="n">
        <v>0.0034</v>
      </c>
      <c r="J2388" t="n">
        <v>0.08450000000000001</v>
      </c>
      <c r="K2388" t="n">
        <v>0.1111</v>
      </c>
      <c r="L2388" t="inlineStr">
        <is>
          <t>The `PrimaryButton` composable is a UI component that displays a button with a primary color scheme. It takes an `onClick` function as a parameter and applies it to the button's click event. The button has a text label and a rounded shape. The component uses Android Jetpack Compose library for building the user interface.</t>
        </is>
      </c>
      <c r="M2388" t="n">
        <v>0.0034</v>
      </c>
      <c r="N2388" t="n">
        <v>0.0635</v>
      </c>
      <c r="O2388" t="n">
        <v>0.0794</v>
      </c>
    </row>
    <row r="2389">
      <c r="A2389" t="inlineStr">
        <is>
          <t>wordpress</t>
        </is>
      </c>
      <c r="B2389" t="inlineStr">
        <is>
          <t>WordPress/src/jetpack/java/org/wordpress/android/ui/accounts/login/components/WordpressJetpackLogo.kt</t>
        </is>
      </c>
      <c r="C2389">
        <f>HYPERLINK("https://github.com/wordpress-mobile/WordPress-Android/blob/master/WordPress/src/jetpack/java/org/wordpress/android/ui/accounts/login/components/WordpressJetpackLogo.kt")</f>
        <v/>
      </c>
      <c r="D2389" t="inlineStr">
        <is>
          <t>The provided code is a Composable function in Jetpack Compose that displays a logo for WordPress. It uses the `Image` composable to display an image from a resource file, which is defined by the `painterResource` method. The `contentDescription` attribute is set to a string resource ID, which is used as the accessibility label for the image. The `</t>
        </is>
      </c>
      <c r="E2389" t="n">
        <v>0</v>
      </c>
      <c r="F2389" t="n">
        <v>0.0308</v>
      </c>
      <c r="G2389" t="n">
        <v>0.0385</v>
      </c>
      <c r="H2389" t="inlineStr">
        <is>
          <t>This is a Kotlin file that defines a Composable function called `WordpressJetpackLogo`. The function takes in a `Modifier` parameter by default and returns a `Unit` value. It uses the `Composable` annotation to indicate that it is a composable function.
The function body consists of three main parts:
1. An `Image</t>
        </is>
      </c>
      <c r="I2389" t="n">
        <v>0.0044</v>
      </c>
      <c r="J2389" t="n">
        <v>0.1034</v>
      </c>
      <c r="K2389" t="n">
        <v>0.123</v>
      </c>
      <c r="L2389" t="inlineStr">
        <is>
          <t>The provided code defines a Composable function called `WordpressJetpackLogo` that displays an image using the Android Compose UI framework. The function takes a single optional parameter, `modifier`, which is used to modify the layout properties of the image. The function uses the `Image` composable to display the image, passing in the resource ID for the Jetpack logo as the</t>
        </is>
      </c>
      <c r="M2389" t="n">
        <v>0</v>
      </c>
      <c r="N2389" t="n">
        <v>0.0299</v>
      </c>
      <c r="O2389" t="n">
        <v>0.0382</v>
      </c>
    </row>
    <row r="2390">
      <c r="A2390" t="inlineStr">
        <is>
          <t>wordpress</t>
        </is>
      </c>
      <c r="B2390" t="inlineStr">
        <is>
          <t>WordPress/src/jetpack/java/org/wordpress/android/ui/accounts/login/components/SecondaryButton.kt</t>
        </is>
      </c>
      <c r="C2390">
        <f>HYPERLINK("https://github.com/wordpress-mobile/WordPress-Android/blob/master/WordPress/src/jetpack/java/org/wordpress/android/ui/accounts/login/components/SecondaryButton.kt")</f>
        <v/>
      </c>
      <c r="D2390" t="inlineStr">
        <is>
          <t>The `SecondaryButton` composable function is used to create a secondary button in a Compose UI layout. It takes two parameters: `onClick`, which is a lambda function that will be called when the button is clicked, and `modifier`, which is a modifier for the button's layout.
The function first defines some constants related to the button's appearance,</t>
        </is>
      </c>
      <c r="E2390" t="n">
        <v>0.0033</v>
      </c>
      <c r="F2390" t="n">
        <v>0.0606</v>
      </c>
      <c r="G2390" t="n">
        <v>0.0781</v>
      </c>
      <c r="H2390" t="inlineStr">
        <is>
          <t>This is a Kotlin code snippet for implementing a secondary button in Android using Compose UI framework. The function takes an `onClick` parameter that represents the action to be performed when the button is clicked, and it also accepts a `modifier` parameter that can be used to customize the appearance of the button.
The implementation defines a `@Composable` function called `Second</t>
        </is>
      </c>
      <c r="I2390" t="n">
        <v>0.0036</v>
      </c>
      <c r="J2390" t="n">
        <v>0.1159</v>
      </c>
      <c r="K2390" t="n">
        <v>0.1504</v>
      </c>
      <c r="L2390" t="inlineStr">
        <is>
          <t>The provided code is a part of a Composable function called `SecondaryButton` that displays a button with secondary styling. The button has a click listener attached to it, which triggers the `onClick` lambda when clicked. The button's text is set to "Log in" using string resources from the `org.wordpress.android.R` package. The button also uses</t>
        </is>
      </c>
      <c r="M2390" t="n">
        <v>0</v>
      </c>
      <c r="N2390" t="n">
        <v>0.0303</v>
      </c>
      <c r="O2390" t="n">
        <v>0.0397</v>
      </c>
    </row>
    <row r="2391">
      <c r="A2391" t="inlineStr">
        <is>
          <t>wordpress</t>
        </is>
      </c>
      <c r="B2391" t="inlineStr">
        <is>
          <t>WordPress/src/jetpack/java/org/wordpress/android/ui/accounts/login/components/TopLinearGradient.kt</t>
        </is>
      </c>
      <c r="C2391">
        <f>HYPERLINK("https://github.com/wordpress-mobile/WordPress-Android/blob/master/WordPress/src/jetpack/java/org/wordpress/android/ui/accounts/login/components/TopLinearGradient.kt")</f>
        <v/>
      </c>
      <c r="D2391" t="inlineStr">
        <is>
          <t>This is a Kotlin file containing a Composable function named `TopLinearGradient` that displays an image with a linear gradient background. The image is loaded from a drawable resource using the `painterResource()` method. The `contentDescription` parameter is set to `null`, indicating that there is no text associated with the image. The `contentScale` parameter is set to</t>
        </is>
      </c>
      <c r="E2391" t="n">
        <v>0.0033</v>
      </c>
      <c r="F2391" t="n">
        <v>0.0635</v>
      </c>
      <c r="G2391" t="n">
        <v>0.07870000000000001</v>
      </c>
      <c r="H2391" t="inlineStr">
        <is>
          <t>This is a Kotlin file containing a single function called `TopLinearGradient`. The function takes in a `Modifier` parameter by default and returns a `Composable` that displays an image with a linear gradient fill. The image is loaded from a resource ID specified in the `painterResource()` method call. The `contentDescription` parameter is set to `null`,</t>
        </is>
      </c>
      <c r="I2391" t="n">
        <v>0.004</v>
      </c>
      <c r="J2391" t="n">
        <v>0.0968</v>
      </c>
      <c r="K2391" t="n">
        <v>0.119</v>
      </c>
      <c r="L2391" t="inlineStr">
        <is>
          <t>The provided code is a Compose function called `TopLinearGradient` that displays a linear gradient image as a background for a UI component. It takes a `Modifier` parameter and applies several layout modifications to fill the parent container's width and height while keeping a fixed aspect ratio. The function uses the `Image` composable from the Android Jetpack Compose library to display the</t>
        </is>
      </c>
      <c r="M2391" t="n">
        <v>0.003</v>
      </c>
      <c r="N2391" t="n">
        <v>0.0571</v>
      </c>
      <c r="O2391" t="n">
        <v>0.0752</v>
      </c>
    </row>
    <row r="2392">
      <c r="A2392" t="inlineStr">
        <is>
          <t>wordpress</t>
        </is>
      </c>
      <c r="B2392" t="inlineStr">
        <is>
          <t>WordPress/src/jetpack/java/org/wordpress/android/util/MissingSplitsUtils.kt</t>
        </is>
      </c>
      <c r="C2392">
        <f>HYPERLINK("https://github.com/wordpress-mobile/WordPress-Android/blob/master/WordPress/src/jetpack/java/org/wordpress/android/util/MissingSplitsUtils.kt")</f>
        <v/>
      </c>
      <c r="D2392" t="inlineStr">
        <is>
          <t>The provided code defines a class called `MissingSplitsUtils` in the package `org.wordpress.android.util`. It has a single method called `isMissingSplits`, which takes a `Context` object as its parameter.
The method tries to retrieve the value for the resource ID `R.drawable.splash_icon` from the application'</t>
        </is>
      </c>
      <c r="E2392" t="n">
        <v>0</v>
      </c>
      <c r="F2392" t="n">
        <v>0</v>
      </c>
      <c r="G2392" t="n">
        <v>0</v>
      </c>
      <c r="H2392" t="inlineStr">
        <is>
          <t>The provided code defines a Java class named `MissingSplitsUtils` in the package `org.wordpress.android.util`. It has a single static method called `isMissingSplits()` which takes a `Context` object as its argument.
The method tries to retrieve a resource from the app's resources with the ID `R.drawable.splash</t>
        </is>
      </c>
      <c r="I2392" t="n">
        <v>0</v>
      </c>
      <c r="J2392" t="n">
        <v>0</v>
      </c>
      <c r="K2392" t="n">
        <v>0</v>
      </c>
      <c r="L2392" t="inlineStr">
        <is>
          <t>The `MissingSplitsUtils` class provides a method called `isMissingSplits()` which checks if the app has missing splits by attempting to access a specific drawable resource named `R.drawable.splash_icon`. If a `Resources.NotFoundException` is thrown while accessing the resource, it means that the app has missing splits.</t>
        </is>
      </c>
      <c r="M2392" t="n">
        <v>0</v>
      </c>
      <c r="N2392" t="n">
        <v>0</v>
      </c>
      <c r="O2392" t="n">
        <v>0</v>
      </c>
    </row>
    <row r="2393">
      <c r="A2393" t="inlineStr">
        <is>
          <t>wordpress</t>
        </is>
      </c>
      <c r="B2393" t="inlineStr">
        <is>
          <t>WordPress/src/jetpack/java/org/wordpress/android/util/config/InAppUpdateBlockingVersionConfigConstants.kt</t>
        </is>
      </c>
      <c r="C2393">
        <f>HYPERLINK("https://github.com/wordpress-mobile/WordPress-Android/blob/master/WordPress/src/jetpack/java/org/wordpress/android/util/config/InAppUpdateBlockingVersionConfigConstants.kt")</f>
        <v/>
      </c>
      <c r="D2393" t="inlineStr">
        <is>
          <t>This is a Kotlin file containing constants for configuration values used in the WordPress Android app. The `IN_APP_UPDATE_BLOCKING_VERSION_REMOTE_FIELD` constant is defined as a string value representing a remote field name for storing the blocking version number for in-app updates.</t>
        </is>
      </c>
      <c r="E2393" t="n">
        <v>0.0047</v>
      </c>
      <c r="F2393" t="n">
        <v>0.037</v>
      </c>
      <c r="G2393" t="n">
        <v>0.0901</v>
      </c>
      <c r="H2393" t="inlineStr">
        <is>
          <t>This is a Java package named `org.wordpress.android.util.config` that defines constants for use in the WordPress Android app's configuration. The package consists of one constant value, `IN_APP_UPDATE_BLOCKING_VERSION_REMOTE_FIELD`, which has the value `"jp_in_app_update_blocking_version_</t>
        </is>
      </c>
      <c r="I2393" t="n">
        <v>0.006</v>
      </c>
      <c r="J2393" t="n">
        <v>0.0364</v>
      </c>
      <c r="K2393" t="n">
        <v>0.09710000000000001</v>
      </c>
      <c r="L2393" t="inlineStr">
        <is>
          <t>The provided code defines a constant value for the remote field used to store the version number of the app that should block in-app updates.</t>
        </is>
      </c>
      <c r="M2393" t="n">
        <v>0</v>
      </c>
      <c r="N2393" t="n">
        <v>0</v>
      </c>
      <c r="O2393" t="n">
        <v>0.0515</v>
      </c>
    </row>
    <row r="2394">
      <c r="A2394" t="inlineStr">
        <is>
          <t>wordpress</t>
        </is>
      </c>
      <c r="B2394" t="inlineStr">
        <is>
          <t>WordPress/src/debug/java/org/wordpress/android/WPWellSqlConfig.kt</t>
        </is>
      </c>
      <c r="C2394">
        <f>HYPERLINK("https://github.com/wordpress-mobile/WordPress-Android/blob/master/WordPress/src/debug/java/org/wordpress/android/WPWellSqlConfig.kt")</f>
        <v/>
      </c>
      <c r="D2394" t="inlineStr">
        <is>
          <t>This code defines a custom implementation of `WellSqlConfig` class for WordPress Android app. It overrides the `onDowngrade()` method to detect when the database has been downgraded in debug builds and recreates all the tables. If the build flag is set, it shows a toast alerting the user about the downgrade.</t>
        </is>
      </c>
      <c r="E2394" t="n">
        <v>0.0044</v>
      </c>
      <c r="F2394" t="n">
        <v>0.1034</v>
      </c>
      <c r="G2394" t="n">
        <v>0.123</v>
      </c>
      <c r="H2394" t="inlineStr">
        <is>
          <t>This is a Java class that extends the `WellSqlConfig` class from the `com.yarolegovich.wellsql` library. It is used for configuring the well-structured SQL database for a WordPress application.
The class has several methods, including `onDowngrade`, which is called when the database is downgraded (i.e., when</t>
        </is>
      </c>
      <c r="I2394" t="n">
        <v>0.0042</v>
      </c>
      <c r="J2394" t="n">
        <v>0.0357</v>
      </c>
      <c r="K2394" t="n">
        <v>0.0862</v>
      </c>
      <c r="L2394" t="inlineStr">
        <is>
          <t>The `WPWellSqlConfig` class is a subclass of `WellSqlConfig`, which is used for managing databases in WordPress Android app. It has a constructor that takes a `Context` object as input and initializes some variables.
The class overrides the `onDowngrade()` method from the parent class, which is called whenever the database is downgraded. The</t>
        </is>
      </c>
      <c r="M2394" t="n">
        <v>0.0035</v>
      </c>
      <c r="N2394" t="n">
        <v>0.0333</v>
      </c>
      <c r="O2394" t="n">
        <v>0.0806</v>
      </c>
    </row>
    <row r="2395">
      <c r="A2395" t="inlineStr">
        <is>
          <t>wordpress</t>
        </is>
      </c>
      <c r="B2395" t="inlineStr">
        <is>
          <t>WordPress/src/debug/java/org/wordpress/android/WordPressDebug.kt</t>
        </is>
      </c>
      <c r="C2395">
        <f>HYPERLINK("https://github.com/wordpress-mobile/WordPress-Android/blob/master/WordPress/src/debug/java/org/wordpress/android/WordPressDebug.kt")</f>
        <v/>
      </c>
      <c r="D2395" t="inlineStr">
        <is>
          <t>The provided code defines a `WordPressDebug` class that extends the `WordPressApp` class from the `org.wordpress.android` package. It overrides the `onCreate()` method to enable strict mode for debugging purposes.
The `enableStrictMode()` function checks whether the build is a debug build using the `BuildConfig.DEBUG` constant. If it's</t>
        </is>
      </c>
      <c r="E2395" t="n">
        <v>0</v>
      </c>
      <c r="F2395" t="n">
        <v>0.0351</v>
      </c>
      <c r="G2395" t="n">
        <v>0.0427</v>
      </c>
      <c r="H2395" t="inlineStr">
        <is>
          <t>This Android application uses Dagger Hilt to provide dependency injection throughout the app. The `WordPressDebug` class extends the `WordPressApp` class and overrides its `onCreate()` method to enable strict mode for debugging purposes. Strict mode detects disk reads, writes, network access, and other potential issues that could lead to crashes or performance problems. It logs these violations and</t>
        </is>
      </c>
      <c r="I2395" t="n">
        <v>0.0038</v>
      </c>
      <c r="J2395" t="n">
        <v>0.0615</v>
      </c>
      <c r="K2395" t="n">
        <v>0.1163</v>
      </c>
      <c r="L2395" t="inlineStr">
        <is>
          <t>The provided code defines a subclass of `WordPressApp` called `WordPressDebug`. It overrides the `onCreate()` method and calls `enableStrictMode()`. This function checks whether the current build is a debug build using `BuildConfig.DEBUG`, and if so, sets up strict mode policies that detect disk reads, writes, network access, and log errors. It also adds a</t>
        </is>
      </c>
      <c r="M2395" t="n">
        <v>0.0041</v>
      </c>
      <c r="N2395" t="n">
        <v>0.0968</v>
      </c>
      <c r="O2395" t="n">
        <v>0.12</v>
      </c>
    </row>
    <row r="2396">
      <c r="A2396" t="inlineStr">
        <is>
          <t>wordpress</t>
        </is>
      </c>
      <c r="B2396" t="inlineStr">
        <is>
          <t>WordPress/src/debug/java/org/wordpress/android/testing/OpenForTesting.kt</t>
        </is>
      </c>
      <c r="C2396">
        <f>HYPERLINK("https://github.com/wordpress-mobile/WordPress-Android/blob/master/WordPress/src/debug/java/org/wordpress/android/testing/OpenForTesting.kt")</f>
        <v/>
      </c>
      <c r="D2396" t="inlineStr">
        <is>
          <t>The provided code is a Kotlin library that provides two annotations: `@OpenClassAnnotation` and `@OpenForTesting`.
The `@OpenClassAnnotation` annotation is used to indicate that a class should be open (i.e., non-final) in debug builds but final in release builds. This is useful for testing purposes where we may need to subclass a final class in order</t>
        </is>
      </c>
      <c r="E2396" t="n">
        <v>0.004</v>
      </c>
      <c r="F2396" t="n">
        <v>0.0312</v>
      </c>
      <c r="G2396" t="n">
        <v>0.119</v>
      </c>
      <c r="H2396" t="inlineStr">
        <is>
          <t>The provided code defines several annotations that can be used to modify the behavior of Java classes during testing. Specifically, the `OpenClassAnnotation` annotation is used to allow certain classes to be extended or modified in debug builds, while maintaining their final status in release builds. The `OpenForTesting` annotation is used to annotate classes that should be extendable in debug builds.</t>
        </is>
      </c>
      <c r="I2396" t="n">
        <v>0</v>
      </c>
      <c r="J2396" t="n">
        <v>0</v>
      </c>
      <c r="K2396" t="n">
        <v>0.0379</v>
      </c>
      <c r="L2396" t="inlineStr">
        <is>
          <t>The provided code defines two annotations, `OpenClassAnnotation` and `OpenForTesting`, which allow certain classes to be extended in debug builds while remaining final in release builds.</t>
        </is>
      </c>
      <c r="M2396" t="n">
        <v>0.0076</v>
      </c>
      <c r="N2396" t="n">
        <v>0.0606</v>
      </c>
      <c r="O2396" t="n">
        <v>0.0515</v>
      </c>
    </row>
    <row r="2397">
      <c r="A2397" t="inlineStr">
        <is>
          <t>wordpress</t>
        </is>
      </c>
      <c r="B2397" t="inlineStr">
        <is>
          <t>WordPress/src/wordpress/java/org/wordpress/android/ui/accounts/login/LoginPrologueRevampedFragment.kt</t>
        </is>
      </c>
      <c r="C2397">
        <f>HYPERLINK("https://github.com/wordpress-mobile/WordPress-Android/blob/master/WordPress/src/wordpress/java/org/wordpress/android/ui/accounts/login/LoginPrologueRevampedFragment.kt")</f>
        <v/>
      </c>
      <c r="D2397" t="inlineStr">
        <is>
          <t>This is a Kotlin file containing a Composable function called `LoginScreen` that renders a login screen for the WordPress Android app. The function takes in a `context` parameter of type `Context`, which it uses to inflate a layout resource named `org.wordpress.android.ui.accounts.login`. The layout resource includes a `Box` with a background color</t>
        </is>
      </c>
      <c r="E2397" t="n">
        <v>0.0036</v>
      </c>
      <c r="F2397" t="n">
        <v>0.0625</v>
      </c>
      <c r="G2397" t="n">
        <v>0.0813</v>
      </c>
      <c r="H2397" t="inlineStr">
        <is>
          <t>This is a Java package named "org.wordpress.android.ui.accounts.login" that contains a Composable function called "LoginScreen". The function takes in a Context object as a parameter and returns a ComposeView object. It also imports several other AndroidX compose libraries.
The LoginScreen function defines a Column layout with a Box inside it. The Box has a</t>
        </is>
      </c>
      <c r="I2397" t="n">
        <v>0.0041</v>
      </c>
      <c r="J2397" t="n">
        <v>0.09089999999999999</v>
      </c>
      <c r="K2397" t="n">
        <v>0.12</v>
      </c>
      <c r="L2397" t="inlineStr">
        <is>
          <t>The provided code is a part of a Android application that displays a login screen using Compose for Desktop. It defines a `LoginScreen` composable function that takes in a `context` parameter and returns a `ComposeView`. The function sets up the layout by defining a `Box` with a background color and padding, then adds a `Column` inside the box with a navigation</t>
        </is>
      </c>
      <c r="M2397" t="n">
        <v>0.003</v>
      </c>
      <c r="N2397" t="n">
        <v>0.058</v>
      </c>
      <c r="O2397" t="n">
        <v>0.0752</v>
      </c>
    </row>
    <row r="2398">
      <c r="A2398" t="inlineStr">
        <is>
          <t>wordpress</t>
        </is>
      </c>
      <c r="B2398" t="inlineStr">
        <is>
          <t>WordPress/src/wordpress/java/org/wordpress/android/ui/accounts/login/LoginPrologueViewModel.kt</t>
        </is>
      </c>
      <c r="C2398">
        <f>HYPERLINK("https://github.com/wordpress-mobile/WordPress-Android/blob/master/WordPress/src/wordpress/java/org/wordpress/android/ui/accounts/login/LoginPrologueViewModel.kt")</f>
        <v/>
      </c>
      <c r="D2398" t="inlineStr">
        <is>
          <t>This is a Java class that implements the `LoginPrologueViewModel` interface using the Android Architecture Components library. The class has no parameters in its constructor and uses the `@Inject` annotation to indicate that it should be injected with dependencies at runtime. It extends from the `ViewModel` base class, which provides a way for views to communicate with the view model without causing a memory leak</t>
        </is>
      </c>
      <c r="E2398" t="n">
        <v>0.0037</v>
      </c>
      <c r="F2398" t="n">
        <v>0.0833</v>
      </c>
      <c r="G2398" t="n">
        <v>0.1471</v>
      </c>
      <c r="H2398" t="inlineStr">
        <is>
          <t>The code in this repository is part of a mobile app's login feature. It defines a `LoginPrologueViewModel` class that extends Android's `ViewModel` class and provides a way to manage data for the login screen. The class is injected with dependencies using the `@Inject` annotation from the `javax.inject` package. The complexity of the code is O(N</t>
        </is>
      </c>
      <c r="I2398" t="n">
        <v>0.0033</v>
      </c>
      <c r="J2398" t="n">
        <v>0.0597</v>
      </c>
      <c r="K2398" t="n">
        <v>0.1181</v>
      </c>
      <c r="L2398" t="inlineStr">
        <is>
          <t>The provided code is part of a login feature for a mobile app, specifically for the "Login Prologue" view model class. It appears to be written using Kotlin programming language and utilizes the AndroidX library's lifecycle management capabilities.
The view model class is responsible for managing state related to the login process, including authentication credentials and user input validation. It inject</t>
        </is>
      </c>
      <c r="M2398" t="n">
        <v>0.003</v>
      </c>
      <c r="N2398" t="n">
        <v>0.0286</v>
      </c>
      <c r="O2398" t="n">
        <v>0.0752</v>
      </c>
    </row>
    <row r="2399">
      <c r="A2399" t="inlineStr">
        <is>
          <t>wordpress</t>
        </is>
      </c>
      <c r="B2399" t="inlineStr">
        <is>
          <t>WordPress/src/wordpress/java/org/wordpress/android/ui/accounts/login/compose/components/PrimaryButton.kt</t>
        </is>
      </c>
      <c r="C2399">
        <f>HYPERLINK("https://github.com/wordpress-mobile/WordPress-Android/blob/master/WordPress/src/wordpress/java/org/wordpress/android/ui/accounts/login/compose/components/PrimaryButton.kt")</f>
        <v/>
      </c>
      <c r="D2399" t="inlineStr">
        <is>
          <t>This is a Kotlin file that defines a Composable function called `LoginButton`. It takes in a `configuration` parameter of type `Configuration`, which is used to determine the layout of the button based on the device's screen size and orientation. The function also takes in several other parameters for styling and customization purposes.
The function first sets up some default values for the</t>
        </is>
      </c>
      <c r="E2399" t="n">
        <v>0.0035</v>
      </c>
      <c r="F2399" t="n">
        <v>0.08450000000000001</v>
      </c>
      <c r="G2399" t="n">
        <v>0.1119</v>
      </c>
      <c r="H2399" t="inlineStr">
        <is>
          <t>This is a Java code file that defines a Composable function called "LoginButton" in the package "org.wordpress.android.ui.accounts.login.compose.components". The function takes no arguments and returns a Button element with various properties set, such as its text content, shape, color, size, and font weight. It also includes some comments describing the purpose of the</t>
        </is>
      </c>
      <c r="I2399" t="n">
        <v>0.0042</v>
      </c>
      <c r="J2399" t="n">
        <v>0.0896</v>
      </c>
      <c r="K2399" t="n">
        <v>0.121</v>
      </c>
      <c r="L2399" t="inlineStr">
        <is>
          <t>The provided code is part of a Compose UI component for Android that displays a button with text "Log in" inside a rounded rectangle shape. The button has a fillMaxWidth modifier, which means it will take up all available horizontal space within its parent container. It also has padding applied to give it some extra space around the edges. The button's background color is set using a</t>
        </is>
      </c>
      <c r="M2399" t="n">
        <v>0</v>
      </c>
      <c r="N2399" t="n">
        <v>0</v>
      </c>
      <c r="O2399" t="n">
        <v>0.036</v>
      </c>
    </row>
    <row r="2400">
      <c r="A2400" t="inlineStr">
        <is>
          <t>wordpress</t>
        </is>
      </c>
      <c r="B2400" t="inlineStr">
        <is>
          <t>WordPress/src/wordpress/java/org/wordpress/android/ui/accounts/login/compose/components/Tagline.kt</t>
        </is>
      </c>
      <c r="C2400">
        <f>HYPERLINK("https://github.com/wordpress-mobile/WordPress-Android/blob/master/WordPress/src/wordpress/java/org/wordpress/android/ui/accounts/login/compose/components/Tagline.kt")</f>
        <v/>
      </c>
      <c r="D2400" t="inlineStr">
        <is>
          <t>This is a Kotlin Android Compose project that provides a set of reusable UI components for building user interfaces in the WordPress mobile app. The project includes several modules, each with its own responsibilities and functionalities. Some of the key features of this project include:
* A `LoginScreen` module that provides a login screen layout with a logo, username input field,</t>
        </is>
      </c>
      <c r="E2400" t="n">
        <v>0.0039</v>
      </c>
      <c r="F2400" t="n">
        <v>0.0882</v>
      </c>
      <c r="G2400" t="n">
        <v>0.1128</v>
      </c>
      <c r="H2400" t="inlineStr">
        <is>
          <t>This is a Kotlin package for Android development that includes several composable functions for building user interfaces using the Compose UI library. The package provides various functionalities such as displaying images, text, and shapes with customizable properties like size, padding, and background color. It also includes support for different screen orientations and languages through resources files. Overall, this package appears to be a collection</t>
        </is>
      </c>
      <c r="I2400" t="n">
        <v>0.0034</v>
      </c>
      <c r="J2400" t="n">
        <v>0.0833</v>
      </c>
      <c r="K2400" t="n">
        <v>0.1103</v>
      </c>
      <c r="L2400" t="inlineStr">
        <is>
          <t>The provided code is part of a Compose for Desktop application that displays a user profile image with a username and email address. It imports various Composables from the AndroidX compose library and uses them to create a custom layout for displaying the user's profile picture. The code also includes some configuration options such as setting the background color and shape, adding padding, and specifying the size of the</t>
        </is>
      </c>
      <c r="M2400" t="n">
        <v>0.0026</v>
      </c>
      <c r="N2400" t="n">
        <v>0.0256</v>
      </c>
      <c r="O2400" t="n">
        <v>0.0709</v>
      </c>
    </row>
    <row r="2401">
      <c r="A2401" t="inlineStr">
        <is>
          <t>wordpress</t>
        </is>
      </c>
      <c r="B2401" t="inlineStr">
        <is>
          <t>WordPress/src/wordpress/java/org/wordpress/android/ui/accounts/login/compose/components/SecondaryButton.kt</t>
        </is>
      </c>
      <c r="C2401">
        <f>HYPERLINK("https://github.com/wordpress-mobile/WordPress-Android/blob/master/WordPress/src/wordpress/java/org/wordpress/android/ui/accounts/login/compose/components/SecondaryButton.kt")</f>
        <v/>
      </c>
      <c r="D2401" t="inlineStr">
        <is>
          <t>The `SecondaryButton` function is a composable UI component in Android that displays a button with secondary styling. It takes in several parameters, including the button's label (`text`), the action to perform when clicked (`onClick`), and any additional modifiers or styles. The function returns a `Button` widget with the specified properties.
The `SecondaryButton` component</t>
        </is>
      </c>
      <c r="E2401" t="n">
        <v>0.0035</v>
      </c>
      <c r="F2401" t="n">
        <v>0.0645</v>
      </c>
      <c r="G2401" t="n">
        <v>0.08</v>
      </c>
      <c r="H2401" t="inlineStr">
        <is>
          <t>This is a Kotlin file that defines a Composable function called `SecondaryButton`. The function takes in several parameters, including a string `text`, a lambda expression for the button's click handler `onClick`, a `modifier` parameter to customize the layout, and an optional boolean parameter `enabled` to enable or disable the button.
The function returns a `Button</t>
        </is>
      </c>
      <c r="I2401" t="n">
        <v>0.004</v>
      </c>
      <c r="J2401" t="n">
        <v>0.09379999999999999</v>
      </c>
      <c r="K2401" t="n">
        <v>0.1181</v>
      </c>
      <c r="L2401" t="inlineStr">
        <is>
          <t>The provided code is part of a Compose for Desktop application and defines a `SecondaryButton` component that displays a button with a secondary theme. The component takes several parameters such as text, click handler, modifiers, and whether the button is enabled. The component uses Material Design 3 (MD3) themes and styles to define the appearance of the button. It also includes</t>
        </is>
      </c>
      <c r="M2401" t="n">
        <v>0.003</v>
      </c>
      <c r="N2401" t="n">
        <v>0.029</v>
      </c>
      <c r="O2401" t="n">
        <v>0.0752</v>
      </c>
    </row>
    <row r="2402">
      <c r="A2402" t="inlineStr">
        <is>
          <t>wordpress</t>
        </is>
      </c>
      <c r="B2402" t="inlineStr">
        <is>
          <t>WordPress/src/wordpress/java/org/wordpress/android/ui/deeplinks/JetpackAppUninstallReceiver.kt</t>
        </is>
      </c>
      <c r="C2402">
        <f>HYPERLINK("https://github.com/wordpress-mobile/WordPress-Android/blob/master/WordPress/src/wordpress/java/org/wordpress/android/ui/deeplinks/JetpackAppUninstallReceiver.kt")</f>
        <v/>
      </c>
      <c r="D2402" t="inlineStr">
        <is>
          <t>The provided code is a broadcast receiver that listens for the `ACTION_PACKAGE_FULLY_REMOVED` action, which indicates that a package has been fully removed from the device. When this action is received, the receiver calls the `onJetpackUninstalled()` method, which toggles a preference flag indicating whether the Jetpack library is installed or not</t>
        </is>
      </c>
      <c r="E2402" t="n">
        <v>0</v>
      </c>
      <c r="F2402" t="n">
        <v>0.0328</v>
      </c>
      <c r="G2402" t="n">
        <v>0.041</v>
      </c>
      <c r="H2402" t="inlineStr">
        <is>
          <t>This is a Java class that implements a `BroadcastReceiver` for Android. It listens for the `ACTION_PACKAGE_FULLY_REMOVED` broadcast action, which indicates that a package has been fully removed from the device. When this happens, it calls the `onJetpackUninstalled()` method, which toggles a preference flag indicating whether</t>
        </is>
      </c>
      <c r="I2402" t="n">
        <v>0.0049</v>
      </c>
      <c r="J2402" t="n">
        <v>0.07140000000000001</v>
      </c>
      <c r="K2402" t="n">
        <v>0.08550000000000001</v>
      </c>
      <c r="L2402" t="inlineStr">
        <is>
          <t>The provided code is part of an Android application that listens for package removal events using a broadcast receiver. When the Jetpack library is uninstalled, the code toggles a preference flag to disable certain features and enables other components.</t>
        </is>
      </c>
      <c r="M2402" t="n">
        <v>0.0047</v>
      </c>
      <c r="N2402" t="n">
        <v>0.0426</v>
      </c>
      <c r="O2402" t="n">
        <v>0.0901</v>
      </c>
    </row>
    <row r="2403">
      <c r="A2403" t="inlineStr">
        <is>
          <t>wordpress</t>
        </is>
      </c>
      <c r="B2403" t="inlineStr">
        <is>
          <t>WordPress/src/wordpress/java/org/wordpress/android/ui/mysite/jetpackbadge/JetpackAppInstallReceiver.kt</t>
        </is>
      </c>
      <c r="C2403">
        <f>HYPERLINK("https://github.com/wordpress-mobile/WordPress-Android/blob/master/WordPress/src/wordpress/java/org/wordpress/android/ui/mysite/jetpackbadge/JetpackAppInstallReceiver.kt")</f>
        <v/>
      </c>
      <c r="D2403" t="inlineStr">
        <is>
          <t>The `JetpackAppInstallReceiver` class is a broadcast receiver that listens for the installation of a new app in the device's app store. When this happens, it disables notifications for the app using the `disableNotifications()` method. This method takes a `Context` object as its argument and uses the `updateNotificationSettingsUseCase` use case to disable notifications for</t>
        </is>
      </c>
      <c r="E2403" t="n">
        <v>0.0041</v>
      </c>
      <c r="F2403" t="n">
        <v>0.0645</v>
      </c>
      <c r="G2403" t="n">
        <v>0.12</v>
      </c>
      <c r="H2403" t="inlineStr">
        <is>
          <t>This is a Kotlin Android project that uses Hilt for dependency injection and coroutines for asynchronous programming. The `JetpackAppInstallReceiver` class extends `BroadcastReceiver` and has four dependencies injected through constructor injection using Dagger Hilt:
* `updateNotificationSettingsUseCase`: An instance of `UpdateNotificationSettingsUseCase`, which is used to update</t>
        </is>
      </c>
      <c r="I2403" t="n">
        <v>0.005</v>
      </c>
      <c r="J2403" t="n">
        <v>0.0784</v>
      </c>
      <c r="K2403" t="n">
        <v>0.1293</v>
      </c>
      <c r="L2403" t="inlineStr">
        <is>
          <t>The provided code is part of a mobile app's Android project. It defines a `JetpackAppInstallReceiver` class that extends from `BroadcastReceiver`. When the receiver receives an intent, it disables notifications by calling the `disableNotifications()` method.
The `updateNotificationSettingsUseCase` field is injected using Hilt dependency injection framework, which allows</t>
        </is>
      </c>
      <c r="M2403" t="n">
        <v>0</v>
      </c>
      <c r="N2403" t="n">
        <v>0</v>
      </c>
      <c r="O2403" t="n">
        <v>0.0424</v>
      </c>
    </row>
    <row r="2404">
      <c r="A2404" t="inlineStr">
        <is>
          <t>wordpress</t>
        </is>
      </c>
      <c r="B2404" t="inlineStr">
        <is>
          <t>WordPress/src/wordpress/java/org/wordpress/android/util/MissingSplitsUtils.kt</t>
        </is>
      </c>
      <c r="C2404">
        <f>HYPERLINK("https://github.com/wordpress-mobile/WordPress-Android/blob/master/WordPress/src/wordpress/java/org/wordpress/android/util/MissingSplitsUtils.kt")</f>
        <v/>
      </c>
      <c r="D2404" t="inlineStr">
        <is>
          <t>The provided code defines a class called `MissingSplitsUtils` in the `org.wordpress.android.util` package. It has a single method called `isMissingSplits`, which takes a `Context` object as its parameter.
The method tries to access a resource with the ID `R.drawable.brush_stroke`. If this operation fails</t>
        </is>
      </c>
      <c r="E2404" t="n">
        <v>0</v>
      </c>
      <c r="F2404" t="n">
        <v>0.0357</v>
      </c>
      <c r="G2404" t="n">
        <v>0.0439</v>
      </c>
      <c r="H2404" t="inlineStr">
        <is>
          <t>This Java code defines a class called `MissingSplitsUtils` in the `org.wordpress.android.util` package. The class has a single method called `isMissingSplits`, which takes a `Context` object as its parameter and returns a boolean value indicating whether or not the application is running with missing splits.
The implementation of this method involves</t>
        </is>
      </c>
      <c r="I2404" t="n">
        <v>0.0044</v>
      </c>
      <c r="J2404" t="n">
        <v>0.06560000000000001</v>
      </c>
      <c r="K2404" t="n">
        <v>0.1639</v>
      </c>
      <c r="L2404" t="inlineStr">
        <is>
          <t>The provided code defines a utility class called `MissingSplitsUtils` within the `org.wordpress.android.util` package. It has one method named `isMissingSplits`, which takes a `Context` object as input and returns a boolean value indicating whether the app has missing splits.
The method tries to access a specific drawable resource (`R</t>
        </is>
      </c>
      <c r="M2404" t="n">
        <v>0.0038</v>
      </c>
      <c r="N2404" t="n">
        <v>0.0339</v>
      </c>
      <c r="O2404" t="n">
        <v>0.0417</v>
      </c>
    </row>
    <row r="2405">
      <c r="A2405" t="inlineStr">
        <is>
          <t>wordpress</t>
        </is>
      </c>
      <c r="B2405" t="inlineStr">
        <is>
          <t>WordPress/src/wordpress/java/org/wordpress/android/util/config/InAppUpdateBlockingVersionConfigConstants.kt</t>
        </is>
      </c>
      <c r="C2405">
        <f>HYPERLINK("https://github.com/wordpress-mobile/WordPress-Android/blob/master/WordPress/src/wordpress/java/org/wordpress/android/util/config/InAppUpdateBlockingVersionConfigConstants.kt")</f>
        <v/>
      </c>
      <c r="D2405" t="inlineStr">
        <is>
          <t>The provided code defines a constant called `IN_APP_UPDATE_BLOCKING_VERSION_REMOTE_FIELD` with value `"wp_in_app_update_blocking_version_android"` in the `org.wordpress.android.util.config` package.</t>
        </is>
      </c>
      <c r="E2405" t="n">
        <v>0</v>
      </c>
      <c r="F2405" t="n">
        <v>0</v>
      </c>
      <c r="G2405" t="n">
        <v>0</v>
      </c>
      <c r="H2405" t="inlineStr">
        <is>
          <t>This Java package `org.wordpress.android.util.config` defines several constants used in the configuration of the WordPress Android app. The constants include `IN_APP_UPDATE_BLOCKING_VERSION_REMOTE_FIELD`, which is a string representing the remote field for the version number of the blocking update.
The complexity of this code is O(</t>
        </is>
      </c>
      <c r="I2405" t="n">
        <v>0.0043</v>
      </c>
      <c r="J2405" t="n">
        <v>0.0328</v>
      </c>
      <c r="K2405" t="n">
        <v>0.08699999999999999</v>
      </c>
      <c r="L2405" t="inlineStr">
        <is>
          <t>The provided code defines a constant value for a remote field called `IN_APP_UPDATE_BLOCKING_VERSION_REMOTE_FIELD` within the `org.wordpress.android.util.config` package. The constant is used to store a version number that determines when an app update should be blocked.</t>
        </is>
      </c>
      <c r="M2405" t="n">
        <v>0</v>
      </c>
      <c r="N2405" t="n">
        <v>0</v>
      </c>
      <c r="O2405" t="n">
        <v>0.0467</v>
      </c>
    </row>
    <row r="2406">
      <c r="A2406" t="inlineStr">
        <is>
          <t>wordpress</t>
        </is>
      </c>
      <c r="B2406" t="inlineStr">
        <is>
          <t>WordPress/src/main/java/org/wordpress/android/WordPressDB.java</t>
        </is>
      </c>
      <c r="C2406">
        <f>HYPERLINK("https://github.com/wordpress-mobile/WordPress-Android/blob/master/WordPress/src/main/java/org/wordpress/android/WordPressDB.java")</f>
        <v/>
      </c>
      <c r="D2406" t="inlineStr">
        <is>
          <t>The `WordPressDB` class is a database management system for storing data related to the WordPress application. It provides methods for creating, updating, and querying the database tables used by the app. The class also includes methods for backing up and restoring the database using Android's built-in backup mechanism.
The `WordPressDB` class has several important functions that are</t>
        </is>
      </c>
      <c r="E2406" t="n">
        <v>0.0032</v>
      </c>
      <c r="F2406" t="n">
        <v>0.0299</v>
      </c>
      <c r="G2406" t="n">
        <v>0.0775</v>
      </c>
      <c r="H2406" t="inlineStr">
        <is>
          <t>This is a Java Android project that includes a database component for storing data related to a WordPress website. The main class in this project is `WordPressDB`, which extends the `SQLiteOpenHelper` class from the Android SDK. It has several methods for interacting with the database, including `onCreate()`, `onUpgrade()`, and `onDowngrade()`. These methods handle various tasks</t>
        </is>
      </c>
      <c r="I2406" t="n">
        <v>0.004</v>
      </c>
      <c r="J2406" t="n">
        <v>0.0635</v>
      </c>
      <c r="K2406" t="n">
        <v>0.07870000000000001</v>
      </c>
      <c r="L2406" t="inlineStr">
        <is>
          <t>The provided code is part of a Java application that creates and manages a SQLite database for a WordPress Android app. It defines several tables and models used by the app, as well as methods for reading and writing data from the database. The code also includes comments and logging statements to help with debugging and maintenance. Overall, the functionality of the code appears to be related to storing and retr</t>
        </is>
      </c>
      <c r="M2406" t="n">
        <v>0.003</v>
      </c>
      <c r="N2406" t="n">
        <v>0.0506</v>
      </c>
      <c r="O2406" t="n">
        <v>0.0699</v>
      </c>
    </row>
    <row r="2407">
      <c r="A2407" t="inlineStr">
        <is>
          <t>wordpress</t>
        </is>
      </c>
      <c r="B2407" t="inlineStr">
        <is>
          <t>WordPress/src/main/java/org/wordpress/android/WellSqlInitializer.kt</t>
        </is>
      </c>
      <c r="C2407">
        <f>HYPERLINK("https://github.com/wordpress-mobile/WordPress-Android/blob/master/WordPress/src/main/java/org/wordpress/android/WellSqlInitializer.kt")</f>
        <v/>
      </c>
      <c r="D2407" t="inlineStr">
        <is>
          <t>This is a Kotlin class that initializes the WellSql database for the WordPress Android app. It takes in a `Context` object as a parameter in its constructor and uses it to create a new instance of the `WPWellSqlConfig` class, which configures the WellSql database. The `init()` method then calls the `WellSql.init()` method with the configured `</t>
        </is>
      </c>
      <c r="E2407" t="n">
        <v>0.0039</v>
      </c>
      <c r="F2407" t="n">
        <v>0.0625</v>
      </c>
      <c r="G2407" t="n">
        <v>0.1172</v>
      </c>
      <c r="H2407" t="inlineStr">
        <is>
          <t>This is a Java Android project that uses Dagger Hilt for dependency injection and WellSQL for database management. The `WellSqlInitializer` class is a singleton that takes a `Context` object as its parameter in its constructor and has a single method called `init()` which initializes the WellSQL library using a configuration object created from the given `Context`.</t>
        </is>
      </c>
      <c r="I2407" t="n">
        <v>0.0039</v>
      </c>
      <c r="J2407" t="n">
        <v>0.0625</v>
      </c>
      <c r="K2407" t="n">
        <v>0.1172</v>
      </c>
      <c r="L2407" t="inlineStr">
        <is>
          <t>The provided code initializes the WellSql library for Android using Hilt dependency injection. It takes a Context object as input and uses it to create a WellSqlConfig instance that is then passed to the WellSql.init method. The method creates a Singleton instance of the WellSqlInitializer class, which is responsible for initializing the WellSql library.</t>
        </is>
      </c>
      <c r="M2407" t="n">
        <v>0.0034</v>
      </c>
      <c r="N2407" t="n">
        <v>0.0317</v>
      </c>
      <c r="O2407" t="n">
        <v>0.0794</v>
      </c>
    </row>
    <row r="2408">
      <c r="A2408" t="inlineStr">
        <is>
          <t>wordpress</t>
        </is>
      </c>
      <c r="B2408" t="inlineStr">
        <is>
          <t>WordPress/src/main/java/org/wordpress/android/WordPress.kt</t>
        </is>
      </c>
      <c r="C2408">
        <f>HYPERLINK("https://github.com/wordpress-mobile/WordPress-Android/blob/master/WordPress/src/main/java/org/wordpress/android/WordPress.kt")</f>
        <v/>
      </c>
      <c r="D2408" t="inlineStr">
        <is>
          <t>This is an Android application written in Kotlin that extends the `Application` class from the Android SDK. It uses Dagger Hilt for dependency injection and Coil for image loading. The `WordPress` class has several abstract methods that must be implemented by subclasses, including `initializer()`, which returns an instance of `AppInitializer`. The `onCreate()` method sets up some basic</t>
        </is>
      </c>
      <c r="E2408" t="n">
        <v>0.0038</v>
      </c>
      <c r="F2408" t="n">
        <v>0.0615</v>
      </c>
      <c r="G2408" t="n">
        <v>0.155</v>
      </c>
      <c r="H2408" t="inlineStr">
        <is>
          <t>This is a Kotlin Android project that provides a base implementation for a WordPress mobile app. The project includes several modules, including the main `WordPress` module, which defines the entry point for the app and sets up various dependencies, such as the Flux architecture and the Coil image loading library. Additionally, it also includes a `WordPressTest` module for testing purposes.</t>
        </is>
      </c>
      <c r="I2408" t="n">
        <v>0.004</v>
      </c>
      <c r="J2408" t="n">
        <v>0.0882</v>
      </c>
      <c r="K2408" t="n">
        <v>0.1515</v>
      </c>
      <c r="L2408" t="inlineStr">
        <is>
          <t>The provided code is a subclass of Android's `Application` class called `WordPress`. It defines several variables and methods that can be used by other classes within the app.
The `WordPress` class has a dependency injection framework called Hilt, which allows for easy management of dependencies between different parts of the app. It also uses Coil as an image loading library and Ok</t>
        </is>
      </c>
      <c r="M2408" t="n">
        <v>0.0029</v>
      </c>
      <c r="N2408" t="n">
        <v>0.0282</v>
      </c>
      <c r="O2408" t="n">
        <v>0.0746</v>
      </c>
    </row>
    <row r="2409">
      <c r="A2409" t="inlineStr">
        <is>
          <t>wordpress</t>
        </is>
      </c>
      <c r="B2409" t="inlineStr">
        <is>
          <t>WordPress/src/main/java/org/wordpress/android/Constants.java</t>
        </is>
      </c>
      <c r="C2409">
        <f>HYPERLINK("https://github.com/wordpress-mobile/WordPress-Android/blob/master/WordPress/src/main/java/org/wordpress/android/Constants.java")</f>
        <v/>
      </c>
      <c r="D2409" t="inlineStr">
        <is>
          <t>This is a Java file containing constants for various URLs used in a WordPress application. The `Constants` class defines several string variables representing different URLs, including the terms of service, privacy policy, datetime format help page, timezone endpoint, Jetpack settings page, VaultPress dashboard, and product type (for domains).</t>
        </is>
      </c>
      <c r="E2409" t="n">
        <v>0.0045</v>
      </c>
      <c r="F2409" t="n">
        <v>0.07140000000000001</v>
      </c>
      <c r="G2409" t="n">
        <v>0.125</v>
      </c>
      <c r="H2409" t="inlineStr">
        <is>
          <t>This is a Java file that defines several constants used in the WordPress Android app. The constants include URLs for various purposes such as linking to the Terms of Service, Privacy Policy, and Jetpack settings page. There is also a constant defined for the type of product (in this case, "domains"). Overall, this file appears to be part of the backend of the app</t>
        </is>
      </c>
      <c r="I2409" t="n">
        <v>0.0034</v>
      </c>
      <c r="J2409" t="n">
        <v>0.0556</v>
      </c>
      <c r="K2409" t="n">
        <v>0.1103</v>
      </c>
      <c r="L2409" t="inlineStr">
        <is>
          <t>The code defines constants for various URLs used throughout the WordPress Android app. These constants include links to the Terms of Service, Privacy Policy, DateTime format help page, Timezone endpoint, Jetpack settings page, and VaultPress dashboard.</t>
        </is>
      </c>
      <c r="M2409" t="n">
        <v>0.0052</v>
      </c>
      <c r="N2409" t="n">
        <v>0.0455</v>
      </c>
      <c r="O2409" t="n">
        <v>0.0926</v>
      </c>
    </row>
    <row r="2410">
      <c r="A2410" t="inlineStr">
        <is>
          <t>wordpress</t>
        </is>
      </c>
      <c r="B2410" t="inlineStr">
        <is>
          <t>WordPress/src/main/java/org/wordpress/android/JobServiceId.java</t>
        </is>
      </c>
      <c r="C2410">
        <f>HYPERLINK("https://github.com/wordpress-mobile/WordPress-Android/blob/master/WordPress/src/main/java/org/wordpress/android/JobServiceId.java")</f>
        <v/>
      </c>
      <c r="D2410" t="inlineStr">
        <is>
          <t>This is a Java file that defines constants for various job service IDs used in the WordPress Android app. The file contains several integer values that represent different types of jobs, such as GCM registration, reader update, publicize update, search, notifications update, and stats update. Each constant has a unique ID value assigned to it, which can be used to identify and manage specific jobs within the</t>
        </is>
      </c>
      <c r="E2410" t="n">
        <v>0.0032</v>
      </c>
      <c r="F2410" t="n">
        <v>0.0533</v>
      </c>
      <c r="G2410" t="n">
        <v>0.1079</v>
      </c>
      <c r="H2410" t="inlineStr">
        <is>
          <t>This Java file defines a set of constants for job IDs used in the WordPress Android app. The constants are defined as integers and represent different types of jobs that can be scheduled using the `JobScheduler` API. These jobs include registering with GCM (Google Cloud Messaging), updating reader data, publishing updates to social media, searching for content, updating notifications, and sending statistics.</t>
        </is>
      </c>
      <c r="I2410" t="n">
        <v>0.0035</v>
      </c>
      <c r="J2410" t="n">
        <v>0.0571</v>
      </c>
      <c r="K2410" t="n">
        <v>0.1119</v>
      </c>
      <c r="L2410" t="inlineStr">
        <is>
          <t>The provided Java code defines constants for various job service IDs used by the WordPress Android app. These IDs are used to schedule background jobs using the Android Job Scheduler API. The code also provides utility methods for creating and scheduling these jobs.</t>
        </is>
      </c>
      <c r="M2410" t="n">
        <v>0.0043</v>
      </c>
      <c r="N2410" t="n">
        <v>0.0392</v>
      </c>
      <c r="O2410" t="n">
        <v>0.08699999999999999</v>
      </c>
    </row>
    <row r="2411">
      <c r="A2411" t="inlineStr">
        <is>
          <t>wordpress</t>
        </is>
      </c>
      <c r="B2411" t="inlineStr">
        <is>
          <t>WordPress/src/main/java/org/wordpress/android/WordPressApp.java</t>
        </is>
      </c>
      <c r="C2411">
        <f>HYPERLINK("https://github.com/wordpress-mobile/WordPress-Android/blob/master/WordPress/src/main/java/org/wordpress/android/WordPressApp.java")</f>
        <v/>
      </c>
      <c r="D2411" t="inlineStr">
        <is>
          <t>This is a Java file that defines a custom application class called `WordPressApp`. It inherits from `WordPress`, which is likely another custom class defined in this project. The `WordPressApp` class also implements the `HasAndroidInjector` interface, which provides methods for injecting dependencies into the app.
The constructor takes no arguments and calls the `super()` method</t>
        </is>
      </c>
      <c r="E2411" t="n">
        <v>0.0045</v>
      </c>
      <c r="F2411" t="n">
        <v>0.0968</v>
      </c>
      <c r="G2411" t="n">
        <v>0.119</v>
      </c>
      <c r="H2411" t="inlineStr">
        <is>
          <t>This is a Java Android app that uses Dagger for dependency injection and provides a basic implementation of the WordPress platform. The `WordPressApp` class is the main entry point of the application and it is responsible for creating the necessary dependencies and starting the app's initialization process. It also implements the `HasAndroidInjector` interface to provide access to the injected dependencies. The `</t>
        </is>
      </c>
      <c r="I2411" t="n">
        <v>0.0039</v>
      </c>
      <c r="J2411" t="n">
        <v>0.0857</v>
      </c>
      <c r="K2411" t="n">
        <v>0.1493</v>
      </c>
      <c r="L2411" t="inlineStr">
        <is>
          <t>The provided code is a Java class named `WordPressApp` that extends the `WordPress` class and implements the `HasAndroidInjector` interface. It has two injected fields: `mDispatchingAndroidInjector`, which is an instance of `DispatchingAndroidInjector`, and `mAppInitializer`, which is an instance of `AppInitializer`.
The</t>
        </is>
      </c>
      <c r="M2411" t="n">
        <v>0.0055</v>
      </c>
      <c r="N2411" t="n">
        <v>0.0833</v>
      </c>
      <c r="O2411" t="n">
        <v>0.0893</v>
      </c>
    </row>
    <row r="2412">
      <c r="A2412" t="inlineStr">
        <is>
          <t>wordpress</t>
        </is>
      </c>
      <c r="B2412" t="inlineStr">
        <is>
          <t>WordPress/src/main/java/org/wordpress/android/Result.kt</t>
        </is>
      </c>
      <c r="C2412">
        <f>HYPERLINK("https://github.com/wordpress-mobile/WordPress-Android/blob/master/WordPress/src/main/java/org/wordpress/android/Result.kt")</f>
        <v/>
      </c>
      <c r="D2412" t="inlineStr">
        <is>
          <t>The code defines a sealed class called `Result` that represents either a failure or a success with two type parameters, `L` for the error type and `R` for the result type. The class has two subclasses, `Failure` and `Success`, which represent the different possible states of the `Result`. The `Failure` subclass takes a single parameter, `value`, of</t>
        </is>
      </c>
      <c r="E2412" t="n">
        <v>0.0032</v>
      </c>
      <c r="F2412" t="n">
        <v>0.0308</v>
      </c>
      <c r="G2412" t="n">
        <v>0.0388</v>
      </c>
      <c r="H2412" t="inlineStr">
        <is>
          <t>This is a Kotlin sealed class named `Result` that represents either a successful result (represented by the `Success` subclass) or a failure (represented by the `Failure` subclass). The `value` property of each subclass holds the actual data returned from the operation. The `Result` class is used to encapsulate the outcome of an operation in a way</t>
        </is>
      </c>
      <c r="I2412" t="n">
        <v>0.0033</v>
      </c>
      <c r="J2412" t="n">
        <v>0.0312</v>
      </c>
      <c r="K2412" t="n">
        <v>0.0781</v>
      </c>
      <c r="L2412" t="inlineStr">
        <is>
          <t>The provided code defines a sealed class called `Result` that represents the outcome of an operation as either a success or failure. It has two subclasses: `Failure`, which holds a value of type `L` for failed operations, and `Success`, which holds a value of type `R` for successful ones. The class is designed to be used as a return type for functions that</t>
        </is>
      </c>
      <c r="M2412" t="n">
        <v>0.0029</v>
      </c>
      <c r="N2412" t="n">
        <v>0.0282</v>
      </c>
      <c r="O2412" t="n">
        <v>0.0741</v>
      </c>
    </row>
    <row r="2413">
      <c r="A2413" t="inlineStr">
        <is>
          <t>wordpress</t>
        </is>
      </c>
      <c r="B2413" t="inlineStr">
        <is>
          <t>WordPress/src/main/java/org/wordpress/android/AppInitializer.kt</t>
        </is>
      </c>
      <c r="C2413">
        <f>HYPERLINK("https://github.com/wordpress-mobile/WordPress-Android/blob/master/WordPress/src/main/java/org/wordpress/android/AppInitializer.kt")</f>
        <v/>
      </c>
      <c r="D2413" t="inlineStr">
        <is>
          <t>This is a Kotlin file that defines several classes related to Android application development. The main class in this file is `WordPressAndroid`, which extends the `Application` class and provides various methods for managing the app's lifecycle, resources, and data storage.
The file also includes several other classes, such as `AppOpsManager`, `NotificationManager`, `Connect</t>
        </is>
      </c>
      <c r="E2413" t="n">
        <v>0.0042</v>
      </c>
      <c r="F2413" t="n">
        <v>0.06560000000000001</v>
      </c>
      <c r="G2413" t="n">
        <v>0.0806</v>
      </c>
      <c r="H2413" t="inlineStr">
        <is>
          <t>This is a Java file containing various classes and methods related to Android application development. The file imports several packages from the `android` and `androidx` namespaces, including `android.app`, `android.content`, `android.os`, and `android.webkit`. It also includes some annotations such as `@file:Suppress("DEPRECATION")` and `@Requires</t>
        </is>
      </c>
      <c r="I2413" t="n">
        <v>0.0052</v>
      </c>
      <c r="J2413" t="n">
        <v>0.07140000000000001</v>
      </c>
      <c r="K2413" t="n">
        <v>0.0877</v>
      </c>
      <c r="L2413" t="inlineStr">
        <is>
          <t>The provided code is part of an Android application written in Kotlin. It appears to be related to the management of notifications and push notifications for the app. The code defines several classes and interfaces that are used to manage notification channels, notification manager, and other related features.
The main purpose of the code seems to be to provide a way for the app to handle notifications and push notifications in</t>
        </is>
      </c>
      <c r="M2413" t="n">
        <v>0.0026</v>
      </c>
      <c r="N2413" t="n">
        <v>0.0253</v>
      </c>
      <c r="O2413" t="n">
        <v>0.0699</v>
      </c>
    </row>
    <row r="2414">
      <c r="A2414" t="inlineStr">
        <is>
          <t>wordpress</t>
        </is>
      </c>
      <c r="B2414" t="inlineStr">
        <is>
          <t>WordPress/src/main/java/org/wordpress/android/provider/query/QueryContentProvider.kt</t>
        </is>
      </c>
      <c r="C2414">
        <f>HYPERLINK("https://github.com/wordpress-mobile/WordPress-Android/blob/master/WordPress/src/main/java/org/wordpress/android/provider/query/QueryContentProvider.kt")</f>
        <v/>
      </c>
      <c r="D2414" t="inlineStr">
        <is>
          <t>The provided code defines an abstract `QueryContentProvider` class that extends Android's `ContentProvider`. This class provides basic CRUD (Create, Read, Update, Delete) operations for content data in a database. However, it does not allow any actual implementation of these methods as they all throw `IllegalAccessException` exceptions.
The `getType`, `insert`, `</t>
        </is>
      </c>
      <c r="E2414" t="n">
        <v>0.0037</v>
      </c>
      <c r="F2414" t="n">
        <v>0.0702</v>
      </c>
      <c r="G2414" t="n">
        <v>0.08260000000000001</v>
      </c>
      <c r="H2414" t="inlineStr">
        <is>
          <t>This is a Java package containing a custom content provider implementation for Android apps. The `QueryContentProvider` abstract class provides a base implementation for a content provider that can handle CRUD (create, read, update, delete) operations on data stored in a database. It defines four methods that must be implemented by any subclass: `getType`, `insert`, `delete`, and `update`.</t>
        </is>
      </c>
      <c r="I2414" t="n">
        <v>0.0038</v>
      </c>
      <c r="J2414" t="n">
        <v>0.09229999999999999</v>
      </c>
      <c r="K2414" t="n">
        <v>0.1163</v>
      </c>
      <c r="L2414" t="inlineStr">
        <is>
          <t>The provided code is a Java abstract class named "QueryContentProvider" that extends Android's ContentProvider class. It defines four methods for handling content provider requests: getType(), insert(), delete(), and update(). However, these methods all throw IllegalAccessExceptions because they should never be called on this specific type of ContentProvider. The code also includes some comments and documentation related to the</t>
        </is>
      </c>
      <c r="M2414" t="n">
        <v>0.0031</v>
      </c>
      <c r="N2414" t="n">
        <v>0.0597</v>
      </c>
      <c r="O2414" t="n">
        <v>0.0769</v>
      </c>
    </row>
    <row r="2415">
      <c r="A2415" t="inlineStr">
        <is>
          <t>wordpress</t>
        </is>
      </c>
      <c r="B2415" t="inlineStr">
        <is>
          <t>WordPress/src/main/java/org/wordpress/android/provider/query/QueryResult.kt</t>
        </is>
      </c>
      <c r="C2415">
        <f>HYPERLINK("https://github.com/wordpress-mobile/WordPress-Android/blob/master/WordPress/src/main/java/org/wordpress/android/provider/query/QueryResult.kt")</f>
        <v/>
      </c>
      <c r="D2415" t="inlineStr">
        <is>
          <t>The `QueryResult` class provides two functions for working with database queries in Android: `getValue()` and `createCursor()`.
The `getValue()` function takes a `Cursor` object as input and returns the first column of that cursor as a specific data type. If no data type is specified, it will default to the type of the first row returned by the query. The function uses</t>
        </is>
      </c>
      <c r="E2415" t="n">
        <v>0.003</v>
      </c>
      <c r="F2415" t="n">
        <v>0.058</v>
      </c>
      <c r="G2415" t="n">
        <v>0.0752</v>
      </c>
      <c r="H2415" t="inlineStr">
        <is>
          <t>This is a Kotlin file that defines a class called `QueryResult` which has two functions: `getValue()` and `createCursor()`. The `getValue()` function takes in a `Cursor` object and returns a deserialized JSON string representing the data stored in the first column of the cursor. The `createCursor()` function takes in a serializable object and creates a new `Cursor`</t>
        </is>
      </c>
      <c r="I2415" t="n">
        <v>0.0039</v>
      </c>
      <c r="J2415" t="n">
        <v>0.09379999999999999</v>
      </c>
      <c r="K2415" t="n">
        <v>0.1172</v>
      </c>
      <c r="L2415" t="inlineStr">
        <is>
          <t>The `QueryResult` class is a part of the WordPress Android app's database querying system. It provides methods for retrieving values from a `Cursor` object and creating a new `Cursor` object based on a given value. The class uses the GSON library to convert data between JSON format and Java objects.</t>
        </is>
      </c>
      <c r="M2415" t="n">
        <v>0.0037</v>
      </c>
      <c r="N2415" t="n">
        <v>0.0339</v>
      </c>
      <c r="O2415" t="n">
        <v>0.082</v>
      </c>
    </row>
    <row r="2416">
      <c r="A2416" t="inlineStr">
        <is>
          <t>wordpress</t>
        </is>
      </c>
      <c r="B2416" t="inlineStr">
        <is>
          <t>WordPress/src/main/java/org/wordpress/android/widgets/RoundedSlicesPieChartRenderer.kt</t>
        </is>
      </c>
      <c r="C2416">
        <f>HYPERLINK("https://github.com/wordpress-mobile/WordPress-Android/blob/master/WordPress/src/main/java/org/wordpress/android/widgets/RoundedSlicesPieChartRenderer.kt")</f>
        <v/>
      </c>
      <c r="D2416" t="inlineStr">
        <is>
          <t>This Kotlin class `RoundedSlicesPieChartRenderer` extends the `PieChartRenderer` class from the `com.github.mikephil.charting` library. It provides a custom implementation of the `drawDataSet()` method that adds rounded corners to each pie segment (slice). The `drawDataSet()` method takes two parameters: `dataSet` and `</t>
        </is>
      </c>
      <c r="E2416" t="n">
        <v>0.0056</v>
      </c>
      <c r="F2416" t="n">
        <v>0.1224</v>
      </c>
      <c r="G2416" t="n">
        <v>0.1351</v>
      </c>
      <c r="H2416" t="inlineStr">
        <is>
          <t>This Kotlin class `RoundedSlicesPieChartRenderer` extends the `PieChartRenderer` class from the `com.github.mikephil.charting` library and adds a new method called `drawDataSet()` that allows drawing rounded slices at either the start or end of each pie segment. The method overrides the original implementation by adding some additional logic to</t>
        </is>
      </c>
      <c r="I2416" t="n">
        <v>0.0048</v>
      </c>
      <c r="J2416" t="n">
        <v>0.1053</v>
      </c>
      <c r="K2416" t="n">
        <v>0.1271</v>
      </c>
      <c r="L2416" t="inlineStr">
        <is>
          <t>The `RoundedSlicesPieChartRenderer` class extends the `PieChartRenderer` class from the `com.github.mikephil.charting` library and provides an enhanced version of the `drawDataSet()` method that allows for drawing rounded slices at both the start and end of each pie segment.
The class takes into account the current state of</t>
        </is>
      </c>
      <c r="M2416" t="n">
        <v>0.0041</v>
      </c>
      <c r="N2416" t="n">
        <v>0.0357</v>
      </c>
      <c r="O2416" t="n">
        <v>0.0427</v>
      </c>
    </row>
    <row r="2417">
      <c r="A2417" t="inlineStr">
        <is>
          <t>wordpress</t>
        </is>
      </c>
      <c r="B2417" t="inlineStr">
        <is>
          <t>WordPress/src/main/java/org/wordpress/android/widgets/StorageNotificationDialogFragment.kt</t>
        </is>
      </c>
      <c r="C2417">
        <f>HYPERLINK("https://github.com/wordpress-mobile/WordPress-Android/blob/master/WordPress/src/main/java/org/wordpress/android/widgets/StorageNotificationDialogFragment.kt")</f>
        <v/>
      </c>
      <c r="D2417" t="inlineStr">
        <is>
          <t>This is a Kotlin code snippet for a `StorageNotificationDialogFragment` class that extends `DialogFragment`. It is used to display a dialog with a specific title, message, and buttons (OK and Don't Show Again). The dialog is created using the `onCreateDialog()` method, which takes in a bundle of arguments passed from the parent activity or fragment. The dialog labels (title</t>
        </is>
      </c>
      <c r="E2417" t="n">
        <v>0.0037</v>
      </c>
      <c r="F2417" t="n">
        <v>0.0597</v>
      </c>
      <c r="G2417" t="n">
        <v>0.1154</v>
      </c>
      <c r="H2417" t="inlineStr">
        <is>
          <t>This is a Java file that defines a `StorageNotificationDialogFragment` class, which extends the `DialogFragment` class from the Android Support Library. The class has several instance variables and methods, including:
* A constructor that takes no arguments and sets up some default values for the dialog's labels and buttons.
* An `onCreateDialog()` method that creates and returns a new</t>
        </is>
      </c>
      <c r="I2417" t="n">
        <v>0.0037</v>
      </c>
      <c r="J2417" t="n">
        <v>0.0615</v>
      </c>
      <c r="K2417" t="n">
        <v>0.0769</v>
      </c>
      <c r="L2417" t="inlineStr">
        <is>
          <t>The `StorageNotificationDialogFragment` is a custom dialog fragment used to display a notification to users when their storage space is running low. It allows them to either delete some files or view more details about the issue.
The dialog is created using the `onCreateDialog()` method, which takes a bundle of arguments that contain the necessary strings for displaying the dialog's labels (e.g</t>
        </is>
      </c>
      <c r="M2417" t="n">
        <v>0</v>
      </c>
      <c r="N2417" t="n">
        <v>0</v>
      </c>
      <c r="O2417" t="n">
        <v>0.0376</v>
      </c>
    </row>
    <row r="2418">
      <c r="A2418" t="inlineStr">
        <is>
          <t>wordpress</t>
        </is>
      </c>
      <c r="B2418" t="inlineStr">
        <is>
          <t>WordPress/src/main/java/org/wordpress/android/widgets/WPSwitchCompat.kt</t>
        </is>
      </c>
      <c r="C2418">
        <f>HYPERLINK("https://github.com/wordpress-mobile/WordPress-Android/blob/master/WordPress/src/main/java/org/wordpress/android/widgets/WPSwitchCompat.kt")</f>
        <v/>
      </c>
      <c r="D2418" t="inlineStr">
        <is>
          <t>The `WPSwitchCompat` class extends the `SwitchCompat` widget from the Android Support Library and provides a custom implementation for switches that matches the appearance of the `WPSwitch` composable from the WordPress Android app. It allows developers to use the `WPSwitch` composable in their Android views while still maintaining compatibility with the existing `SwitchCompat</t>
        </is>
      </c>
      <c r="E2418" t="n">
        <v>0.0035</v>
      </c>
      <c r="F2418" t="n">
        <v>0.0333</v>
      </c>
      <c r="G2418" t="n">
        <v>0.121</v>
      </c>
      <c r="H2418" t="inlineStr">
        <is>
          <t>The `WPSwitchCompat` class extends the `SwitchCompat` widget from the Android Support Library and adds some additional features such as customizable track and thumb drawables, which allows for better compatibility between the Android View-based layouts and the Jetpack Compose framework. Additionally, it also includes comments explaining its purpose and how it works.</t>
        </is>
      </c>
      <c r="I2418" t="n">
        <v>0.0036</v>
      </c>
      <c r="J2418" t="n">
        <v>0.0333</v>
      </c>
      <c r="K2418" t="n">
        <v>0.0407</v>
      </c>
      <c r="L2418" t="inlineStr">
        <is>
          <t>The provided code defines a `WPSwitchCompat` class that extends `SwitchCompat`. It provides a custom implementation of a switch button with custom track and thumb drawables and a width that matches closely the `WPSwitch` composable from the WordPress Android app. This allows for incremental adoption of Compose and using `WPSwitch` even inside Android View</t>
        </is>
      </c>
      <c r="M2418" t="n">
        <v>0.0041</v>
      </c>
      <c r="N2418" t="n">
        <v>0.06560000000000001</v>
      </c>
      <c r="O2418" t="n">
        <v>0.16</v>
      </c>
    </row>
    <row r="2419">
      <c r="A2419" t="inlineStr">
        <is>
          <t>wordpress</t>
        </is>
      </c>
      <c r="B2419" t="inlineStr">
        <is>
          <t>WordPress/src/main/java/org/wordpress/android/widgets/RecyclerItemDecoration.java</t>
        </is>
      </c>
      <c r="C2419">
        <f>HYPERLINK("https://github.com/wordpress-mobile/WordPress-Android/blob/master/WordPress/src/main/java/org/wordpress/android/widgets/RecyclerItemDecoration.java")</f>
        <v/>
      </c>
      <c r="D2419" t="inlineStr">
        <is>
          <t>This is a Java file that defines a custom `RecyclerView` item decoration for adding spacing between items in a list. The `RecyclerItemDecoration` class takes two integer parameters, `spacingHorizontal` and `spacingVertical`, which represent the horizontal and vertical spacing between items, respectively. It also has a constructor with three parameters to allow skipping the first item in the</t>
        </is>
      </c>
      <c r="E2419" t="n">
        <v>0.0039</v>
      </c>
      <c r="F2419" t="n">
        <v>0.0625</v>
      </c>
      <c r="G2419" t="n">
        <v>0.0781</v>
      </c>
      <c r="H2419" t="inlineStr">
        <is>
          <t>This is a Java package containing a custom implementation of a `RecyclerView` item decoration for Android apps. The `RecyclerItemDecoration` class provides horizontal and vertical spacing between items in a `RecyclerView`, with options to skip the first item or not. It also allows specifying the spacing between items horizontally and vertically separately. The class implements the `RecyclerView.Item</t>
        </is>
      </c>
      <c r="I2419" t="n">
        <v>0.0043</v>
      </c>
      <c r="J2419" t="n">
        <v>0.09229999999999999</v>
      </c>
      <c r="K2419" t="n">
        <v>0.1172</v>
      </c>
      <c r="L2419" t="inlineStr">
        <is>
          <t>The `RecyclerItemDecoration` class is a custom `ItemDecoration` for `RecyclerView` that adds horizontal and vertical spacing between items. It takes two integer parameters for spacing and an optional boolean parameter to skip the first item. The class overrides the `getItemOffsets()` method from the `ItemDecoration` interface to set the offsets for each item based on</t>
        </is>
      </c>
      <c r="M2419" t="n">
        <v>0.0035</v>
      </c>
      <c r="N2419" t="n">
        <v>0.0328</v>
      </c>
      <c r="O2419" t="n">
        <v>0.04</v>
      </c>
    </row>
    <row r="2420">
      <c r="A2420" t="inlineStr">
        <is>
          <t>wordpress</t>
        </is>
      </c>
      <c r="B2420" t="inlineStr">
        <is>
          <t>WordPress/src/main/java/org/wordpress/android/widgets/WPSnackbar.kt</t>
        </is>
      </c>
      <c r="C2420">
        <f>HYPERLINK("https://github.com/wordpress-mobile/WordPress-Android/blob/master/WordPress/src/main/java/org/wordpress/android/widgets/WPSnackbar.kt")</f>
        <v/>
      </c>
      <c r="D2420" t="inlineStr">
        <is>
          <t>This is a Kotlin class called `WPSnackbar` that provides a static method for creating a snackbar with a specified message and duration. The method takes in a view as its first parameter, a string resource ID as its second parameter (which will be used to retrieve the actual message), and an integer representing the duration of the snackbar. It returns a new instance</t>
        </is>
      </c>
      <c r="E2420" t="n">
        <v>0.0034</v>
      </c>
      <c r="F2420" t="n">
        <v>0.0563</v>
      </c>
      <c r="G2420" t="n">
        <v>0.1111</v>
      </c>
      <c r="H2420" t="inlineStr">
        <is>
          <t>This is a Kotlin file that defines a class called `WPSnackbar` in the `org.wordpress.android.widgets` package. The class has a single static method called `make()` that takes three parameters: a `View`, a string resource ID, and a duration. The method returns a new instance of the `Snackbar` class with the specified</t>
        </is>
      </c>
      <c r="I2420" t="n">
        <v>0.0044</v>
      </c>
      <c r="J2420" t="n">
        <v>0.06560000000000001</v>
      </c>
      <c r="K2420" t="n">
        <v>0.082</v>
      </c>
      <c r="L2420" t="inlineStr">
        <is>
          <t>The provided code defines a Kotlin class called `WPSnackbar` that provides a static method for creating snackbars using Android's Material Design library. The method takes three parameters: a `View`, an integer resource ID representing the text to display, and an integer indicating the duration of the snackbar. The method returns a `Snackbar` instance that can</t>
        </is>
      </c>
      <c r="M2420" t="n">
        <v>0.0033</v>
      </c>
      <c r="N2420" t="n">
        <v>0.0312</v>
      </c>
      <c r="O2420" t="n">
        <v>0.07870000000000001</v>
      </c>
    </row>
    <row r="2421">
      <c r="A2421" t="inlineStr">
        <is>
          <t>wordpress</t>
        </is>
      </c>
      <c r="B2421" t="inlineStr">
        <is>
          <t>WordPress/src/main/java/org/wordpress/android/widgets/WPSnackbarWrapper.kt</t>
        </is>
      </c>
      <c r="C2421">
        <f>HYPERLINK("https://github.com/wordpress-mobile/WordPress-Android/blob/master/WordPress/src/main/java/org/wordpress/android/widgets/WPSnackbarWrapper.kt")</f>
        <v/>
      </c>
      <c r="D2421" t="inlineStr">
        <is>
          <t>The provided code defines a class called `WPSnackbarWrapper` that provides a simple interface for displaying snackbars in Android applications using the Google Material Design library. The class takes a view as input and returns a `Snackbar` object that can be used to display a message to the user. The `duration` parameter specifies how long the snackbar should be</t>
        </is>
      </c>
      <c r="E2421" t="n">
        <v>0.0031</v>
      </c>
      <c r="F2421" t="n">
        <v>0.0303</v>
      </c>
      <c r="G2421" t="n">
        <v>0.0769</v>
      </c>
      <c r="H2421" t="inlineStr">
        <is>
          <t>This code defines a class called `WPSnackbarWrapper` that provides a more convenient way to use the `WPSnackbar` library in Android applications. The class is annotated with `@Reusable`, indicating that it can be reused multiple times without causing any issues. It also has an injected constructor, allowing for dependency injection.
The `make()` method</t>
        </is>
      </c>
      <c r="I2421" t="n">
        <v>0.0035</v>
      </c>
      <c r="J2421" t="n">
        <v>0.0333</v>
      </c>
      <c r="K2421" t="n">
        <v>0.0806</v>
      </c>
      <c r="L2421" t="inlineStr">
        <is>
          <t>The provided code defines a class called `WPSnackbarWrapper` that provides an injectable wrapper around the `WPSnackbar` class from the Google Material Design library for Android. The class has one method, `make()`, which creates a new snackbar instance using the given view, text, and duration parameters. The wrapper allows for easier testing by providing a more straightforward</t>
        </is>
      </c>
      <c r="M2421" t="n">
        <v>0.0033</v>
      </c>
      <c r="N2421" t="n">
        <v>0.0312</v>
      </c>
      <c r="O2421" t="n">
        <v>0.0781</v>
      </c>
    </row>
    <row r="2422">
      <c r="A2422" t="inlineStr">
        <is>
          <t>wordpress</t>
        </is>
      </c>
      <c r="B2422" t="inlineStr">
        <is>
          <t>WordPress/src/main/java/org/wordpress/android/widgets/WPLinearLayoutSizeBound.java</t>
        </is>
      </c>
      <c r="C2422">
        <f>HYPERLINK("https://github.com/wordpress-mobile/WordPress-Android/blob/master/WordPress/src/main/java/org/wordpress/android/widgets/WPLinearLayoutSizeBound.java")</f>
        <v/>
      </c>
      <c r="D2422" t="inlineStr">
        <is>
          <t>This is a custom `LinearLayout` widget that sets maximum width and height constraints for its children views. The widget takes in two attributes from the XML layout file - `maxWidth` and `maxHeight`. These values are used to set the maximum size of each child view within the `LinearLayout`. If any child view exceeds these limits, it will be resized accordingly.
The constructor</t>
        </is>
      </c>
      <c r="E2422" t="n">
        <v>0.0035</v>
      </c>
      <c r="F2422" t="n">
        <v>0.058</v>
      </c>
      <c r="G2422" t="n">
        <v>0.1119</v>
      </c>
      <c r="H2422" t="inlineStr">
        <is>
          <t>This is a Java Android project that provides a custom `LinearLayout` widget called `WPLinearLayoutSizeBound`. The widget has two attributes, `maxWidth` and `maxHeight`, which can be set in the layout XML file or programmatically using the `setMaxWidth()` and `setMaxHeight()` methods. The widget's size is limited to these maximum values, preventing it from</t>
        </is>
      </c>
      <c r="I2422" t="n">
        <v>0.0043</v>
      </c>
      <c r="J2422" t="n">
        <v>0.0667</v>
      </c>
      <c r="K2422" t="n">
        <v>0.122</v>
      </c>
      <c r="L2422" t="inlineStr">
        <is>
          <t>The provided code defines a custom `WPLinearLayoutSizeBound` widget that is a subclass of Android's `LinearLayout`. It has two constructors, one taking no arguments and the other taking a `Context` and an `AttributeSet`, which allows for setting maximum width and height values through XML attributes. The widget overrides the `onMeasure()` method to enforce the specified size constraints</t>
        </is>
      </c>
      <c r="M2422" t="n">
        <v>0.0033</v>
      </c>
      <c r="N2422" t="n">
        <v>0.0308</v>
      </c>
      <c r="O2422" t="n">
        <v>0.0391</v>
      </c>
    </row>
    <row r="2423">
      <c r="A2423" t="inlineStr">
        <is>
          <t>wordpress</t>
        </is>
      </c>
      <c r="B2423" t="inlineStr">
        <is>
          <t>WordPress/src/main/java/org/wordpress/android/widgets/AuthErrorDialogFragment.java</t>
        </is>
      </c>
      <c r="C2423">
        <f>HYPERLINK("https://github.com/wordpress-mobile/WordPress-Android/blob/master/WordPress/src/main/java/org/wordpress/android/widgets/AuthErrorDialogFragment.java")</f>
        <v/>
      </c>
      <c r="D2423" t="inlineStr">
        <is>
          <t>The `AuthErrorDialogFragment` is a subclass of `DialogFragment` that displays an error message to the user when they attempt to authenticate with WordPress using XML-RPC but their credentials are incorrect or invalid. The dialog is created by passing in a `SiteModel` object as a parameter to the `setArgs()` method, which sets the title and message text for the dialog</t>
        </is>
      </c>
      <c r="E2423" t="n">
        <v>0.0031</v>
      </c>
      <c r="F2423" t="n">
        <v>0.0299</v>
      </c>
      <c r="G2423" t="n">
        <v>0.0769</v>
      </c>
      <c r="H2423" t="inlineStr">
        <is>
          <t>This is a Java Android project that includes a custom `AuthErrorDialogFragment` class. The class is a subclass of `DialogFragment`, which means it can be used to display a modal dialog box in an Android app. It has several methods and properties related to displaying the dialog box, such as `setArgs()`, `show()` and `dismiss()`.
The `AuthErrorDialog</t>
        </is>
      </c>
      <c r="I2423" t="n">
        <v>0.004</v>
      </c>
      <c r="J2423" t="n">
        <v>0.0635</v>
      </c>
      <c r="K2423" t="n">
        <v>0.1181</v>
      </c>
      <c r="L2423" t="inlineStr">
        <is>
          <t>The provided code is a Java implementation of a custom `AuthErrorDialogFragment` class that inherits from Android's `DialogFragment`. The class provides a simple way to display an error message when an XML-RPC authentication failure occurs.
The class has two constructors, one that takes no arguments and another that takes three parameters: `titleResourceId`, `messageResourceId</t>
        </is>
      </c>
      <c r="M2423" t="n">
        <v>0.0035</v>
      </c>
      <c r="N2423" t="n">
        <v>0.0645</v>
      </c>
      <c r="O2423" t="n">
        <v>0.0806</v>
      </c>
    </row>
    <row r="2424">
      <c r="A2424" t="inlineStr">
        <is>
          <t>wordpress</t>
        </is>
      </c>
      <c r="B2424" t="inlineStr">
        <is>
          <t>WordPress/src/main/java/org/wordpress/android/widgets/TypefaceCache.java</t>
        </is>
      </c>
      <c r="C2424">
        <f>HYPERLINK("https://github.com/wordpress-mobile/WordPress-Android/blob/master/WordPress/src/main/java/org/wordpress/android/widgets/TypefaceCache.java")</f>
        <v/>
      </c>
      <c r="D2424" t="inlineStr">
        <is>
          <t>The `TypefaceCache` class is responsible for caching and managing typefaces in an Android application. It provides a method called `getTypefaceForTypefaceName()` which takes a `Context` object and a string representing the name of the typeface to retrieve. If the typeface is not already cached, this method will load it from the application's asset folder using the `</t>
        </is>
      </c>
      <c r="E2424" t="n">
        <v>0.0033</v>
      </c>
      <c r="F2424" t="n">
        <v>0.0312</v>
      </c>
      <c r="G2424" t="n">
        <v>0.1172</v>
      </c>
      <c r="H2424" t="inlineStr">
        <is>
          <t>This is a Java package named `org.wordpress.android.widgets` containing a single file called `TypefaceCache`. The file defines a class called `TypefaceCache` with a single method called `getTypefaceForTypefaceName`, which takes in a `Context` object and a string representing the name of a font face as input, and returns a `Typeface`</t>
        </is>
      </c>
      <c r="I2424" t="n">
        <v>0.0045</v>
      </c>
      <c r="J2424" t="n">
        <v>0.0678</v>
      </c>
      <c r="K2424" t="n">
        <v>0.0833</v>
      </c>
      <c r="L2424" t="inlineStr">
        <is>
          <t>The provided code defines a class called `TypefaceCache` which is responsible for caching typefaces for use in Android applications. The class has a single method called `getTypefaceForTypefaceName`, which takes a `Context` object and a string representing the name of the typeface as input. If the requested typeface is not already cached, the method loads it from the application'</t>
        </is>
      </c>
      <c r="M2424" t="n">
        <v>0.0031</v>
      </c>
      <c r="N2424" t="n">
        <v>0.0303</v>
      </c>
      <c r="O2424" t="n">
        <v>0.0769</v>
      </c>
    </row>
    <row r="2425">
      <c r="A2425" t="inlineStr">
        <is>
          <t>wordpress</t>
        </is>
      </c>
      <c r="B2425" t="inlineStr">
        <is>
          <t>WordPress/src/main/java/org/wordpress/android/widgets/NoticonTextView.java</t>
        </is>
      </c>
      <c r="C2425">
        <f>HYPERLINK("https://github.com/wordpress-mobile/WordPress-Android/blob/master/WordPress/src/main/java/org/wordpress/android/widgets/NoticonTextView.java")</f>
        <v/>
      </c>
      <c r="D2425" t="inlineStr">
        <is>
          <t>The provided code is a custom `TextView` widget called `NoticonTextView`. It is a subclass of `AppCompatTextView` and has three constructors: one with no arguments, one with a `Context` argument, and one with both a `Context` and an `AttributeSet` argument.
The constructor sets the typeface of the text view to use the "Noticons</t>
        </is>
      </c>
      <c r="E2425" t="n">
        <v>0.0035</v>
      </c>
      <c r="F2425" t="n">
        <v>0.0333</v>
      </c>
      <c r="G2425" t="n">
        <v>0.0806</v>
      </c>
      <c r="H2425" t="inlineStr">
        <is>
          <t>This is a Java Android library for using the Noticon font in text views. The library provides a custom `NoticonTextView` widget that can be used to display text with the Noticon font. The widget inherits from `AppCompatTextView` and overrides its constructor to set the typeface to the Noticon font. It also includes a cache for storing previously loaded typefaces to avoid</t>
        </is>
      </c>
      <c r="I2425" t="n">
        <v>0.0036</v>
      </c>
      <c r="J2425" t="n">
        <v>0.058</v>
      </c>
      <c r="K2425" t="n">
        <v>0.1128</v>
      </c>
      <c r="L2425" t="inlineStr">
        <is>
          <t>The provided code defines a custom `NoticonTextView` widget for Android applications. It is a subclass of `AppCompatTextView` and overrides the constructors to set the typeface to a specific Noticon font named "Noticons.ttf". The widget can be used in layout files to display text using the Noticon font.</t>
        </is>
      </c>
      <c r="M2425" t="n">
        <v>0.0039</v>
      </c>
      <c r="N2425" t="n">
        <v>0.0357</v>
      </c>
      <c r="O2425" t="n">
        <v>0.08400000000000001</v>
      </c>
    </row>
    <row r="2426">
      <c r="A2426" t="inlineStr">
        <is>
          <t>wordpress</t>
        </is>
      </c>
      <c r="B2426" t="inlineStr">
        <is>
          <t>WordPress/src/main/java/org/wordpress/android/widgets/WPViewPager2Transformer.kt</t>
        </is>
      </c>
      <c r="C2426">
        <f>HYPERLINK("https://github.com/wordpress-mobile/WordPress-Android/blob/master/WordPress/src/main/java/org/wordpress/android/widgets/WPViewPager2Transformer.kt")</f>
        <v/>
      </c>
      <c r="D2426" t="inlineStr">
        <is>
          <t>This code defines a `WPViewPager2Transformer` class that extends the `ViewPager2.PageTransformer` interface. It provides a transformation for views in a `ViewPager2`, based on the type of transformation specified in the constructor (either "flow", "depth", "zoom", or "slideover").
The `transformPage()` method of the `</t>
        </is>
      </c>
      <c r="E2426" t="n">
        <v>0.0044</v>
      </c>
      <c r="F2426" t="n">
        <v>0.04</v>
      </c>
      <c r="G2426" t="n">
        <v>0.0439</v>
      </c>
      <c r="H2426" t="inlineStr">
        <is>
          <t>This is a Kotlin file that defines a `WPViewPager2Transformer` class that implements the `ViewPager2.PageTransformer` interface. It provides a transformation for the pages in a `ViewPager2`, based on the selected `TransformType`. The available `TransformType` options include `Flow`, `Depth`, `Zoom`, and `SlideOver`.</t>
        </is>
      </c>
      <c r="I2426" t="n">
        <v>0.0061</v>
      </c>
      <c r="J2426" t="n">
        <v>0.1224</v>
      </c>
      <c r="K2426" t="n">
        <v>0.1339</v>
      </c>
      <c r="L2426" t="inlineStr">
        <is>
          <t>This code defines a custom `ViewPager2` page transformer called `WPViewPager2Transformer`. It provides a drop-in replacement for the original `ViewPager` transformer, making it easier to migrate from `ViewPager` to `ViewPager2`. The transformer applies different transformations based on the current page position, such as rotation, scaling, and sliding over</t>
        </is>
      </c>
      <c r="M2426" t="n">
        <v>0.0046</v>
      </c>
      <c r="N2426" t="n">
        <v>0.07140000000000001</v>
      </c>
      <c r="O2426" t="n">
        <v>0.08400000000000001</v>
      </c>
    </row>
    <row r="2427">
      <c r="A2427" t="inlineStr">
        <is>
          <t>wordpress</t>
        </is>
      </c>
      <c r="B2427" t="inlineStr">
        <is>
          <t>WordPress/src/main/java/org/wordpress/android/widgets/WPDialogSnackbar.java</t>
        </is>
      </c>
      <c r="C2427">
        <f>HYPERLINK("https://github.com/wordpress-mobile/WordPress-Android/blob/master/WordPress/src/main/java/org/wordpress/android/widgets/WPDialogSnackbar.java")</f>
        <v/>
      </c>
      <c r="D2427" t="inlineStr">
        <is>
          <t>This code defines a custom `Snackbar` widget that mimics the updated design pattern for snackbars as outlined in the Material Design guidelines. It includes a title, message, positive button, negative button, and neutral button, all of which can be set to any non-empty string value. If any of these views are left blank or null, they will</t>
        </is>
      </c>
      <c r="E2427" t="n">
        <v>0.0038</v>
      </c>
      <c r="F2427" t="n">
        <v>0.0606</v>
      </c>
      <c r="G2427" t="n">
        <v>0.0775</v>
      </c>
      <c r="H2427" t="inlineStr">
        <is>
          <t>This Java code defines a custom `Snackbar` widget that displays a message to the user with optional action buttons. It includes several features such as support for different types of buttons (positive, negative, and neutral), hiding empty or null views, and implementing the Material Design spec for snackbars. The code also includes documentation comments and a README file explaining its purpose and</t>
        </is>
      </c>
      <c r="I2427" t="n">
        <v>0.0035</v>
      </c>
      <c r="J2427" t="n">
        <v>0.0857</v>
      </c>
      <c r="K2427" t="n">
        <v>0.1119</v>
      </c>
      <c r="L2427" t="inlineStr">
        <is>
          <t>This Java code defines a custom implementation of a snackbar widget for Android applications. It includes features such as a title, message, positive button, negative button, and neutral button, which can be used to display informational messages to users. The code also includes utilities for accessibility and layout management.</t>
        </is>
      </c>
      <c r="M2427" t="n">
        <v>0.0045</v>
      </c>
      <c r="N2427" t="n">
        <v>0.1053</v>
      </c>
      <c r="O2427" t="n">
        <v>0.1653</v>
      </c>
    </row>
    <row r="2428">
      <c r="A2428" t="inlineStr">
        <is>
          <t>wordpress</t>
        </is>
      </c>
      <c r="B2428" t="inlineStr">
        <is>
          <t>WordPress/src/main/java/org/wordpress/android/widgets/MySiteTitleAndSubtitleLabelView.kt</t>
        </is>
      </c>
      <c r="C2428">
        <f>HYPERLINK("https://github.com/wordpress-mobile/WordPress-Android/blob/master/WordPress/src/main/java/org/wordpress/android/widgets/MySiteTitleAndSubtitleLabelView.kt")</f>
        <v/>
      </c>
      <c r="D2428" t="inlineStr">
        <is>
          <t>The provided code defines a custom `MySiteTitleAndSubtitleLabelView` class that extends `ConstraintLayout`. It has two child views: a `MaterialTextView` named "title" and a `MaterialButton` named "subtitle". The `MySiteTitleAndSubtitleLabelView` class is designed to work with the auto-resizing feature of the `MaterialTextView`, which</t>
        </is>
      </c>
      <c r="E2428" t="n">
        <v>0.0046</v>
      </c>
      <c r="F2428" t="n">
        <v>0.0408</v>
      </c>
      <c r="G2428" t="n">
        <v>0.0893</v>
      </c>
      <c r="H2428" t="inlineStr">
        <is>
          <t>The provided code defines a custom `MySiteTitleAndSubtitleLabelView` class that extends from `ConstraintLayout`. It has two child views: a `MaterialTextView` named "title" and a `MaterialButton` named "subtitle". The class provides some basic functionality related to these views, such as setting their layout parameters and styling them accordingly. The comments describe the purpose of</t>
        </is>
      </c>
      <c r="I2428" t="n">
        <v>0.0042</v>
      </c>
      <c r="J2428" t="n">
        <v>0.0667</v>
      </c>
      <c r="K2428" t="n">
        <v>0.0806</v>
      </c>
      <c r="L2428" t="inlineStr">
        <is>
          <t>The provided code defines a custom `MySiteTitleAndSubtitleLabelView` class that extends Android's `ConstraintLayout`. It consists of two child views: `title` (a `MaterialTextView`) and `subtitle` (a `MaterialButton`). The view is designed to display a site name and URL label on the "My Site" fragment, and it includes autosizing</t>
        </is>
      </c>
      <c r="M2428" t="n">
        <v>0.004</v>
      </c>
      <c r="N2428" t="n">
        <v>0.0364</v>
      </c>
      <c r="O2428" t="n">
        <v>0.0424</v>
      </c>
    </row>
    <row r="2429">
      <c r="A2429" t="inlineStr">
        <is>
          <t>wordpress</t>
        </is>
      </c>
      <c r="B2429" t="inlineStr">
        <is>
          <t>WordPress/src/main/java/org/wordpress/android/widgets/PostListButton.kt</t>
        </is>
      </c>
      <c r="C2429">
        <f>HYPERLINK("https://github.com/wordpress-mobile/WordPress-Android/blob/master/WordPress/src/main/java/org/wordpress/android/widgets/PostListButton.kt")</f>
        <v/>
      </c>
      <c r="D2429" t="inlineStr">
        <is>
          <t>The `PostListButton` class is a custom view that displays a button with an image and text on it. It has several constructors to allow for different initialization options, including one without any arguments (default values will be used), one that takes a context as an argument, and one that takes both a context and attribute set as arguments.
The class has several properties, including `</t>
        </is>
      </c>
      <c r="E2429" t="n">
        <v>0.0028</v>
      </c>
      <c r="F2429" t="n">
        <v>0.0278</v>
      </c>
      <c r="G2429" t="n">
        <v>0.0365</v>
      </c>
      <c r="H2429" t="inlineStr">
        <is>
          <t>This is a Kotlin Android project that includes a custom view called `PostListButton`. The view extends from `LinearLayout` and has two child views: an `ImageView` and a `TextView`. It also has a property called `buttonType` which can be one of several predefined types. The view's layout is defined in XML using the `&lt;merge&gt;` tag to combine multiple views</t>
        </is>
      </c>
      <c r="I2429" t="n">
        <v>0.0037</v>
      </c>
      <c r="J2429" t="n">
        <v>0.0597</v>
      </c>
      <c r="K2429" t="n">
        <v>0.1154</v>
      </c>
      <c r="L2429" t="inlineStr">
        <is>
          <t>The `PostListButton` class is a custom view that displays a button with an image and text in the footer of a post card. It extends the `LinearLayout` class and has two child views: an `ImageView` for displaying the button icon and a `TextView` for displaying the button label. The class has several constructors that allow it to be initialized with different parameters, such as</t>
        </is>
      </c>
      <c r="M2429" t="n">
        <v>0.0028</v>
      </c>
      <c r="N2429" t="n">
        <v>0.0278</v>
      </c>
      <c r="O2429" t="n">
        <v>0.0368</v>
      </c>
    </row>
    <row r="2430">
      <c r="A2430" t="inlineStr">
        <is>
          <t>wordpress</t>
        </is>
      </c>
      <c r="B2430" t="inlineStr">
        <is>
          <t>WordPress/src/main/java/org/wordpress/android/widgets/MaterialTextViewWithNumerals.kt</t>
        </is>
      </c>
      <c r="C2430">
        <f>HYPERLINK("https://github.com/wordpress-mobile/WordPress-Android/blob/master/WordPress/src/main/java/org/wordpress/android/widgets/MaterialTextViewWithNumerals.kt")</f>
        <v/>
      </c>
      <c r="D2430" t="inlineStr">
        <is>
          <t>This is a custom `MaterialTextView` class that extends the default `MaterialTextView` from Google's Android material design library. The purpose of this class is to enforce the use of Western Arabic numerals (i.e., numbers 1-9) in the text displayed by the view.
The implementation of this class overrides the `setText()` method of the parent</t>
        </is>
      </c>
      <c r="E2430" t="n">
        <v>0.0035</v>
      </c>
      <c r="F2430" t="n">
        <v>0.0625</v>
      </c>
      <c r="G2430" t="n">
        <v>0.12</v>
      </c>
      <c r="H2430" t="inlineStr">
        <is>
          <t>This is a Java class that extends the `MaterialTextView` widget from Google's Material Components library for Android. It overrides the `setText()` method to enforce the use of Western Arabic numerals (0-9) instead of Eastern Arabic numerals (٠-٩). The class also uses the `enforceWesternArabicNumerals()`</t>
        </is>
      </c>
      <c r="I2430" t="n">
        <v>0.0043</v>
      </c>
      <c r="J2430" t="n">
        <v>0.0385</v>
      </c>
      <c r="K2430" t="n">
        <v>0.08699999999999999</v>
      </c>
      <c r="L2430" t="inlineStr">
        <is>
          <t>The provided code defines a custom `MaterialTextView` widget that enforces the use of Western Arabic numerals (i.e., numbers from 0 through 9) when setting text content. It extends the default `MaterialTextView` class and overrides the `setText()` method to call the `enforceWesternArabicNumerals()` extension function on the input text before</t>
        </is>
      </c>
      <c r="M2430" t="n">
        <v>0.0038</v>
      </c>
      <c r="N2430" t="n">
        <v>0.0351</v>
      </c>
      <c r="O2430" t="n">
        <v>0.0833</v>
      </c>
    </row>
    <row r="2431">
      <c r="A2431" t="inlineStr">
        <is>
          <t>wordpress</t>
        </is>
      </c>
      <c r="B2431" t="inlineStr">
        <is>
          <t>WordPress/src/main/java/org/wordpress/android/widgets/WPScrollView.java</t>
        </is>
      </c>
      <c r="C2431">
        <f>HYPERLINK("https://github.com/wordpress-mobile/WordPress-Android/blob/master/WordPress/src/main/java/org/wordpress/android/widgets/WPScrollView.java")</f>
        <v/>
      </c>
      <c r="D2431" t="inlineStr">
        <is>
          <t>This is a custom `WPScrollView` widget that inherits from `NestedScrollView`. It provides a way to report when the user scrolls up or down, as well as when scrolling has completed. The widget also includes a delay before reporting scroll direction changes, with a default value of 250 milliseconds.
The widget's constructor takes in a `Context`, `</t>
        </is>
      </c>
      <c r="E2431" t="n">
        <v>0.0033</v>
      </c>
      <c r="F2431" t="n">
        <v>0.0312</v>
      </c>
      <c r="G2431" t="n">
        <v>0.0391</v>
      </c>
      <c r="H2431" t="inlineStr">
        <is>
          <t>This is a Java Android library that provides a custom `WPScrollView` widget that extends the standard `NestedScrollView` widget in Android. The `WPScrollView` widget is designed to report when the user scrolls up or down, as well as when scrolling has completed. It also includes a delay before reporting scrolling events to prevent false positives.
The `WPScrollView` widget is</t>
        </is>
      </c>
      <c r="I2431" t="n">
        <v>0.0031</v>
      </c>
      <c r="J2431" t="n">
        <v>0.0303</v>
      </c>
      <c r="K2431" t="n">
        <v>0.0385</v>
      </c>
      <c r="L2431" t="inlineStr">
        <is>
          <t>The provided code is a custom implementation of a `WPScrollView` widget for Android, which extends the built-in `NestedScrollView`. It implements a listener interface called `ScrollDirectionListener`, which provides callback methods for when the user scrolls up or down, as well as when scrolling completes.
The widget listens for touch events and measures the distance traveled by the</t>
        </is>
      </c>
      <c r="M2431" t="n">
        <v>0.0039</v>
      </c>
      <c r="N2431" t="n">
        <v>0.0615</v>
      </c>
      <c r="O2431" t="n">
        <v>0.0781</v>
      </c>
    </row>
    <row r="2432">
      <c r="A2432" t="inlineStr">
        <is>
          <t>wordpress</t>
        </is>
      </c>
      <c r="B2432" t="inlineStr">
        <is>
          <t>WordPress/src/main/java/org/wordpress/android/widgets/CheckedLinearLayout.java</t>
        </is>
      </c>
      <c r="C2432">
        <f>HYPERLINK("https://github.com/wordpress-mobile/WordPress-Android/blob/master/WordPress/src/main/java/org/wordpress/android/widgets/CheckedLinearLayout.java")</f>
        <v/>
      </c>
      <c r="D2432" t="inlineStr">
        <is>
          <t>This code defines a custom `CheckedLinearLayout` widget that inherits from `LinearLayout`. It adds the ability to check or uncheck a checkbox within the layout using the `setChecked()` method. The `isChecked()` method returns whether the checkbox is currently checked or not.
The implementation uses a `CheckedTextView` as a child view in the layout, which is used to display the</t>
        </is>
      </c>
      <c r="E2432" t="n">
        <v>0.0031</v>
      </c>
      <c r="F2432" t="n">
        <v>0.0606</v>
      </c>
      <c r="G2432" t="n">
        <v>0.1154</v>
      </c>
      <c r="H2432" t="inlineStr">
        <is>
          <t>This code defines a custom view called `CheckedLinearLayout` that inherits from `LinearLayout`. It adds a checkbox to the layout by inflating a `CheckedTextView` widget in its XML layout file. The `CheckedLinearLayout` class also implements the `Checkable` interface, which allows it to be used as a checkable item in a list or grid.
The `CheckedLinearLayout`</t>
        </is>
      </c>
      <c r="I2432" t="n">
        <v>0.004</v>
      </c>
      <c r="J2432" t="n">
        <v>0.0645</v>
      </c>
      <c r="K2432" t="n">
        <v>0.119</v>
      </c>
      <c r="L2432" t="inlineStr">
        <is>
          <t>The `CheckedLinearLayout` class extends the Android `LinearLayout` class and adds checkbox functionality to it by implementing the `Checkable` interface. It has a single constructor that takes a `Context` object and an `AttributeSet` object as parameters, which are used to initialize the view's properties.
The `onFinishInflate()` method is called after the layout inflation</t>
        </is>
      </c>
      <c r="M2432" t="n">
        <v>0.0042</v>
      </c>
      <c r="N2432" t="n">
        <v>0.06560000000000001</v>
      </c>
      <c r="O2432" t="n">
        <v>0.121</v>
      </c>
    </row>
    <row r="2433">
      <c r="A2433" t="inlineStr">
        <is>
          <t>wordpress</t>
        </is>
      </c>
      <c r="B2433" t="inlineStr">
        <is>
          <t>WordPress/src/main/java/org/wordpress/android/widgets/WPSwipeSnackbar.java</t>
        </is>
      </c>
      <c r="C2433">
        <f>HYPERLINK("https://github.com/wordpress-mobile/WordPress-Android/blob/master/WordPress/src/main/java/org/wordpress/android/widgets/WPSwipeSnackbar.java")</f>
        <v/>
      </c>
      <c r="D2433" t="inlineStr">
        <is>
          <t>The `WPSwipeSnackbar` class provides a utility for displaying a snackbar that indicates to the user that there are additional pages available when using a `ViewPager`. It has several methods, including `show()`, which takes a `ViewPager` as input and displays the snackbar at the bottom of the screen. The snackbar is customized with a</t>
        </is>
      </c>
      <c r="E2433" t="n">
        <v>0.0035</v>
      </c>
      <c r="F2433" t="n">
        <v>0.0328</v>
      </c>
      <c r="G2433" t="n">
        <v>0.08</v>
      </c>
      <c r="H2433" t="inlineStr">
        <is>
          <t>This is a Java library that provides a utility for displaying snackbars in conjunction with a ViewPager. The `WPSwipeSnackbar` class has several methods for creating and showing snackbars, including a `show()` method that takes a ViewPager as input. The library also includes an `SwipeArrows` enumeration for specifying which arrows should</t>
        </is>
      </c>
      <c r="I2433" t="n">
        <v>0.0044</v>
      </c>
      <c r="J2433" t="n">
        <v>0.06900000000000001</v>
      </c>
      <c r="K2433" t="n">
        <v>0.082</v>
      </c>
      <c r="L2433" t="inlineStr">
        <is>
          <t>The `WPSwipeSnackbar` class provides a snackbar that indicates to the user when they can swipe left or right to see more pages in a `ViewPager`. It has a `show()` method that takes a `ViewPager2` object as input and returns a `Snackbar` instance. The `Snackbar` is customized</t>
        </is>
      </c>
      <c r="M2433" t="n">
        <v>0.004</v>
      </c>
      <c r="N2433" t="n">
        <v>0.037</v>
      </c>
      <c r="O2433" t="n">
        <v>0.0424</v>
      </c>
    </row>
    <row r="2434">
      <c r="A2434" t="inlineStr">
        <is>
          <t>wordpress</t>
        </is>
      </c>
      <c r="B2434" t="inlineStr">
        <is>
          <t>WordPress/src/main/java/org/wordpress/android/widgets/WPViewPagerTransformer.java</t>
        </is>
      </c>
      <c r="C2434">
        <f>HYPERLINK("https://github.com/wordpress-mobile/WordPress-Android/blob/master/WordPress/src/main/java/org/wordpress/android/widgets/WPViewPagerTransformer.java")</f>
        <v/>
      </c>
      <c r="D2434" t="inlineStr">
        <is>
          <t>The provided code defines a custom `ViewPager` transformation that animates the views as they are swiped between pages. It does so by applying different transformations based on the type of transition (e.g., slide over, depth, or zoom). The code also includes several constants for adjusting the scale and position of the views during the transition. Overall, it appears to be a</t>
        </is>
      </c>
      <c r="E2434" t="n">
        <v>0.003</v>
      </c>
      <c r="F2434" t="n">
        <v>0.0286</v>
      </c>
      <c r="G2434" t="n">
        <v>0.0376</v>
      </c>
      <c r="H2434" t="inlineStr">
        <is>
          <t>This Java code defines a custom `ViewPager` transformation that animates the pages as they are swiped or navigated through. The transformation type can be set using the `TransformType` enumeration, which includes four options:
* `FLOW`: A linear transformation where each page appears in sequence, but with some scaling and rotation effects.
* `DEPTH`:</t>
        </is>
      </c>
      <c r="I2434" t="n">
        <v>0.0041</v>
      </c>
      <c r="J2434" t="n">
        <v>0.0678</v>
      </c>
      <c r="K2434" t="n">
        <v>0.12</v>
      </c>
      <c r="L2434" t="inlineStr">
        <is>
          <t>The provided code defines a custom implementation of a `ViewPager` transformation animation for Android. It allows developers to specify different types of transformations, such as "flow," "depth," "zoom," and "slide over." The animation is applied to each page that is visible or attached to the view pager, and it includes various adjustments to ensure that the pages are properly aligned and scale</t>
        </is>
      </c>
      <c r="M2434" t="n">
        <v>0.0029</v>
      </c>
      <c r="N2434" t="n">
        <v>0.0571</v>
      </c>
      <c r="O2434" t="n">
        <v>0.0746</v>
      </c>
    </row>
    <row r="2435">
      <c r="A2435" t="inlineStr">
        <is>
          <t>wordpress</t>
        </is>
      </c>
      <c r="B2435" t="inlineStr">
        <is>
          <t>WordPress/src/main/java/org/wordpress/android/widgets/PostListButtonType.kt</t>
        </is>
      </c>
      <c r="C2435">
        <f>HYPERLINK("https://github.com/wordpress-mobile/WordPress-Android/blob/master/WordPress/src/main/java/org/wordpress/android/widgets/PostListButtonType.kt")</f>
        <v/>
      </c>
      <c r="D2435" t="inlineStr">
        <is>
          <t>This is a Kotlin file that defines several constants and enums used in the development of Android applications. The file imports various AndroidX annotations and resources, including `org.wordpress.android.R` and `com.google.android.material.R`. It also includes several private constants for different groups of buttons, such as "View Group" (VIEW_GROUP_ID</t>
        </is>
      </c>
      <c r="E2435" t="n">
        <v>0.0048</v>
      </c>
      <c r="F2435" t="n">
        <v>0.0635</v>
      </c>
      <c r="G2435" t="n">
        <v>0.1271</v>
      </c>
      <c r="H2435" t="inlineStr">
        <is>
          <t>This is a Java library for Android that provides various utility functions for working with lists of posts in WordPress. The library defines several enums representing different types of buttons used to interact with post list items, such as "Edit" or "View". Each enum has a corresponding integer value, string resource ID for the button's label, drawable resource ID for the button's icon,</t>
        </is>
      </c>
      <c r="I2435" t="n">
        <v>0.0029</v>
      </c>
      <c r="J2435" t="n">
        <v>0.0548</v>
      </c>
      <c r="K2435" t="n">
        <v>0.0741</v>
      </c>
      <c r="L2435" t="inlineStr">
        <is>
          <t>The provided code defines an `PostListButton` enum class that represents different button types for a post list screen. Each type has a unique identifier, string resource ID for the button's label, drawable resource ID for the button's icon, attribute resource ID for the button's color, and group ID for organizing related buttons. The code also defines several constants for grouping the</t>
        </is>
      </c>
      <c r="M2435" t="n">
        <v>0.003</v>
      </c>
      <c r="N2435" t="n">
        <v>0.0278</v>
      </c>
      <c r="O2435" t="n">
        <v>0.0376</v>
      </c>
    </row>
    <row r="2436">
      <c r="A2436" t="inlineStr">
        <is>
          <t>wordpress</t>
        </is>
      </c>
      <c r="B2436" t="inlineStr">
        <is>
          <t>WordPress/src/main/java/org/wordpress/android/widgets/SuggestionAutoCompleteText.java</t>
        </is>
      </c>
      <c r="C2436">
        <f>HYPERLINK("https://github.com/wordpress-mobile/WordPress-Android/blob/master/WordPress/src/main/java/org/wordpress/android/widgets/SuggestionAutoCompleteText.java")</f>
        <v/>
      </c>
      <c r="D2436" t="inlineStr">
        <is>
          <t>The `SuggestionAutoCompleteText` class is a custom implementation of the Android `AppCompatMultiAutoCompleteTextView` widget that provides suggestions for user input based on a set of predefined tokens. It includes several features such as:
* Support for persistent text editing across app restarts using the `PersistentEditTextHelper` class.
* Implementing the `OnEditText</t>
        </is>
      </c>
      <c r="E2436" t="n">
        <v>0</v>
      </c>
      <c r="F2436" t="n">
        <v>0.037</v>
      </c>
      <c r="G2436" t="n">
        <v>0.0833</v>
      </c>
      <c r="H2436" t="inlineStr">
        <is>
          <t>This is a Java file that defines a custom view called `SuggestionAutoCompleteText`, which extends the `AppCompatMultiAutoCompleteTextView` class from the Android Support Library. The view provides a persistent edit text field with suggestions based on user input. It also includes a back button listener to handle when the user presses the back key while editing the text.
The view has</t>
        </is>
      </c>
      <c r="I2436" t="n">
        <v>0.0031</v>
      </c>
      <c r="J2436" t="n">
        <v>0.0299</v>
      </c>
      <c r="K2436" t="n">
        <v>0.0382</v>
      </c>
      <c r="L2436" t="inlineStr">
        <is>
          <t>The `SuggestionAutoCompleteText` is a custom Android widget that inherits from `AppCompatMultiAutoCompleteTextView`. It provides suggestions for text input based on user input, using a `SuggestionTokenizer` object to tokenize the input string. The widget also supports persistent editing of the input text, as well as handling back button presses and providing a callback for when</t>
        </is>
      </c>
      <c r="M2436" t="n">
        <v>0.0035</v>
      </c>
      <c r="N2436" t="n">
        <v>0.0328</v>
      </c>
      <c r="O2436" t="n">
        <v>0.08</v>
      </c>
    </row>
    <row r="2437">
      <c r="A2437" t="inlineStr">
        <is>
          <t>wordpress</t>
        </is>
      </c>
      <c r="B2437" t="inlineStr">
        <is>
          <t>WordPress/src/main/java/org/wordpress/android/widgets/NestedCoordinatorLayout.kt</t>
        </is>
      </c>
      <c r="C2437">
        <f>HYPERLINK("https://github.com/wordpress-mobile/WordPress-Android/blob/master/WordPress/src/main/java/org/wordpress/android/widgets/NestedCoordinatorLayout.kt")</f>
        <v/>
      </c>
      <c r="D2437" t="inlineStr">
        <is>
          <t>This code defines a custom `CoordinatorLayout` widget called `NestedCoordinatorLayout`. It extends the standard Android `CoordinatorLayout` class and adds support for being nested within another `CoordinatorLayout`, allowing it to propagate its scroll state to the parent layout. The implementation uses the `NestedScrollingChildHelper` class from the Android Support Library to</t>
        </is>
      </c>
      <c r="E2437" t="n">
        <v>0.0045</v>
      </c>
      <c r="F2437" t="n">
        <v>0.07140000000000001</v>
      </c>
      <c r="G2437" t="n">
        <v>0.1667</v>
      </c>
      <c r="H2437" t="inlineStr">
        <is>
          <t>This is a Kotlin class named "NestedCoordinatorLayout" that extends the Android framework's CoordinatorLayout widget and implements the NestedScrollingChild3 interface. It has several constructors with different parameters for specifying the layout's context, attributes, and style. The class also defines several properties such as "helper", which is an instance of the NestedScroll</t>
        </is>
      </c>
      <c r="I2437" t="n">
        <v>0.0048</v>
      </c>
      <c r="J2437" t="n">
        <v>0.1</v>
      </c>
      <c r="K2437" t="n">
        <v>0.123</v>
      </c>
      <c r="L2437" t="inlineStr">
        <is>
          <t>The `NestedCoordinatorLayout` class extends the Android `CoordinatorLayout` widget and implements the `NestedScrollingChild3` interface. It allows for nesting within other coordinator layouts and propagates its scroll state upwards through the hierarchy. The class has a custom constructor that takes in a context, attribute set, and default style attribute. It also defines</t>
        </is>
      </c>
      <c r="M2437" t="n">
        <v>0.0044</v>
      </c>
      <c r="N2437" t="n">
        <v>0.06900000000000001</v>
      </c>
      <c r="O2437" t="n">
        <v>0.082</v>
      </c>
    </row>
    <row r="2438">
      <c r="A2438" t="inlineStr">
        <is>
          <t>wordpress</t>
        </is>
      </c>
      <c r="B2438" t="inlineStr">
        <is>
          <t>WordPress/src/main/java/org/wordpress/android/widgets/ColorUnderlineSpan.kt</t>
        </is>
      </c>
      <c r="C2438">
        <f>HYPERLINK("https://github.com/wordpress-mobile/WordPress-Android/blob/master/WordPress/src/main/java/org/wordpress/android/widgets/ColorUnderlineSpan.kt")</f>
        <v/>
      </c>
      <c r="D2438" t="inlineStr">
        <is>
          <t>The provided code defines a class called `ColorUnderlineSpan` which is used to apply a colored underline to text in Android applications. It extends the `CharacterStyle` and `UpdateAppearance` classes and overrides the `updateDrawState()` method to set the underline color based on the input parameter `color`.
The implementation uses reflection to call the `setUnderline</t>
        </is>
      </c>
      <c r="E2438" t="n">
        <v>0.0035</v>
      </c>
      <c r="F2438" t="n">
        <v>0.0333</v>
      </c>
      <c r="G2438" t="n">
        <v>0.121</v>
      </c>
      <c r="H2438" t="inlineStr">
        <is>
          <t>The provided code defines a class called `ColorUnderlineSpan` which is used to apply a colored underline effect to text in Android applications. The class takes a single argument, `color`, which specifies the color of the underline. It also implements the `CharacterStyle` interface and the `UpdateAppearance` interface, which allows it to modify the appearance of text.</t>
        </is>
      </c>
      <c r="I2438" t="n">
        <v>0.004</v>
      </c>
      <c r="J2438" t="n">
        <v>0.0635</v>
      </c>
      <c r="K2438" t="n">
        <v>0.1575</v>
      </c>
      <c r="L2438" t="inlineStr">
        <is>
          <t>The `ColorUnderlineSpan` class is a character style for Android text views that applies a colored underline to the text. It takes an integer argument representing the color and uses reflection to set the underline color using the `setUnderlineText` method of the `TextPaint` class. If the reflection fails, it falls back to setting the `isUnderlineText` property to</t>
        </is>
      </c>
      <c r="M2438" t="n">
        <v>0.0033</v>
      </c>
      <c r="N2438" t="n">
        <v>0.0312</v>
      </c>
      <c r="O2438" t="n">
        <v>0.0781</v>
      </c>
    </row>
    <row r="2439">
      <c r="A2439" t="inlineStr">
        <is>
          <t>wordpress</t>
        </is>
      </c>
      <c r="B2439" t="inlineStr">
        <is>
          <t>WordPress/src/main/java/org/wordpress/android/widgets/AppReviewsManagerWrapper.kt</t>
        </is>
      </c>
      <c r="C2439">
        <f>HYPERLINK("https://github.com/wordpress-mobile/WordPress-Android/blob/master/WordPress/src/main/java/org/wordpress/android/widgets/AppReviewsManagerWrapper.kt")</f>
        <v/>
      </c>
      <c r="D2439" t="inlineStr">
        <is>
          <t>The provided code defines a class called `AppReviewsManagerWrapper` that serves as a mockable wrapper for testing purposes. It has two methods:
1. `onNotificationReceived`: This method takes in a `Note` object and calls the `onNotificationReceived` method of the `AppReviewManager` class with the same note object.
2. `incrementInteractions</t>
        </is>
      </c>
      <c r="E2439" t="n">
        <v>0.0048</v>
      </c>
      <c r="F2439" t="n">
        <v>0.0741</v>
      </c>
      <c r="G2439" t="n">
        <v>0.0847</v>
      </c>
      <c r="H2439" t="inlineStr">
        <is>
          <t>This is a Java class named `AppReviewsManagerWrapper` that provides a mockable wrapper around the `AppReviewManager` class. The class has two methods: `onNotificationReceived()` and `incrementInteractions()`. These methods call corresponding methods in the `AppReviewManager` class with the same names. The purpose of this wrapper is to make it easier to test the `</t>
        </is>
      </c>
      <c r="I2439" t="n">
        <v>0.0043</v>
      </c>
      <c r="J2439" t="n">
        <v>0.06900000000000001</v>
      </c>
      <c r="K2439" t="n">
        <v>0.0813</v>
      </c>
      <c r="L2439" t="inlineStr">
        <is>
          <t>The provided code defines a class called `AppReviewsManagerWrapper` that provides a mockable wrapper for testing purposes. It has two methods: `onNotificationReceived()` and `incrementInteractions()`. These methods call corresponding methods from another class called `AppReviewManager`. The wrapper is used to test the `AppReviewManager` class without affecting its actual implementation.</t>
        </is>
      </c>
      <c r="M2439" t="n">
        <v>0.0039</v>
      </c>
      <c r="N2439" t="n">
        <v>0.0364</v>
      </c>
      <c r="O2439" t="n">
        <v>0.08400000000000001</v>
      </c>
    </row>
    <row r="2440">
      <c r="A2440" t="inlineStr">
        <is>
          <t>wordpress</t>
        </is>
      </c>
      <c r="B2440" t="inlineStr">
        <is>
          <t>WordPress/src/main/java/org/wordpress/android/widgets/DiffView.kt</t>
        </is>
      </c>
      <c r="C2440">
        <f>HYPERLINK("https://github.com/wordpress-mobile/WordPress-Android/blob/master/WordPress/src/main/java/org/wordpress/android/widgets/DiffView.kt")</f>
        <v/>
      </c>
      <c r="D2440" t="inlineStr">
        <is>
          <t>The `DiffView` class is a custom view that displays differences between two strings in a colored format. It takes in a list of diff objects, which represent the changes made to the original string, and applies those changes to the text displayed by the view. The view uses spans to highlight added or removed text with different colors.
The `showDiffs()` method is called when</t>
        </is>
      </c>
      <c r="E2440" t="n">
        <v>0.0028</v>
      </c>
      <c r="F2440" t="n">
        <v>0.0278</v>
      </c>
      <c r="G2440" t="n">
        <v>0.0735</v>
      </c>
      <c r="H2440" t="inlineStr">
        <is>
          <t>This is a Kotlin Android project that implements a `DiffView` class which extends the `MaterialTextView` widget to display differences between two strings. The `showDiffs()` method takes in a list of `Diff` objects representing the differences between the two strings, and applies appropriate styling to highlight the changes using spans. The `Diff` object represents a single difference between two strings</t>
        </is>
      </c>
      <c r="I2440" t="n">
        <v>0.0041</v>
      </c>
      <c r="J2440" t="n">
        <v>0.0896</v>
      </c>
      <c r="K2440" t="n">
        <v>0.1527</v>
      </c>
      <c r="L2440" t="inlineStr">
        <is>
          <t>The `DiffView` class is a custom widget that displays differences between two strings using a highlighted format. It takes in a list of `Diff` objects, which represent the changes between the two strings, and applies them to the view by adding or removing text based on the operation (addition or deletion). The view also supports strike-through formatting for deleted text.
The</t>
        </is>
      </c>
      <c r="M2440" t="n">
        <v>0.003</v>
      </c>
      <c r="N2440" t="n">
        <v>0.0286</v>
      </c>
      <c r="O2440" t="n">
        <v>0.0752</v>
      </c>
    </row>
    <row r="2441">
      <c r="A2441" t="inlineStr">
        <is>
          <t>wordpress</t>
        </is>
      </c>
      <c r="B2441" t="inlineStr">
        <is>
          <t>WordPress/src/main/java/org/wordpress/android/widgets/AppReviewManager.kt</t>
        </is>
      </c>
      <c r="C2441">
        <f>HYPERLINK("https://github.com/wordpress-mobile/WordPress-Android/blob/master/WordPress/src/main/java/org/wordpress/android/widgets/AppReviewManager.kt")</f>
        <v/>
      </c>
      <c r="D2441" t="inlineStr">
        <is>
          <t>The `AppReviewManager` class is responsible for managing in-app reviews for the WordPress Android app. It has several responsibilities, including:
* Maintaining a count of the number of times the app has been launched and interacted with (e.g., notifications received).
* Determining whether to show an in-app review dialog based on</t>
        </is>
      </c>
      <c r="E2441" t="n">
        <v>0.0037</v>
      </c>
      <c r="F2441" t="n">
        <v>0.0339</v>
      </c>
      <c r="G2441" t="n">
        <v>0.041</v>
      </c>
      <c r="H2441" t="inlineStr">
        <is>
          <t>This is a Kotlin object that provides methods for managing in-app reviews in a WordPress Android application. The object has several constants defined, including `PREF_NAME`, which specifies the name of the SharedPreferences file used to store review preferences; `KEY_RATING_LAUNCH_TIMES` and `KEY_RATING_INTERACTIONS</t>
        </is>
      </c>
      <c r="I2441" t="n">
        <v>0.0054</v>
      </c>
      <c r="J2441" t="n">
        <v>0.07140000000000001</v>
      </c>
      <c r="K2441" t="n">
        <v>0.1327</v>
      </c>
      <c r="L2441" t="inlineStr">
        <is>
          <t>The `AppReviewManager` class is responsible for managing the review process for the WordPress Android app. It stores data related to the number of launch times and interactions, as well as the date when in-app reviews were last shown. The class also provides methods for incrementing these values and determining whether the review prompt should be displayed based on certain conditions.</t>
        </is>
      </c>
      <c r="M2441" t="n">
        <v>0.003</v>
      </c>
      <c r="N2441" t="n">
        <v>0.029</v>
      </c>
      <c r="O2441" t="n">
        <v>0.0379</v>
      </c>
    </row>
    <row r="2442">
      <c r="A2442" t="inlineStr">
        <is>
          <t>wordpress</t>
        </is>
      </c>
      <c r="B2442" t="inlineStr">
        <is>
          <t>WordPress/src/main/java/org/wordpress/android/widgets/HeaderGridView.java</t>
        </is>
      </c>
      <c r="C2442">
        <f>HYPERLINK("https://github.com/wordpress-mobile/WordPress-Android/blob/master/WordPress/src/main/java/org/wordpress/android/widgets/HeaderGridView.java")</f>
        <v/>
      </c>
      <c r="D2442" t="inlineStr">
        <is>
          <t>This code implements a custom `Widget` class called `WordPressWidget`. It extends the `FrameLayout` widget and provides a simple interface for displaying a list of items fetched from a remote data source. The `WordPressWidget` class has several methods that can be used to configure its behavior, such as setting the adapter, adding observers, and filtering the data.
The</t>
        </is>
      </c>
      <c r="E2442" t="n">
        <v>0.0042</v>
      </c>
      <c r="F2442" t="n">
        <v>0.09229999999999999</v>
      </c>
      <c r="G2442" t="n">
        <v>0.155</v>
      </c>
      <c r="H2442" t="inlineStr">
        <is>
          <t>This code implements a custom widget that extends the `AdapterView` class from the Android SDK. It provides a way to display data using a list view, where each item in the list can be selected and interacted with. The widget has a filter feature that allows users to search for specific items in the list. The implementation uses the `Filterable` interface to enable filtering and the `DataSet</t>
        </is>
      </c>
      <c r="I2442" t="n">
        <v>0.0036</v>
      </c>
      <c r="J2442" t="n">
        <v>0.08</v>
      </c>
      <c r="K2442" t="n">
        <v>0.1439</v>
      </c>
      <c r="L2442" t="inlineStr">
        <is>
          <t>The provided code defines a custom widget called `WordPressWidget` that extends the `AdapterView` class. It provides a flexible way to display data from a database in a list format. The widget has several features such as filtering, sorting, and pagination. The code also includes comments explaining the purpose and usage of each section.</t>
        </is>
      </c>
      <c r="M2442" t="n">
        <v>0.0035</v>
      </c>
      <c r="N2442" t="n">
        <v>0.0328</v>
      </c>
      <c r="O2442" t="n">
        <v>0.04</v>
      </c>
    </row>
    <row r="2443">
      <c r="A2443" t="inlineStr">
        <is>
          <t>wordpress</t>
        </is>
      </c>
      <c r="B2443" t="inlineStr">
        <is>
          <t>WordPress/src/main/java/org/wordpress/android/widgets/NestedWebView.kt</t>
        </is>
      </c>
      <c r="C2443">
        <f>HYPERLINK("https://github.com/wordpress-mobile/WordPress-Android/blob/master/WordPress/src/main/java/org/wordpress/android/widgets/NestedWebView.kt")</f>
        <v/>
      </c>
      <c r="D2443" t="inlineStr">
        <is>
          <t>The provided code is a custom implementation of `WebView` called `NestedWebView`. It extends the standard `WebView` class and adds support for nested scrolling using the `NestedScrollingChild3` interface. This allows it to work properly within a `CoordinatorLayout`, which is commonly used in Android apps.
The main purpose of this class is to address issues that arise</t>
        </is>
      </c>
      <c r="E2443" t="n">
        <v>0.004</v>
      </c>
      <c r="F2443" t="n">
        <v>0.0635</v>
      </c>
      <c r="G2443" t="n">
        <v>0.1575</v>
      </c>
      <c r="H2443" t="inlineStr">
        <is>
          <t>The provided code is a Java class named `NestedWebView` that extends the `WPWebView` class from the `org.wordpress.android.ui` package. It is designed to work within a `CoordinatorLayout` and supports nested scrolling using the `NestedScrollingChild3` interface.
The class has one constructor that takes three parameters: `context`, `</t>
        </is>
      </c>
      <c r="I2443" t="n">
        <v>0.0041</v>
      </c>
      <c r="J2443" t="n">
        <v>0.0364</v>
      </c>
      <c r="K2443" t="n">
        <v>0.08550000000000001</v>
      </c>
      <c r="L2443" t="inlineStr">
        <is>
          <t>The `NestedWebView` class is a custom implementation of a web view that allows it to work properly within a coordinator layout when used in conjunction with a nested scrolling parent such as a `NestedScrollView`. It extends the `WPWebView` class and adds support for nested scrolling using the `NestedScrollingChild3` interface. The class also includes a number of other features</t>
        </is>
      </c>
      <c r="M2443" t="n">
        <v>0.0031</v>
      </c>
      <c r="N2443" t="n">
        <v>0.0606</v>
      </c>
      <c r="O2443" t="n">
        <v>0.1154</v>
      </c>
    </row>
    <row r="2444">
      <c r="A2444" t="inlineStr">
        <is>
          <t>wordpress</t>
        </is>
      </c>
      <c r="B2444" t="inlineStr">
        <is>
          <t>WordPress/src/main/java/org/wordpress/android/widgets/WPNestedScrollView.java</t>
        </is>
      </c>
      <c r="C2444">
        <f>HYPERLINK("https://github.com/wordpress-mobile/WordPress-Android/blob/master/WordPress/src/main/java/org/wordpress/android/widgets/WPNestedScrollView.java")</f>
        <v/>
      </c>
      <c r="D2444" t="inlineStr">
        <is>
          <t>This code defines a custom `NestedScrollView` widget that extends the default Android `ScrollView` class. The main difference between this implementation and the original `NestedScrollView` is that it uses a modified version of the `AccessibilityDelegateCompat` class, which fixes a bug related to accessibility scrolling in switch control mode.
The `NestedScrollView` class provides a nested scrolling</t>
        </is>
      </c>
      <c r="E2444" t="n">
        <v>0.004</v>
      </c>
      <c r="F2444" t="n">
        <v>0.0968</v>
      </c>
      <c r="G2444" t="n">
        <v>0.1587</v>
      </c>
      <c r="H2444" t="inlineStr">
        <is>
          <t>This Java file defines a custom `NestedScrollView` class that extends Android's built-in `ScrollView` class. The main difference between this class and the original `ScrollView` is that it uses a modified version of the `AccessibilityDelegate` class to handle accessibility events. Specifically, it overrides the `performAccessibilityAction()` method to fix a bug in the Android Support</t>
        </is>
      </c>
      <c r="I2444" t="n">
        <v>0.0041</v>
      </c>
      <c r="J2444" t="n">
        <v>0.0635</v>
      </c>
      <c r="K2444" t="n">
        <v>0.12</v>
      </c>
      <c r="L2444" t="inlineStr">
        <is>
          <t>The provided code defines a custom `NestedScrollView` widget that extends the AndroidX `NestedScrollView` class. It overrides the `performAccessibilityAction()` method to fix a bug in the Support Library related to scrolling in the Switch Control accessibility mode.</t>
        </is>
      </c>
      <c r="M2444" t="n">
        <v>0</v>
      </c>
      <c r="N2444" t="n">
        <v>0</v>
      </c>
      <c r="O2444" t="n">
        <v>0</v>
      </c>
    </row>
    <row r="2445">
      <c r="A2445" t="inlineStr">
        <is>
          <t>wordpress</t>
        </is>
      </c>
      <c r="B2445" t="inlineStr">
        <is>
          <t>WordPress/src/main/java/org/wordpress/android/widgets/WPPrefView.java</t>
        </is>
      </c>
      <c r="C2445">
        <f>HYPERLINK("https://github.com/wordpress-mobile/WordPress-Android/blob/master/WordPress/src/main/java/org/wordpress/android/widgets/WPPrefView.java")</f>
        <v/>
      </c>
      <c r="D2445" t="inlineStr">
        <is>
          <t>The provided code is a Java class that implements a custom widget for displaying preferences in an Android app. It extends `LinearLayout` and provides a set of methods to add and remove preferences, as well as a method to get the current values of the preferences.
The class uses a number of third-party libraries, including `AndroidX`, `Google Material Components`, and</t>
        </is>
      </c>
      <c r="E2445" t="n">
        <v>0.0036</v>
      </c>
      <c r="F2445" t="n">
        <v>0.058</v>
      </c>
      <c r="G2445" t="n">
        <v>0.1136</v>
      </c>
      <c r="H2445" t="inlineStr">
        <is>
          <t>This is a Java class that extends LinearLayout and implements Serializable. It has several methods for managing preferences, including getPreferenceKey(), setEnabled(), and saveHierarchyState(). The class also uses various Android libraries such as AppCompat, Material Dialogs, and Google Play Services.</t>
        </is>
      </c>
      <c r="I2445" t="n">
        <v>0.0062</v>
      </c>
      <c r="J2445" t="n">
        <v>0.1277</v>
      </c>
      <c r="K2445" t="n">
        <v>0.1802</v>
      </c>
      <c r="L2445" t="inlineStr">
        <is>
          <t>The code defines a custom widget for displaying preferences in an Android app. It extends `LinearLayout` and includes several child views such as `TextView`, `EditText`, and `SwitchCompat`. The widget is responsible for managing the display and editing of preference values, including validation and error handling. The code also includes a dialog fragment that displays a list of available preferences when the user clicks on</t>
        </is>
      </c>
      <c r="M2445" t="n">
        <v>0.0028</v>
      </c>
      <c r="N2445" t="n">
        <v>0.0278</v>
      </c>
      <c r="O2445" t="n">
        <v>0.0368</v>
      </c>
    </row>
    <row r="2446">
      <c r="A2446" t="inlineStr">
        <is>
          <t>wordpress</t>
        </is>
      </c>
      <c r="B2446" t="inlineStr">
        <is>
          <t>WordPress/src/main/java/org/wordpress/android/widgets/WPViewPager.java</t>
        </is>
      </c>
      <c r="C2446">
        <f>HYPERLINK("https://github.com/wordpress-mobile/WordPress-Android/blob/master/WordPress/src/main/java/org/wordpress/android/widgets/WPViewPager.java")</f>
        <v/>
      </c>
      <c r="D2446" t="inlineStr">
        <is>
          <t>The `WPViewPager` class is a custom implementation of the Android `ViewPager` widget that fixes a known issue with the compatibility library's implementation of the `onInterceptTouchEvent()` method. Specifically, it addresses three bugs related to pointer indices being out of range when using multi-touch gestures:
* Issue #16836: "Pointer index out</t>
        </is>
      </c>
      <c r="E2446" t="n">
        <v>0</v>
      </c>
      <c r="F2446" t="n">
        <v>0.0345</v>
      </c>
      <c r="G2446" t="n">
        <v>0.08260000000000001</v>
      </c>
      <c r="H2446" t="inlineStr">
        <is>
          <t>The provided code is a Java implementation of a custom `WPViewPager` widget that inherits from Android's built-in `ViewPager`. It addresses a known issue with the compatibility library where the pointer index is out of range when using the view pager. This issue has been reported to Google and is still open as of this writing.
The custom view pager overrides</t>
        </is>
      </c>
      <c r="I2446" t="n">
        <v>0.0036</v>
      </c>
      <c r="J2446" t="n">
        <v>0.0571</v>
      </c>
      <c r="K2446" t="n">
        <v>0.1515</v>
      </c>
      <c r="L2446" t="inlineStr">
        <is>
          <t>The provided code is a custom implementation of the Android `ViewPager` widget that addresses a known issue with the compatibility library's implementation of the `ViewPager`. Specifically, it fixes the "pointer index out of range" error that occurs when swiping between pages quickly. The custom implementation also adds support for disabling paging through touch events, as requested by the original author. Over</t>
        </is>
      </c>
      <c r="M2446" t="n">
        <v>0</v>
      </c>
      <c r="N2446" t="n">
        <v>0.0286</v>
      </c>
      <c r="O2446" t="n">
        <v>0.0376</v>
      </c>
    </row>
    <row r="2447">
      <c r="A2447" t="inlineStr">
        <is>
          <t>wordpress</t>
        </is>
      </c>
      <c r="B2447" t="inlineStr">
        <is>
          <t>WordPress/src/main/java/org/wordpress/android/widgets/WPTextView.java</t>
        </is>
      </c>
      <c r="C2447">
        <f>HYPERLINK("https://github.com/wordpress-mobile/WordPress-Android/blob/master/WordPress/src/main/java/org/wordpress/android/widgets/WPTextView.java")</f>
        <v/>
      </c>
      <c r="D2447" t="inlineStr">
        <is>
          <t>The `WPTextView` class is a custom extension of the Android `MaterialTextView` widget that provides an option to automatically fix widows in text. It has three constructors, each taking a different number of arguments for the `Context`, `AttributeSet`, and `defStyle`. The class also includes a `setFixWidowWord()` method that allows developers to enable or disable</t>
        </is>
      </c>
      <c r="E2447" t="n">
        <v>0.0035</v>
      </c>
      <c r="F2447" t="n">
        <v>0.0328</v>
      </c>
      <c r="G2447" t="n">
        <v>0.04</v>
      </c>
      <c r="H2447" t="inlineStr">
        <is>
          <t>This is a Java library that provides a custom `WPTextView` widget for Android applications. The widget allows users to enable or disable the automatic fixing of widow words in text. It uses the Google Material Design TextView as its base and adds additional features such as the ability to enable or disable this feature. The code is well-documented with comments explaining the purpose of each method and variable</t>
        </is>
      </c>
      <c r="I2447" t="n">
        <v>0.0032</v>
      </c>
      <c r="J2447" t="n">
        <v>0.0519</v>
      </c>
      <c r="K2447" t="n">
        <v>0.1071</v>
      </c>
      <c r="L2447" t="inlineStr">
        <is>
          <t>The provided code is for a custom `WPTextView` widget that inherits from `MaterialTextView`. It has two constructors, one taking no arguments and another taking a `Context`, `AttributeSet`, and `int` as arguments. Additionally, it has a method called `setFixWidowWord()` which takes a single argument of type `boolean` indicating whether to enable or</t>
        </is>
      </c>
      <c r="M2447" t="n">
        <v>0.0036</v>
      </c>
      <c r="N2447" t="n">
        <v>0.0339</v>
      </c>
      <c r="O2447" t="n">
        <v>0.0407</v>
      </c>
    </row>
    <row r="2448">
      <c r="A2448" t="inlineStr">
        <is>
          <t>wordpress</t>
        </is>
      </c>
      <c r="B2448" t="inlineStr">
        <is>
          <t>WordPress/src/main/java/org/wordpress/android/networking/OAuthAuthenticator.java</t>
        </is>
      </c>
      <c r="C2448">
        <f>HYPERLINK("https://github.com/wordpress-mobile/WordPress-Android/blob/master/WordPress/src/main/java/org/wordpress/android/networking/OAuthAuthenticator.java")</f>
        <v/>
      </c>
      <c r="D2448" t="inlineStr">
        <is>
          <t>This is a Java implementation of an `OAuthAuthenticator` class that provides authentication for REST requests using an `AccessToken`. The class takes an `AccessToken` object as its constructor argument and has an `authenticate()` method that sends the token with each request to authenticate it. It also includes some comments and a README file explaining the purpose of the project and its</t>
        </is>
      </c>
      <c r="E2448" t="n">
        <v>0.0036</v>
      </c>
      <c r="F2448" t="n">
        <v>0.0882</v>
      </c>
      <c r="G2448" t="n">
        <v>0.1515</v>
      </c>
      <c r="H2448" t="inlineStr">
        <is>
          <t>This is a Java package that provides an implementation of the `Authenticator` interface for use with the WordPress Android app. The `OAuthAuthenticator` class takes an instance of the `AccessToken` class as a constructor argument and implements the `authenticate()` method to send the access token obtained from the `AccessToken` object along with the authentication request.</t>
        </is>
      </c>
      <c r="I2448" t="n">
        <v>0.0045</v>
      </c>
      <c r="J2448" t="n">
        <v>0.0968</v>
      </c>
      <c r="K2448" t="n">
        <v>0.1587</v>
      </c>
      <c r="L2448" t="inlineStr">
        <is>
          <t>The code defines a custom implementation of the `Authenticator` interface for Android apps that uses the WordPress REST API. It takes an instance of the `AccessToken` class as input and provides a method called `authenticate()` that sends an authentication request using the token received from the `AccessToken` object.</t>
        </is>
      </c>
      <c r="M2448" t="n">
        <v>0.0038</v>
      </c>
      <c r="N2448" t="n">
        <v>0.07140000000000001</v>
      </c>
      <c r="O2448" t="n">
        <v>0.125</v>
      </c>
    </row>
    <row r="2449">
      <c r="A2449" t="inlineStr">
        <is>
          <t>wordpress</t>
        </is>
      </c>
      <c r="B2449" t="inlineStr">
        <is>
          <t>WordPress/src/main/java/org/wordpress/android/networking/GlideRequestFactory.kt</t>
        </is>
      </c>
      <c r="C2449">
        <f>HYPERLINK("https://github.com/wordpress-mobile/WordPress-Android/blob/master/WordPress/src/main/java/org/wordpress/android/networking/GlideRequestFactory.kt")</f>
        <v/>
      </c>
      <c r="D2449" t="inlineStr">
        <is>
          <t>The `GlideRequestFactory` class is a custom implementation of the `VolleyRequestFactory` interface that adds authorization headers to all Glide requests and ensures that requests made to WordPress.com endpoints use HTTPS. It does this by overriding the `createRequest()` method and adding the necessary headers to the request before returning it. Additionally, it sets a timeout value of</t>
        </is>
      </c>
      <c r="E2449" t="n">
        <v>0.0033</v>
      </c>
      <c r="F2449" t="n">
        <v>0.0625</v>
      </c>
      <c r="G2449" t="n">
        <v>0.1575</v>
      </c>
      <c r="H2449" t="inlineStr">
        <is>
          <t>This is a Java class that implements the `VolleyRequestFactory` interface from the Android SDK's Volley library. It is annotated with `@Singleton`, indicating that it should be instantiated only once during the lifecycle of the application. The class has one constructor that takes an instance of `AuthenticationUtils` as a parameter.
The class defines several constants, including `</t>
        </is>
      </c>
      <c r="I2449" t="n">
        <v>0.0039</v>
      </c>
      <c r="J2449" t="n">
        <v>0.0625</v>
      </c>
      <c r="K2449" t="n">
        <v>0.0781</v>
      </c>
      <c r="L2449" t="inlineStr">
        <is>
          <t>The `GlideRequestFactory` class is a custom implementation of the `VolleyRequestFactory` interface that provides additional features such as adding authorization headers to all Glide requests and ensuring that requests to WordPress.com endpoints use HTTPS. It also includes a timeout value for loading complex images at the server side.</t>
        </is>
      </c>
      <c r="M2449" t="n">
        <v>0.0039</v>
      </c>
      <c r="N2449" t="n">
        <v>0.07140000000000001</v>
      </c>
      <c r="O2449" t="n">
        <v>0.1261</v>
      </c>
    </row>
    <row r="2450">
      <c r="A2450" t="inlineStr">
        <is>
          <t>wordpress</t>
        </is>
      </c>
      <c r="B2450" t="inlineStr">
        <is>
          <t>WordPress/src/main/java/org/wordpress/android/networking/SSLCertsViewActivity.java</t>
        </is>
      </c>
      <c r="C2450">
        <f>HYPERLINK("https://github.com/wordpress-mobile/WordPress-Android/blob/master/WordPress/src/main/java/org/wordpress/android/networking/SSLCertsViewActivity.java")</f>
        <v/>
      </c>
      <c r="D2450" t="inlineStr">
        <is>
          <t>This is an Android activity that displays information about an SSL certificate. It loads the content from a bundle passed in through the intent's extras with the key `CERT_DETAILS_KEYS`. The activity sets its title to "SSL Certificate Details" and disables the home button on the action bar. If the bundle contains the required data, it uses the `</t>
        </is>
      </c>
      <c r="E2450" t="n">
        <v>0.0037</v>
      </c>
      <c r="F2450" t="n">
        <v>0.0588</v>
      </c>
      <c r="G2450" t="n">
        <v>0.1154</v>
      </c>
      <c r="H2450" t="inlineStr">
        <is>
          <t>This is a Java Android project that provides a view for displaying information about SSL certificates. The main activity, `SSLCertsViewActivity`, inherits from `WebViewActivity` and overrides its `loadContent()` method to display the certificate details passed as an extra in the intent. The `onCreate()` method sets the title of the activity and disables the home button on the action</t>
        </is>
      </c>
      <c r="I2450" t="n">
        <v>0.0038</v>
      </c>
      <c r="J2450" t="n">
        <v>0.0615</v>
      </c>
      <c r="K2450" t="n">
        <v>0.0775</v>
      </c>
      <c r="L2450" t="inlineStr">
        <is>
          <t>The provided code is part of an Android application that displays detailed information about an SSL certificate. It is a subclass of `WebViewActivity` and overrides the `loadContent()` method to display the certificate details. The activity's title is set to "SSL Certificate Details" using the `setTitle()` method, and the up button is disabled using the `setDisplayHomeAsUpEnabled</t>
        </is>
      </c>
      <c r="M2450" t="n">
        <v>0.0033</v>
      </c>
      <c r="N2450" t="n">
        <v>0.0312</v>
      </c>
      <c r="O2450" t="n">
        <v>0.07870000000000001</v>
      </c>
    </row>
    <row r="2451">
      <c r="A2451" t="inlineStr">
        <is>
          <t>wordpress</t>
        </is>
      </c>
      <c r="B2451" t="inlineStr">
        <is>
          <t>WordPress/src/main/java/org/wordpress/android/networking/GlideMShotsLoader.kt</t>
        </is>
      </c>
      <c r="C2451">
        <f>HYPERLINK("https://github.com/wordpress-mobile/WordPress-Android/blob/master/WordPress/src/main/java/org/wordpress/android/networking/GlideMShotsLoader.kt")</f>
        <v/>
      </c>
      <c r="D2451" t="inlineStr">
        <is>
          <t>This is a Kotlin file containing a class named `MShot` which represents a string URL wrapper, and another class named `GlideMShotsLoader` which implements a custom Glide model loader for loading images from a given URL. The `GlideMShotsLoader` class has several methods, including a constructor, `buildLoadData`, `handles`, and `</t>
        </is>
      </c>
      <c r="E2451" t="n">
        <v>0.005</v>
      </c>
      <c r="F2451" t="n">
        <v>0.1091</v>
      </c>
      <c r="G2451" t="n">
        <v>0.125</v>
      </c>
      <c r="H2451" t="inlineStr">
        <is>
          <t>This is a Kotlin file containing a class called `MShot` which wraps a string URL, and another class called `GlideMShotsLoader` which implements a custom Glide model loader for handling HTTP requests with retry logic. The `GlideMShotsLoader` class has several dependencies on other classes in the Volley library, as well as some constants defined</t>
        </is>
      </c>
      <c r="I2451" t="n">
        <v>0.0049</v>
      </c>
      <c r="J2451" t="n">
        <v>0.0984</v>
      </c>
      <c r="K2451" t="n">
        <v>0.16</v>
      </c>
      <c r="L2451" t="inlineStr">
        <is>
          <t>The provided code is a Kotlin implementation of a custom Glide model loader for fetching images from MShot URLs. The class `MShot` wraps a string URL as a model, and the `MShotLoader` class implements the `ModelLoader` interface to handle requests for these models.
The `MShotLoader` constructor takes a `RequestQueue</t>
        </is>
      </c>
      <c r="M2451" t="n">
        <v>0.0045</v>
      </c>
      <c r="N2451" t="n">
        <v>0.0702</v>
      </c>
      <c r="O2451" t="n">
        <v>0.08260000000000001</v>
      </c>
    </row>
    <row r="2452">
      <c r="A2452" t="inlineStr">
        <is>
          <t>wordpress</t>
        </is>
      </c>
      <c r="B2452" t="inlineStr">
        <is>
          <t>WordPress/src/main/java/org/wordpress/android/networking/ConnectionChangeReceiver.java</t>
        </is>
      </c>
      <c r="C2452">
        <f>HYPERLINK("https://github.com/wordpress-mobile/WordPress-Android/blob/master/WordPress/src/main/java/org/wordpress/android/networking/ConnectionChangeReceiver.java")</f>
        <v/>
      </c>
      <c r="D2452" t="inlineStr">
        <is>
          <t>This Java file defines a `ConnectionChangeReceiver` class that listens for changes in the device's network connectivity status. When a change occurs, it broadcasts a custom event called `ConnectionChangeEvent`. The event includes information about whether the device is now connected or disconnected from the internet.
The `ConnectionChangeReceiver` class uses GreenRobot's EventBus library</t>
        </is>
      </c>
      <c r="E2452" t="n">
        <v>0.0036</v>
      </c>
      <c r="F2452" t="n">
        <v>0.0328</v>
      </c>
      <c r="G2452" t="n">
        <v>0.0813</v>
      </c>
      <c r="H2452" t="inlineStr">
        <is>
          <t>This is a Java Android project with a single file named "ConnectionChangeReceiver.java". The file defines a custom broadcast receiver called "ConnectionChangeReceiver" that listens for changes in the device's network connectivity status. When the network connectivity changes, the receiver sends a message to the EventBus indicating whether the device is now connected or disconnected. The receiver also maintains some</t>
        </is>
      </c>
      <c r="I2452" t="n">
        <v>0.0031</v>
      </c>
      <c r="J2452" t="n">
        <v>0.0294</v>
      </c>
      <c r="K2452" t="n">
        <v>0.0385</v>
      </c>
      <c r="L2452" t="inlineStr">
        <is>
          <t>The provided code defines a `ConnectionChangeReceiver` class that listens for changes in the device's network connectivity status and sends notifications via GreenRobot EventBus when such changes occur. The receiver is registered as a broadcast receiver in the AndroidManifest.xml file and receives events from the system when the network state changes. When a network connection event occurs, the receiver updates a `</t>
        </is>
      </c>
      <c r="M2452" t="n">
        <v>0.003</v>
      </c>
      <c r="N2452" t="n">
        <v>0.0286</v>
      </c>
      <c r="O2452" t="n">
        <v>0.0376</v>
      </c>
    </row>
    <row r="2453">
      <c r="A2453" t="inlineStr">
        <is>
          <t>wordpress</t>
        </is>
      </c>
      <c r="B2453" t="inlineStr">
        <is>
          <t>WordPress/src/main/java/org/wordpress/android/networking/restapi/WpComApiClientProvider.kt</t>
        </is>
      </c>
      <c r="C2453">
        <f>HYPERLINK("https://github.com/wordpress-mobile/WordPress-Android/blob/master/WordPress/src/main/java/org/wordpress/android/networking/restapi/WpComApiClientProvider.kt")</f>
        <v/>
      </c>
      <c r="D2453" t="inlineStr">
        <is>
          <t>This is a Kotlin class that provides a `WpComApiClient` object using dependency injection. The client is created with an `OkHttpClient` instance configured with timeouts for connect, read, and write operations. The `WpComApiClient` is used to make requests to the WordPress.com API. The `WpNetworkAvailabilityProvider` is inject</t>
        </is>
      </c>
      <c r="E2453" t="n">
        <v>0.0049</v>
      </c>
      <c r="F2453" t="n">
        <v>0.0741</v>
      </c>
      <c r="G2453" t="n">
        <v>0.1282</v>
      </c>
      <c r="H2453" t="inlineStr">
        <is>
          <t>This is a Kotlin class that provides a `WpComApiClient` instance using dependency injection (DI). The class takes in a `WpNetworkAvailabilityProvider` as a parameter in its constructor and uses it to check if the device has internet connectivity before creating the `WpComApiClient`. If there is no internet connection, the method returns null. Otherwise,</t>
        </is>
      </c>
      <c r="I2453" t="n">
        <v>0.0042</v>
      </c>
      <c r="J2453" t="n">
        <v>0.0667</v>
      </c>
      <c r="K2453" t="n">
        <v>0.121</v>
      </c>
      <c r="L2453" t="inlineStr">
        <is>
          <t>The `WpComApiClientProvider` class provides a `getWpComApiClient()` method that returns a `WpComApiClient` instance based on the given access token. It uses the `WpNetworkAvailabilityProvider` to check if there is network connectivity before creating the client. The client is created using the `OkHttpClient` builder, which sets</t>
        </is>
      </c>
      <c r="M2453" t="n">
        <v>0</v>
      </c>
      <c r="N2453" t="n">
        <v>0</v>
      </c>
      <c r="O2453" t="n">
        <v>0.0435</v>
      </c>
    </row>
    <row r="2454">
      <c r="A2454" t="inlineStr">
        <is>
          <t>wordpress</t>
        </is>
      </c>
      <c r="B2454" t="inlineStr">
        <is>
          <t>WordPress/src/main/java/org/wordpress/android/usecase/FlowFSMUseCase.kt</t>
        </is>
      </c>
      <c r="C2454">
        <f>HYPERLINK("https://github.com/wordpress-mobile/WordPress-Android/blob/master/WordPress/src/main/java/org/wordpress/android/usecase/FlowFSMUseCase.kt")</f>
        <v/>
      </c>
      <c r="D2454" t="inlineStr">
        <is>
          <t>This is a Kotlin implementation of a Finite State Machine (FSM) for managing the state of a use case in a system. The FSM is defined by a set of states and transitions between those states based on input actions. The `FlowFSMUseCase` class provides a way to manage the flow of data through the FSM using a shared flow channel. It</t>
        </is>
      </c>
      <c r="E2454" t="n">
        <v>0.0036</v>
      </c>
      <c r="F2454" t="n">
        <v>0.08699999999999999</v>
      </c>
      <c r="G2454" t="n">
        <v>0.1504</v>
      </c>
      <c r="H2454" t="inlineStr">
        <is>
          <t>This is a Kotlin library for implementing finite state machines (FSMs) in Android applications using coroutines. The library provides a `FlowFSMUseCase` class that can be used to implement FSMs with a given set of states and transitions. The class has three main functions:
* `subscribe()`: Returns a shared flow object that can be used to</t>
        </is>
      </c>
      <c r="I2454" t="n">
        <v>0.004</v>
      </c>
      <c r="J2454" t="n">
        <v>0.0968</v>
      </c>
      <c r="K2454" t="n">
        <v>0.1575</v>
      </c>
      <c r="L2454" t="inlineStr">
        <is>
          <t>The provided code defines a `FlowFSMUseCase` class that manages a finite state machine (FSM) for a specific use case. It takes in several parameters upon initialization, including an initial state, a resource provider, and a type parameter for the data being managed by the FSM. The class has two primary methods: `subscribe()` returns a shared flow of results from the</t>
        </is>
      </c>
      <c r="M2454" t="n">
        <v>0.003</v>
      </c>
      <c r="N2454" t="n">
        <v>0.0294</v>
      </c>
      <c r="O2454" t="n">
        <v>0.07580000000000001</v>
      </c>
    </row>
    <row r="2455">
      <c r="A2455" t="inlineStr">
        <is>
          <t>wordpress</t>
        </is>
      </c>
      <c r="B2455" t="inlineStr">
        <is>
          <t>WordPress/src/main/java/org/wordpress/android/usecase/UseCaseResult.kt</t>
        </is>
      </c>
      <c r="C2455">
        <f>HYPERLINK("https://github.com/wordpress-mobile/WordPress-Android/blob/master/WordPress/src/main/java/org/wordpress/android/usecase/UseCaseResult.kt")</f>
        <v/>
      </c>
      <c r="D2455" t="inlineStr">
        <is>
          <t>The provided code defines a sealed class called `UseCaseResult` that represents the result of a use case execution. It has three subclasses:
1. `Success`: Represents a successful execution of a use case with some data returned in the form of a generic parameter `DATA`.
2. `Failure`: Represents a failed execution of a use case with an</t>
        </is>
      </c>
      <c r="E2455" t="n">
        <v>0</v>
      </c>
      <c r="F2455" t="n">
        <v>0</v>
      </c>
      <c r="G2455" t="n">
        <v>0.0391</v>
      </c>
      <c r="H2455" t="inlineStr">
        <is>
          <t>This is a Kotlin implementation of a sealed class called `UseCaseResult` that represents the result of a use case in a system. The class has three subclasses: `Success`, `Failure`, and `Loading`. Each subclass represents a different type of result, with the `Success` subclass representing a successful outcome, the `Failure` subclass representing a failed outcome, and the `</t>
        </is>
      </c>
      <c r="I2455" t="n">
        <v>0.0038</v>
      </c>
      <c r="J2455" t="n">
        <v>0.09379999999999999</v>
      </c>
      <c r="K2455" t="n">
        <v>0.155</v>
      </c>
      <c r="L2455" t="inlineStr">
        <is>
          <t>The provided code defines a sealed class called "UseCaseResult" that represents the result of a use case execution. It has three subclasses: "Success", "Failure", and "Loading". Each subclass has its own parameters and properties. The "Success" subclass is used when the use case executes successfully, the "Failure" subclass is used when there's an error during execution,</t>
        </is>
      </c>
      <c r="M2455" t="n">
        <v>0.0033</v>
      </c>
      <c r="N2455" t="n">
        <v>0.0308</v>
      </c>
      <c r="O2455" t="n">
        <v>0.0781</v>
      </c>
    </row>
    <row r="2456">
      <c r="A2456" t="inlineStr">
        <is>
          <t>wordpress</t>
        </is>
      </c>
      <c r="B2456" t="inlineStr">
        <is>
          <t>WordPress/src/main/java/org/wordpress/android/usecase/social/GetJetpackSocialShareMessageUseCase.kt</t>
        </is>
      </c>
      <c r="C2456">
        <f>HYPERLINK("https://github.com/wordpress-mobile/WordPress-Android/blob/master/WordPress/src/main/java/org/wordpress/android/usecase/social/GetJetpackSocialShareMessageUseCase.kt")</f>
        <v/>
      </c>
      <c r="D2456" t="inlineStr">
        <is>
          <t>The `GetJetpackSocialShareMessageUseCase` class is responsible for retrieving the social share message for a given local post ID. It uses the `postStore` to retrieve the post data and then checks if there is an automatic share message set. If there isn't one, it falls back to using the post title as the share message. Finally, the method</t>
        </is>
      </c>
      <c r="E2456" t="n">
        <v>0.0033</v>
      </c>
      <c r="F2456" t="n">
        <v>0.0308</v>
      </c>
      <c r="G2456" t="n">
        <v>0.0781</v>
      </c>
      <c r="H2456" t="inlineStr">
        <is>
          <t>This is a Kotlin implementation of a use case for retrieving a Jetpack social share message from a local post ID. The use case uses the `GetJetpackSocialShareMessageUseCase` class to retrieve the message from the `PostStore`, which is a Flux store that manages data related to posts. The use case executes on a background thread using a cor</t>
        </is>
      </c>
      <c r="I2456" t="n">
        <v>0.0032</v>
      </c>
      <c r="J2456" t="n">
        <v>0.0615</v>
      </c>
      <c r="K2456" t="n">
        <v>0.1163</v>
      </c>
      <c r="L2456" t="inlineStr">
        <is>
          <t>The `GetJetpackSocialShareMessageUseCase` class is responsible for retrieving the social share message for a given local post ID. It uses the `postStore` object to retrieve the post by local post ID, and if found, returns the auto share message if present, otherwise the title of the post. If no post is found, an empty string is returned.</t>
        </is>
      </c>
      <c r="M2456" t="n">
        <v>0.0033</v>
      </c>
      <c r="N2456" t="n">
        <v>0.0312</v>
      </c>
      <c r="O2456" t="n">
        <v>0.0781</v>
      </c>
    </row>
    <row r="2457">
      <c r="A2457" t="inlineStr">
        <is>
          <t>wordpress</t>
        </is>
      </c>
      <c r="B2457" t="inlineStr">
        <is>
          <t>WordPress/src/main/java/org/wordpress/android/usecase/social/JetpackSocialFlow.kt</t>
        </is>
      </c>
      <c r="C2457">
        <f>HYPERLINK("https://github.com/wordpress-mobile/WordPress-Android/blob/master/WordPress/src/main/java/org/wordpress/android/usecase/social/JetpackSocialFlow.kt")</f>
        <v/>
      </c>
      <c r="D2457" t="inlineStr">
        <is>
          <t>This is a Kotlin enum class named `JetpackSocialFlow` that defines three values representing different social flow stages in WordPress Android app development. Each value has a corresponding string representation, which can be used to identify each stage. The enum provides a simple way to define and work with these stages in the code.</t>
        </is>
      </c>
      <c r="E2457" t="n">
        <v>0.0041</v>
      </c>
      <c r="F2457" t="n">
        <v>0.06560000000000001</v>
      </c>
      <c r="G2457" t="n">
        <v>0.12</v>
      </c>
      <c r="H2457" t="inlineStr">
        <is>
          <t>This is an Android app that uses Kotlin programming language to create a social media platform. The app has three main functionalities; posting settings, pre-publishing, and dashboard card.</t>
        </is>
      </c>
      <c r="I2457" t="n">
        <v>0.008</v>
      </c>
      <c r="J2457" t="n">
        <v>0.1622</v>
      </c>
      <c r="K2457" t="n">
        <v>0.15</v>
      </c>
      <c r="L2457" t="inlineStr">
        <is>
          <t>The provided code defines an enum called `JetpackSocialFlow` that represents different social media flows for WordPress Android app. It has three values: `POST_SETTINGS`, `PRE_PUBLISHING`, and `DASHBOARD_CARD`. Each value is associated with a string value that represents the name of the corresponding social media flow.</t>
        </is>
      </c>
      <c r="M2457" t="n">
        <v>0.0042</v>
      </c>
      <c r="N2457" t="n">
        <v>0.0364</v>
      </c>
      <c r="O2457" t="n">
        <v>0.0431</v>
      </c>
    </row>
    <row r="2458">
      <c r="A2458" t="inlineStr">
        <is>
          <t>wordpress</t>
        </is>
      </c>
      <c r="B2458" t="inlineStr">
        <is>
          <t>WordPress/src/main/java/org/wordpress/android/usecase/social/GetJetpackSocialShareLimitStatusUseCase.kt</t>
        </is>
      </c>
      <c r="C2458">
        <f>HYPERLINK("https://github.com/wordpress-mobile/WordPress-Android/blob/master/WordPress/src/main/java/org/wordpress/android/usecase/social/GetJetpackSocialShareLimitStatusUseCase.kt")</f>
        <v/>
      </c>
      <c r="D2458" t="inlineStr">
        <is>
          <t>The `GetJetpackSocialShareLimitStatusUseCase` class in the provided code fetches the current social sharing limit status for a given WordPress site using the Jetpack plugin. It does this by checking whether the site is running on a self-hosted or Jetpack-powered WordPress installation, and then retrieving the relevant information from the `SiteStore`.</t>
        </is>
      </c>
      <c r="E2458" t="n">
        <v>0.0037</v>
      </c>
      <c r="F2458" t="n">
        <v>0.0678</v>
      </c>
      <c r="G2458" t="n">
        <v>0.124</v>
      </c>
      <c r="H2458" t="inlineStr">
        <is>
          <t>The provided code defines a Kotlin class called `GetJetpackSocialShareLimitStatusUseCase` that implements a use case for fetching the status of Jetpack Social Shares on a WordPress website. The class takes in a `SiteModel` object as input and returns a `ShareLimit` object indicating whether Jetpack Social Shares are enabled or disabled.</t>
        </is>
      </c>
      <c r="I2458" t="n">
        <v>0.0045</v>
      </c>
      <c r="J2458" t="n">
        <v>0.0702</v>
      </c>
      <c r="K2458" t="n">
        <v>0.124</v>
      </c>
      <c r="L2458" t="inlineStr">
        <is>
          <t>The `GetJetpackSocialShareLimitStatusUseCase` class in the `org.wordpress.android.usecase.social` package is responsible for retrieving the social sharing limit status for a given website. It takes a `SiteModel` object as input and returns a `ShareLimit` object that indicates whether the social sharing limit is enabled and, if so,</t>
        </is>
      </c>
      <c r="M2458" t="n">
        <v>0.0042</v>
      </c>
      <c r="N2458" t="n">
        <v>0.0357</v>
      </c>
      <c r="O2458" t="n">
        <v>0.0431</v>
      </c>
    </row>
    <row r="2459">
      <c r="A2459" t="inlineStr">
        <is>
          <t>wordpress</t>
        </is>
      </c>
      <c r="B2459" t="inlineStr">
        <is>
          <t>WordPress/src/main/java/org/wordpress/android/usecase/social/GetPublicizeConnectionsForUserUseCase.kt</t>
        </is>
      </c>
      <c r="C2459">
        <f>HYPERLINK("https://github.com/wordpress-mobile/WordPress-Android/blob/master/WordPress/src/main/java/org/wordpress/android/usecase/social/GetPublicizeConnectionsForUserUseCase.kt")</f>
        <v/>
      </c>
      <c r="D2459" t="inlineStr">
        <is>
          <t>This is a Kotlin class that represents a use case for retrieving a list of publicize connections for a user in WordPress. The class takes the following dependencies as parameters in its constructor:
* `ioDispatcher`: A coroutine dispatcher used to run blocking IO operations on a background thread.
* `publicizeTableWrapper`: An instance of the `PublicizeTable</t>
        </is>
      </c>
      <c r="E2459" t="n">
        <v>0.0033</v>
      </c>
      <c r="F2459" t="n">
        <v>0.0328</v>
      </c>
      <c r="G2459" t="n">
        <v>0.07870000000000001</v>
      </c>
      <c r="H2459" t="inlineStr">
        <is>
          <t>This is a Kotlin class that implements a use case for retrieving a list of publicize connections for a user. The class is annotated with `@Inject` to indicate that it should be constructed by a dependency injection framework. It takes several dependencies as parameters in its constructor, including a `CoroutineDispatcher`, which is used to schedule coroutines on different threads, and a `</t>
        </is>
      </c>
      <c r="I2459" t="n">
        <v>0.0039</v>
      </c>
      <c r="J2459" t="n">
        <v>0.08699999999999999</v>
      </c>
      <c r="K2459" t="n">
        <v>0.1493</v>
      </c>
      <c r="L2459" t="inlineStr">
        <is>
          <t>The `GetPublicizeConnectionsForUserUseCase` class is responsible for retrieving a list of publicize connections (i.e., social media accounts that can be used to publish posts) for a given user. It achieves this by using the `PublicizeTableWrapper`, `PublicizeUpdateServicesV2`, and `IO_THREAD` dependencies. The method `get</t>
        </is>
      </c>
      <c r="M2459" t="n">
        <v>0.0045</v>
      </c>
      <c r="N2459" t="n">
        <v>0.0784</v>
      </c>
      <c r="O2459" t="n">
        <v>0.1327</v>
      </c>
    </row>
    <row r="2460">
      <c r="A2460" t="inlineStr">
        <is>
          <t>wordpress</t>
        </is>
      </c>
      <c r="B2460" t="inlineStr">
        <is>
          <t>WordPress/src/main/java/org/wordpress/android/ui/JetpackConnectionWebViewActivity.java</t>
        </is>
      </c>
      <c r="C2460">
        <f>HYPERLINK("https://github.com/wordpress-mobile/WordPress-Android/blob/master/WordPress/src/main/java/org/wordpress/android/ui/JetpackConnectionWebViewActivity.java")</f>
        <v/>
      </c>
      <c r="D2460" t="inlineStr">
        <is>
          <t>The provided code is an Android activity called `StatsActivity` that displays statistics for a WordPress site. It uses the `JetpackConnectionWebViewClient` class to connect to the site's Jetpack API and retrieve data such as post counts, comment counts, and user counts. Once the data has been retrieved, it is displayed in a web view using JavaScript.
The activity</t>
        </is>
      </c>
      <c r="E2460" t="n">
        <v>0.0032</v>
      </c>
      <c r="F2460" t="n">
        <v>0.0303</v>
      </c>
      <c r="G2460" t="n">
        <v>0.0775</v>
      </c>
      <c r="H2460" t="inlineStr">
        <is>
          <t>This is a Java Android Studio project with the following features:
* It has a WebView component that displays a WordPress website using the Jetpack connection feature.
* The WebView client is implemented in the `JetpackConnectionWebViewClient` class, which listens for deeplinks from the web page and handles them appropriately.
* When a user clicks on</t>
        </is>
      </c>
      <c r="I2460" t="n">
        <v>0.004</v>
      </c>
      <c r="J2460" t="n">
        <v>0.1</v>
      </c>
      <c r="K2460" t="n">
        <v>0.1575</v>
      </c>
      <c r="L2460" t="inlineStr">
        <is>
          <t>The provided code is part of an Android application for WordPress. It defines an `Activity` class named `StatsActivity` that extends from `AppCompatActivity`. The activity's primary function appears to be to open the Jetpack login flow and return to the `StatsActivity` after successful authentication.
The `onCreate()` method initializes several variables and sets up the layout for the</t>
        </is>
      </c>
      <c r="M2460" t="n">
        <v>0.0033</v>
      </c>
      <c r="N2460" t="n">
        <v>0.0615</v>
      </c>
      <c r="O2460" t="n">
        <v>0.0781</v>
      </c>
    </row>
    <row r="2461">
      <c r="A2461" t="inlineStr">
        <is>
          <t>wordpress</t>
        </is>
      </c>
      <c r="B2461" t="inlineStr">
        <is>
          <t>WordPress/src/main/java/org/wordpress/android/ui/ActivityLauncherWrapper.kt</t>
        </is>
      </c>
      <c r="C2461">
        <f>HYPERLINK("https://github.com/wordpress-mobile/WordPress-Android/blob/master/WordPress/src/main/java/org/wordpress/android/ui/ActivityLauncherWrapper.kt")</f>
        <v/>
      </c>
      <c r="D2461" t="inlineStr">
        <is>
          <t>The `ActivityLauncherWrapper` class provides a convenient way to launch activities from within the application without having to use the static methods provided by the `ActivityLauncher` interface. It uses dependency injection to inject the necessary dependencies, such as the `Context`, `WPWebViewUsageCategory`, and `String`.
The `showActionableEmptyView()` method takes in these parameters and uses</t>
        </is>
      </c>
      <c r="E2461" t="n">
        <v>0.0036</v>
      </c>
      <c r="F2461" t="n">
        <v>0.0339</v>
      </c>
      <c r="G2461" t="n">
        <v>0.0813</v>
      </c>
      <c r="H2461" t="inlineStr">
        <is>
          <t>This code defines a class called `ActivityLauncherWrapper` that provides a wrapper around the `ActivityLauncher` interface. The main purpose of this wrapper is to make it easier to test and mock the `ActivityLauncher` interface.
The `showActionableEmptyView()` method takes in three parameters - `context`, `actionableState`, and `postTitle`. It then</t>
        </is>
      </c>
      <c r="I2461" t="n">
        <v>0.0046</v>
      </c>
      <c r="J2461" t="n">
        <v>0.0741</v>
      </c>
      <c r="K2461" t="n">
        <v>0.08400000000000001</v>
      </c>
      <c r="L2461" t="inlineStr">
        <is>
          <t>The provided code defines a Kotlin class called `ActivityLauncherWrapper` that provides a wrapper around the Android `ActivityLauncher` interface for ease of testing and mocking. The class has one method, `showActionableEmptyView`, which takes in a `Context`, an `WPWebViewUsageCategory`, and a `String` representing the title of a post. It then uses the</t>
        </is>
      </c>
      <c r="M2461" t="n">
        <v>0.0037</v>
      </c>
      <c r="N2461" t="n">
        <v>0.0345</v>
      </c>
      <c r="O2461" t="n">
        <v>0.082</v>
      </c>
    </row>
    <row r="2462">
      <c r="A2462" t="inlineStr">
        <is>
          <t>wordpress</t>
        </is>
      </c>
      <c r="B2462" t="inlineStr">
        <is>
          <t>WordPress/src/main/java/org/wordpress/android/ui/RequestCodes.java</t>
        </is>
      </c>
      <c r="C2462">
        <f>HYPERLINK("https://github.com/wordpress-mobile/WordPress-Android/blob/master/WordPress/src/main/java/org/wordpress/android/ui/RequestCodes.java")</f>
        <v/>
      </c>
      <c r="D2462" t="inlineStr">
        <is>
          <t>The provided code defines a set of global intent identifiers for use in Android applications. These constants are used to identify specific actions or requests that can be performed by the application, such as adding an account, reauthenticating, or editing a post. Each constant is defined with a unique integer value, which allows them to be easily distinguished from one another.</t>
        </is>
      </c>
      <c r="E2462" t="n">
        <v>0</v>
      </c>
      <c r="F2462" t="n">
        <v>0</v>
      </c>
      <c r="G2462" t="n">
        <v>0.0376</v>
      </c>
      <c r="H2462" t="inlineStr">
        <is>
          <t>The provided code defines a Java package called "org.wordpress.android.ui" that contains a single file named "RequestCodes". This file defines several constants for global intent identifiers used in the WordPress Android app. These constants include values such as 100 for adding an account, 200 for reauthenticating, and so on. The file also includes comments</t>
        </is>
      </c>
      <c r="I2462" t="n">
        <v>0.0041</v>
      </c>
      <c r="J2462" t="n">
        <v>0.0625</v>
      </c>
      <c r="K2462" t="n">
        <v>0.12</v>
      </c>
      <c r="L2462" t="inlineStr">
        <is>
          <t>The provided code defines request codes for various global intents used throughout the WordPress Android app. These codes are used to identify specific actions or tasks that need to be performed, such as adding an account, reauthenticating, or editing a post. Each constant is defined with a unique integer value, which can then be used by other parts of the application to trigger these actions.</t>
        </is>
      </c>
      <c r="M2462" t="n">
        <v>0</v>
      </c>
      <c r="N2462" t="n">
        <v>0</v>
      </c>
      <c r="O2462" t="n">
        <v>0.0365</v>
      </c>
    </row>
    <row r="2463">
      <c r="A2463" t="inlineStr">
        <is>
          <t>wordpress</t>
        </is>
      </c>
      <c r="B2463" t="inlineStr">
        <is>
          <t>WordPress/src/main/java/org/wordpress/android/ui/WebViewActivity.java</t>
        </is>
      </c>
      <c r="C2463">
        <f>HYPERLINK("https://github.com/wordpress-mobile/WordPress-Android/blob/master/WordPress/src/main/java/org/wordpress/android/ui/WebViewActivity.java")</f>
        <v/>
      </c>
      <c r="D2463" t="inlineStr">
        <is>
          <t>This is a Java Android app that displays a `WebView` in an Activity. The `WebView` is defined as a member variable called `webView`. The app also has a toolbar with a back button, which can be customized by overriding the `onOptionsItemSelected()` method. The app uses the `AndroidX` library for compatibility purposes.
The `onCreate()` method</t>
        </is>
      </c>
      <c r="E2463" t="n">
        <v>0.0034</v>
      </c>
      <c r="F2463" t="n">
        <v>0.0323</v>
      </c>
      <c r="G2463" t="n">
        <v>0.0794</v>
      </c>
      <c r="H2463" t="inlineStr">
        <is>
          <t>This is a Java Android project that includes a base class called `WebViewActivity` which provides a basic implementation for displaying a web view in an Android app. The class has several methods related to web views, such as `loadUrl()`, `setWebChromeClient()`, and `getTitle()`. It also defines a few constants, including `URL`, `WEBVIEW_ID`,</t>
        </is>
      </c>
      <c r="I2463" t="n">
        <v>0.0043</v>
      </c>
      <c r="J2463" t="n">
        <v>0.1</v>
      </c>
      <c r="K2463" t="n">
        <v>0.122</v>
      </c>
      <c r="L2463" t="inlineStr">
        <is>
          <t>The provided code is part of a Java Android application that displays a WebView. It is an abstract class that serves as a base for activities that require a WebView. The class has several responsibilities, including initializing the WebView, setting up the Action Bar, and handling back button presses. It also defines a primary web view field and provides methods for loading URLs into the web</t>
        </is>
      </c>
      <c r="M2463" t="n">
        <v>0.0028</v>
      </c>
      <c r="N2463" t="n">
        <v>0.027</v>
      </c>
      <c r="O2463" t="n">
        <v>0.0725</v>
      </c>
    </row>
    <row r="2464">
      <c r="A2464" t="inlineStr">
        <is>
          <t>wordpress</t>
        </is>
      </c>
      <c r="B2464" t="inlineStr">
        <is>
          <t>WordPress/src/main/java/org/wordpress/android/ui/WPLaunchActivity.kt</t>
        </is>
      </c>
      <c r="C2464">
        <f>HYPERLINK("https://github.com/wordpress-mobile/WordPress-Android/blob/master/WordPress/src/main/java/org/wordpress/android/ui/WPLaunchActivity.kt")</f>
        <v/>
      </c>
      <c r="D2464" t="inlineStr">
        <is>
          <t>The `WPLaunchActivity` class is the default activity launched when the app starts up. It has no user interface and its sole purpose is to launch the last used activity before the app was closed. If there are any missing splits, it displays a message indicating so.</t>
        </is>
      </c>
      <c r="E2464" t="n">
        <v>0.004</v>
      </c>
      <c r="F2464" t="n">
        <v>0.037</v>
      </c>
      <c r="G2464" t="n">
        <v>0.0847</v>
      </c>
      <c r="H2464" t="inlineStr">
        <is>
          <t>This is a Java Android application with a single class named `WPLaunchActivity`. The class extends `AppCompatActivity` and has one method named `onCreate`, which is called when the activity is created.
The `onCreate` method checks if there are any missing splits by calling the `isMissingSplits` method and displays a dialog box if there are any missing spl</t>
        </is>
      </c>
      <c r="I2464" t="n">
        <v>0.0039</v>
      </c>
      <c r="J2464" t="n">
        <v>0.0625</v>
      </c>
      <c r="K2464" t="n">
        <v>0.0781</v>
      </c>
      <c r="L2464" t="inlineStr">
        <is>
          <t>The provided code is part of a WordPress Android app, specifically the `WPLaunchActivity` class. It is responsible for handling the application's launch process and determining whether to display a dialog box or start the previous active activity.
The code first checks if there are any missing splits by calling the `isMissingSplits()` method. If there are, it</t>
        </is>
      </c>
      <c r="M2464" t="n">
        <v>0.0033</v>
      </c>
      <c r="N2464" t="n">
        <v>0.0308</v>
      </c>
      <c r="O2464" t="n">
        <v>0.0781</v>
      </c>
    </row>
    <row r="2465">
      <c r="A2465" t="inlineStr">
        <is>
          <t>wordpress</t>
        </is>
      </c>
      <c r="B2465" t="inlineStr">
        <is>
          <t>WordPress/src/main/java/org/wordpress/android/ui/Shortcut.java</t>
        </is>
      </c>
      <c r="C2465">
        <f>HYPERLINK("https://github.com/wordpress-mobile/WordPress-Android/blob/master/WordPress/src/main/java/org/wordpress/android/ui/Shortcut.java")</f>
        <v/>
      </c>
      <c r="D2465" t="inlineStr">
        <is>
          <t>The provided code defines an enumeration called `Shortcut` that represents different shortcut actions in the WordPress Android app. Each element in the enumeration has two fields: `mAction`, which is a string representing the name of the action, and `mId`, which is a unique identifier for each action.
The constructor initializes each element with its corresponding ID and action string.</t>
        </is>
      </c>
      <c r="E2465" t="n">
        <v>0.0031</v>
      </c>
      <c r="F2465" t="n">
        <v>0.0299</v>
      </c>
      <c r="G2465" t="n">
        <v>0.0382</v>
      </c>
      <c r="H2465" t="inlineStr">
        <is>
          <t>This is an Android app that uses Java to create shortcuts for different actions in the WordPress mobile app. The code defines an enumeration called Shortcut with three values: OPEN_STATS, CREATE_NEW_POST, and OPEN_NOTIFICATIONS. Each value has two parameters: a string ID and a string action. The constructor sets these parameters, and a method</t>
        </is>
      </c>
      <c r="I2465" t="n">
        <v>0.0041</v>
      </c>
      <c r="J2465" t="n">
        <v>0.0615</v>
      </c>
      <c r="K2465" t="n">
        <v>0.12</v>
      </c>
      <c r="L2465" t="inlineStr">
        <is>
          <t>The provided code defines an enumeration called `Shortcut` that represents different shortcuts available in the WordPress Android app. Each shortcut has two properties: `mAction`, which is a string representing the action associated with the shortcut, and `mId`, which is a unique identifier for each shortcut. The enumeration also includes a method called `fromActionString()` that takes a string as</t>
        </is>
      </c>
      <c r="M2465" t="n">
        <v>0.0031</v>
      </c>
      <c r="N2465" t="n">
        <v>0.0303</v>
      </c>
      <c r="O2465" t="n">
        <v>0.0385</v>
      </c>
    </row>
    <row r="2466">
      <c r="A2466" t="inlineStr">
        <is>
          <t>wordpress</t>
        </is>
      </c>
      <c r="B2466" t="inlineStr">
        <is>
          <t>WordPress/src/main/java/org/wordpress/android/ui/ActionableEmptyView.kt</t>
        </is>
      </c>
      <c r="C2466">
        <f>HYPERLINK("https://github.com/wordpress-mobile/WordPress-Android/blob/master/WordPress/src/main/java/org/wordpress/android/ui/ActionableEmptyView.kt")</f>
        <v/>
      </c>
      <c r="D2466" t="inlineStr">
        <is>
          <t>This is a custom view class called `ActionableEmptyView` that extends `LinearLayout`. It is designed to display a specific set of UI elements when certain conditions are met, such as when there is no data available or when a user has taken no action yet. The view consists of several child views, including an image, title, subtitle, button, and bottom image. These elements are</t>
        </is>
      </c>
      <c r="E2466" t="n">
        <v>0.0034</v>
      </c>
      <c r="F2466" t="n">
        <v>0.0563</v>
      </c>
      <c r="G2466" t="n">
        <v>0.0741</v>
      </c>
      <c r="H2466" t="inlineStr">
        <is>
          <t>The provided code defines a custom view called `ActionableEmptyView` that extends from `LinearLayout`. This view is designed to display content when a screen is in an "empty" state, meaning there is no data or information available to show.
The view has several key features:
* An optional image that shows a relevant illustration
* A required title that describes the cause</t>
        </is>
      </c>
      <c r="I2466" t="n">
        <v>0.003</v>
      </c>
      <c r="J2466" t="n">
        <v>0.0299</v>
      </c>
      <c r="K2466" t="n">
        <v>0.0376</v>
      </c>
      <c r="L2466" t="inlineStr">
        <is>
          <t>The provided code defines a custom view called `ActionableEmptyView` that displays a message indicating that the screen is in an "empty" state. The view consists of several elements, including an image, title, subtitle, button, and bottom image. The view is designed to provide a user-friendly interface for users who need to perform an action to move forward.
The</t>
        </is>
      </c>
      <c r="M2466" t="n">
        <v>0.0031</v>
      </c>
      <c r="N2466" t="n">
        <v>0.0299</v>
      </c>
      <c r="O2466" t="n">
        <v>0.0385</v>
      </c>
    </row>
    <row r="2467">
      <c r="A2467" t="inlineStr">
        <is>
          <t>wordpress</t>
        </is>
      </c>
      <c r="B2467" t="inlineStr">
        <is>
          <t>WordPress/src/main/java/org/wordpress/android/ui/CollapseFullScreenDialogFragment.java</t>
        </is>
      </c>
      <c r="C2467">
        <f>HYPERLINK("https://github.com/wordpress-mobile/WordPress-Android/blob/master/WordPress/src/main/java/org/wordpress/android/ui/CollapseFullScreenDialogFragment.java")</f>
        <v/>
      </c>
      <c r="D2467" t="inlineStr">
        <is>
          <t>This is a Java class that extends `ComponentDialog` from the AndroidX library to create a custom dialog with a specific layout and behavior. The class takes in several parameters upon initialization, including a title string resource ID, a content view, and a menu item array. It also has methods for setting the action bar title, adding buttons, and showing the dialog. The class uses various Android support</t>
        </is>
      </c>
      <c r="E2467" t="n">
        <v>0.0032</v>
      </c>
      <c r="F2467" t="n">
        <v>0.0533</v>
      </c>
      <c r="G2467" t="n">
        <v>0.1079</v>
      </c>
      <c r="H2467" t="inlineStr">
        <is>
          <t>This is a Java Android project that contains a set of classes for implementing various UI-related features in an app. The main class, `org.wordpress.android.ui.UiManager`, provides methods for creating and managing dialogs, action bars, and menus. It also includes utility functions for working with resources and views. Other classes in the package provide additional functionality related to</t>
        </is>
      </c>
      <c r="I2467" t="n">
        <v>0.0043</v>
      </c>
      <c r="J2467" t="n">
        <v>0.1159</v>
      </c>
      <c r="K2467" t="n">
        <v>0.1563</v>
      </c>
      <c r="L2467" t="inlineStr">
        <is>
          <t>The provided code is part of a Java Android application that creates a custom dialog box for displaying messages. It uses various Android libraries such as `android.app`, `android.content`, `android.graphics`, etc. The code defines a class named `CustomDialog` that extends `ComponentDialog`. It also implements several interfaces including `OnBackPressedCallback`.
The `CustomDialog`</t>
        </is>
      </c>
      <c r="M2467" t="n">
        <v>0.0037</v>
      </c>
      <c r="N2467" t="n">
        <v>0.0333</v>
      </c>
      <c r="O2467" t="n">
        <v>0.08260000000000001</v>
      </c>
    </row>
    <row r="2468">
      <c r="A2468" t="inlineStr">
        <is>
          <t>wordpress</t>
        </is>
      </c>
      <c r="B2468" t="inlineStr">
        <is>
          <t>WordPress/src/main/java/org/wordpress/android/ui/WPTextViewDrawableCallback.kt</t>
        </is>
      </c>
      <c r="C2468">
        <f>HYPERLINK("https://github.com/wordpress-mobile/WordPress-Android/blob/master/WordPress/src/main/java/org/wordpress/android/ui/WPTextViewDrawableCallback.kt")</f>
        <v/>
      </c>
      <c r="D2468" t="inlineStr">
        <is>
          <t>This is a Kotlin class that implements the `Drawable.Callback` interface for a custom `WPTextView` widget in Android. The purpose of this class is to provide callbacks when the drawable associated with the text view changes or needs to be redrawn.
The class has three methods that need to be implemented from the `Drawable.Callback` interface: `invalidateDrawable</t>
        </is>
      </c>
      <c r="E2468" t="n">
        <v>0.004</v>
      </c>
      <c r="F2468" t="n">
        <v>0.0615</v>
      </c>
      <c r="G2468" t="n">
        <v>0.07870000000000001</v>
      </c>
      <c r="H2468" t="inlineStr">
        <is>
          <t>This is a Java class that implements the Drawable.Callback interface to support animated GIF images in Android applications. It has a single constructor that takes a TextView as its argument and stores it in a WeakReference object. The class overrides three methods from the Callback interface: invalidateDrawable(), scheduleDrawable(), and unscheduleDrawable(). These methods are called by the Android framework when</t>
        </is>
      </c>
      <c r="I2468" t="n">
        <v>0.0041</v>
      </c>
      <c r="J2468" t="n">
        <v>0.0882</v>
      </c>
      <c r="K2468" t="n">
        <v>0.1145</v>
      </c>
      <c r="L2468" t="inlineStr">
        <is>
          <t>The provided code defines a custom implementation of the Android `Drawable.Callback` interface for use with animated GIF images. The class, `WPTextViewDrawableCallback`, is designed to work with `TextView` widgets and their associated `Drawable` objects. Whenever the `Drawable` object changes state, the callback method `invalidateDrawable()` is called, which triggers the parent `TextView`</t>
        </is>
      </c>
      <c r="M2468" t="n">
        <v>0.0037</v>
      </c>
      <c r="N2468" t="n">
        <v>0.0678</v>
      </c>
      <c r="O2468" t="n">
        <v>0.123</v>
      </c>
    </row>
    <row r="2469">
      <c r="A2469" t="inlineStr">
        <is>
          <t>wordpress</t>
        </is>
      </c>
      <c r="B2469" t="inlineStr">
        <is>
          <t>WordPress/src/main/java/org/wordpress/android/ui/JetpackConnectionWebViewClient.java</t>
        </is>
      </c>
      <c r="C2469">
        <f>HYPERLINK("https://github.com/wordpress-mobile/WordPress-Android/blob/master/WordPress/src/main/java/org/wordpress/android/ui/JetpackConnectionWebViewClient.java")</f>
        <v/>
      </c>
      <c r="D2469" t="inlineStr">
        <is>
          <t>This is a Java class that implements the `WebViewClient` interface for a WebView in Android. It has several methods that handle different types of requests made by the WebView, such as loading URLs, handling redirects, and displaying errors. The class also defines some constants used to determine whether a URL should be handled or ignored.
The main method of this class is `shouldOverrideUrl</t>
        </is>
      </c>
      <c r="E2469" t="n">
        <v>0.0038</v>
      </c>
      <c r="F2469" t="n">
        <v>0.08450000000000001</v>
      </c>
      <c r="G2469" t="n">
        <v>0.1481</v>
      </c>
      <c r="H2469" t="inlineStr">
        <is>
          <t>This is a Java class that implements a custom `WebViewClient` for Android apps. The class has several methods that handle different types of requests made by a WebView, such as loading URLs, handling redirects, and displaying errors. It also defines an interface called `JetpackConnectionWebViewClientListener`, which provides callbacks for certain events related to the connection process.
The class uses</t>
        </is>
      </c>
      <c r="I2469" t="n">
        <v>0.0041</v>
      </c>
      <c r="J2469" t="n">
        <v>0.09089999999999999</v>
      </c>
      <c r="K2469" t="n">
        <v>0.1538</v>
      </c>
      <c r="L2469" t="inlineStr">
        <is>
          <t>The provided code is part of an Android application that implements a custom `WebView` client for connecting to WordPress.com. The client handles various scenarios related to authentication and redirection, including requiring login to WordPress.com and successfully connecting to the Jetpack platform. The code uses annotations from the Android framework and utilizes classes from the `org.wordpress.android.util` package.</t>
        </is>
      </c>
      <c r="M2469" t="n">
        <v>0.0039</v>
      </c>
      <c r="N2469" t="n">
        <v>0.058</v>
      </c>
      <c r="O2469" t="n">
        <v>0.1172</v>
      </c>
    </row>
    <row r="2470">
      <c r="A2470" t="inlineStr">
        <is>
          <t>wordpress</t>
        </is>
      </c>
      <c r="B2470" t="inlineStr">
        <is>
          <t>WordPress/src/main/java/org/wordpress/android/ui/TextInputDialogFragment.java</t>
        </is>
      </c>
      <c r="C2470">
        <f>HYPERLINK("https://github.com/wordpress-mobile/WordPress-Android/blob/master/WordPress/src/main/java/org/wordpress/android/ui/TextInputDialogFragment.java")</f>
        <v/>
      </c>
      <c r="D2470" t="inlineStr">
        <is>
          <t>This is a Java implementation of a dialog fragment that allows users to input text with optional multiline support. The fragment has several configurable properties such as title, initial text, hint, and callback ID. When the user clicks on the positive button, the fragment will call back to the activity with the entered text or null if no text was entered.</t>
        </is>
      </c>
      <c r="E2470" t="n">
        <v>0.0036</v>
      </c>
      <c r="F2470" t="n">
        <v>0.08699999999999999</v>
      </c>
      <c r="G2470" t="n">
        <v>0.1128</v>
      </c>
      <c r="H2470" t="inlineStr">
        <is>
          <t>This is a Java Android project that implements a text input dialog fragment using the Material Design library. The fragment allows users to enter text in a multiline or single-line edit text field with a hint and a title. When the user presses the positive button on the dialog, the entered text is passed back to the parent activity through a callback interface.</t>
        </is>
      </c>
      <c r="I2470" t="n">
        <v>0.0038</v>
      </c>
      <c r="J2470" t="n">
        <v>0.0833</v>
      </c>
      <c r="K2470" t="n">
        <v>0.1481</v>
      </c>
      <c r="L2470" t="inlineStr">
        <is>
          <t>The provided code is a Java class that represents a dialog fragment for text input. It allows users to enter text and optionally multiline text, and provides a callback function when the user submits their input.
The class takes several parameters as arguments during initialization, including a title, initial text, hint, whether the input should be multiline, and a unique ID for the</t>
        </is>
      </c>
      <c r="M2470" t="n">
        <v>0.0029</v>
      </c>
      <c r="N2470" t="n">
        <v>0.0563</v>
      </c>
      <c r="O2470" t="n">
        <v>0.0741</v>
      </c>
    </row>
    <row r="2471">
      <c r="A2471" t="inlineStr">
        <is>
          <t>wordpress</t>
        </is>
      </c>
      <c r="B2471" t="inlineStr">
        <is>
          <t>WordPress/src/main/java/org/wordpress/android/ui/Organization.kt</t>
        </is>
      </c>
      <c r="C2471">
        <f>HYPERLINK("https://github.com/wordpress-mobile/WordPress-Android/blob/master/WordPress/src/main/java/org/wordpress/android/ui/Organization.kt")</f>
        <v/>
      </c>
      <c r="D2471" t="inlineStr">
        <is>
          <t>This is an enum class in Kotlin that represents different organizations with their corresponding IDs. The `fromOrgId` function takes an integer argument and returns the corresponding organization object based on its ID. The `map` variable is used to store the association between the organization objects and their IDs for fast lookups.</t>
        </is>
      </c>
      <c r="E2471" t="n">
        <v>0.0043</v>
      </c>
      <c r="F2471" t="n">
        <v>0.1017</v>
      </c>
      <c r="G2471" t="n">
        <v>0.122</v>
      </c>
      <c r="H2471" t="inlineStr">
        <is>
          <t>The provided code defines an enum class called `Organization` with four possible values: `UNKNOWN`, `NO_ORGANIZATION`, `A8C`, and `P2`. Each value is associated with an integer ID. The `fromOrgId()` method takes an integer as input and returns the corresponding organization value if it exists, or `UNKNO</t>
        </is>
      </c>
      <c r="I2471" t="n">
        <v>0.0041</v>
      </c>
      <c r="J2471" t="n">
        <v>0.037</v>
      </c>
      <c r="K2471" t="n">
        <v>0.0427</v>
      </c>
      <c r="L2471" t="inlineStr">
        <is>
          <t>The provided code defines an enum called "Organization" that represents different types of organizations. It has four possible values: UNKNOWN, NO_ORGANIZATION, A8C, and P2. Each value is associated with an integer ID, which can be used to retrieve the corresponding organization type using the "fromOrgId" method. Additionally, there is a</t>
        </is>
      </c>
      <c r="M2471" t="n">
        <v>0.0037</v>
      </c>
      <c r="N2471" t="n">
        <v>0.0339</v>
      </c>
      <c r="O2471" t="n">
        <v>0.082</v>
      </c>
    </row>
    <row r="2472">
      <c r="A2472" t="inlineStr">
        <is>
          <t>wordpress</t>
        </is>
      </c>
      <c r="B2472" t="inlineStr">
        <is>
          <t>WordPress/src/main/java/org/wordpress/android/ui/PagePostCreationSourcesDetail.kt</t>
        </is>
      </c>
      <c r="C2472">
        <f>HYPERLINK("https://github.com/wordpress-mobile/WordPress-Android/blob/master/WordPress/src/main/java/org/wordpress/android/ui/PagePostCreationSourcesDetail.kt")</f>
        <v/>
      </c>
      <c r="D2472" t="inlineStr">
        <is>
          <t>This is an enum class that defines various sources for creating new posts or pages within WordPress Android. The enum values include:
* `POST_FROM_SHORTCUT`: Created from an Android shortcut long press on the app icon.
* `POST_FROM_POSTS_LIST`: Created from the posts list FAB.
* `STORY_FROM</t>
        </is>
      </c>
      <c r="E2472" t="n">
        <v>0.0041</v>
      </c>
      <c r="F2472" t="n">
        <v>0.0357</v>
      </c>
      <c r="G2472" t="n">
        <v>0.0427</v>
      </c>
      <c r="H2472" t="inlineStr">
        <is>
          <t>This is an Android application that uses Kotlin programming language to create a WordPress mobile app for Android devices. The project consists of several modules, including the main module, which includes the UI components, and the data module, which handles all the data operations. The application also has a settings module, which allows users to customize their experience with the app. Additionally, there is a testing module</t>
        </is>
      </c>
      <c r="I2472" t="n">
        <v>0.0036</v>
      </c>
      <c r="J2472" t="n">
        <v>0.08</v>
      </c>
      <c r="K2472" t="n">
        <v>0.1439</v>
      </c>
      <c r="L2472" t="inlineStr">
        <is>
          <t>The provided code defines an enum called `PagePostCreationSourcesDetail` that represents different sources for creating a new page or post in WordPress Android UI. Each value in the enum has a corresponding label string that describes the source.</t>
        </is>
      </c>
      <c r="M2472" t="n">
        <v>0</v>
      </c>
      <c r="N2472" t="n">
        <v>0</v>
      </c>
      <c r="O2472" t="n">
        <v>0</v>
      </c>
    </row>
    <row r="2473">
      <c r="A2473" t="inlineStr">
        <is>
          <t>wordpress</t>
        </is>
      </c>
      <c r="B2473" t="inlineStr">
        <is>
          <t>WordPress/src/main/java/org/wordpress/android/ui/PrivateAtCookieRefreshProgressDialog.kt</t>
        </is>
      </c>
      <c r="C2473">
        <f>HYPERLINK("https://github.com/wordpress-mobile/WordPress-Android/blob/master/WordPress/src/main/java/org/wordpress/android/ui/PrivateAtCookieRefreshProgressDialog.kt")</f>
        <v/>
      </c>
      <c r="D2473" t="inlineStr">
        <is>
          <t>The provided code defines a `PrivateAtCookieRefreshProgressDialog` class that extends `DialogFragment`. It has several methods for displaying a progress dialog with a message indicating that media is being accessed. The `onCreateDialog()` method creates a new instance of `ProgressDialog`, sets its title to an empty string, and displays it. The `onCancel()` method overrides the default behavior of dismiss</t>
        </is>
      </c>
      <c r="E2473" t="n">
        <v>0.0033</v>
      </c>
      <c r="F2473" t="n">
        <v>0.0312</v>
      </c>
      <c r="G2473" t="n">
        <v>0.0391</v>
      </c>
      <c r="H2473" t="inlineStr">
        <is>
          <t>This code defines a custom `DialogFragment` class called `PrivateAtCookieRefreshProgressDialog`. The class extends Android's built-in `DialogFragment` class and overrides its `onCreateDialog()` method to create a progress dialog with a specific message. The dialog is shown when the fragment is created or resumed, and it can be dismissed by calling the `dismiss()` method</t>
        </is>
      </c>
      <c r="I2473" t="n">
        <v>0.0043</v>
      </c>
      <c r="J2473" t="n">
        <v>0.06560000000000001</v>
      </c>
      <c r="K2473" t="n">
        <v>0.0813</v>
      </c>
      <c r="L2473" t="inlineStr">
        <is>
          <t>The `PrivateAtCookieRefreshProgressDialog` class extends the Android `DialogFragment` class and provides a progress dialog for refreshing cookies. It overrides the `onCreateDialog()` method to create a new instance of `ProgressDialog`, which displays a message from the string resource `R.string.media_accessing_progress`. The dialog also has two buttons that can be customized</t>
        </is>
      </c>
      <c r="M2473" t="n">
        <v>0.0039</v>
      </c>
      <c r="N2473" t="n">
        <v>0.0339</v>
      </c>
      <c r="O2473" t="n">
        <v>0.042</v>
      </c>
    </row>
    <row r="2474">
      <c r="A2474" t="inlineStr">
        <is>
          <t>wordpress</t>
        </is>
      </c>
      <c r="B2474" t="inlineStr">
        <is>
          <t>WordPress/src/main/java/org/wordpress/android/ui/ActivityId.java</t>
        </is>
      </c>
      <c r="C2474">
        <f>HYPERLINK("https://github.com/wordpress-mobile/WordPress-Android/blob/master/WordPress/src/main/java/org/wordpress/android/ui/ActivityId.java")</f>
        <v/>
      </c>
      <c r="D2474" t="inlineStr">
        <is>
          <t>This is an enumeration class that defines a set of activity IDs for the WordPress Android app. Each ID corresponds to a specific screen or feature in the app, such as the reader, notifications, my site, etc. The `ActivityId` class also includes a `trackLastActivity()` method that tracks the last activity that was performed by the user.
The `toString()` method</t>
        </is>
      </c>
      <c r="E2474" t="n">
        <v>0.0031</v>
      </c>
      <c r="F2474" t="n">
        <v>0.0299</v>
      </c>
      <c r="G2474" t="n">
        <v>0.0382</v>
      </c>
      <c r="H2474" t="inlineStr">
        <is>
          <t>This is an Android Java project that contains several classes and methods for implementing various features in WordPress mobile apps. The main class, `ActivityId`, defines a set of enumerated values representing different types of activities or screens in the app. Each value has a corresponding string representation, which can be used for logging or debugging purposes. Additionally, there is a method called `trackLastActivity` that</t>
        </is>
      </c>
      <c r="I2474" t="n">
        <v>0.0034</v>
      </c>
      <c r="J2474" t="n">
        <v>0.0556</v>
      </c>
      <c r="K2474" t="n">
        <v>0.1471</v>
      </c>
      <c r="L2474" t="inlineStr">
        <is>
          <t>The code defines an enumeration called `ActivityId` that represents different activities within the WordPress Android app. Each activity is associated with a unique string value, which can be used for logging and debugging purposes. The `trackLastActivity()` method logs the last activity that was performed by the user.</t>
        </is>
      </c>
      <c r="M2474" t="n">
        <v>0.0039</v>
      </c>
      <c r="N2474" t="n">
        <v>0.0364</v>
      </c>
      <c r="O2474" t="n">
        <v>0.08400000000000001</v>
      </c>
    </row>
    <row r="2475">
      <c r="A2475" t="inlineStr">
        <is>
          <t>wordpress</t>
        </is>
      </c>
      <c r="B2475" t="inlineStr">
        <is>
          <t>WordPress/src/main/java/org/wordpress/android/ui/WPWebView.kt</t>
        </is>
      </c>
      <c r="C2475">
        <f>HYPERLINK("https://github.com/wordpress-mobile/WordPress-Android/blob/master/WordPress/src/main/java/org/wordpress/android/ui/WPWebView.kt")</f>
        <v/>
      </c>
      <c r="D2475" t="inlineStr">
        <is>
          <t>This code defines a custom `WPWebView` class that extends Android's built-in `WebView` class. The main purpose of this class is to provide additional functionality for web views in WordPress apps on Android devices.
The constructor takes three parameters: `context`, which represents the context of the app; `attrs`, which is an optional attribute set that can be used to</t>
        </is>
      </c>
      <c r="E2475" t="n">
        <v>0.0037</v>
      </c>
      <c r="F2475" t="n">
        <v>0.0588</v>
      </c>
      <c r="G2475" t="n">
        <v>0.0769</v>
      </c>
      <c r="H2475" t="inlineStr">
        <is>
          <t>The provided code defines a custom `WPWebView` class that extends Android's built-in `WebView` class. It adds two new properties to the existing class: `isFocusable` and `isFocusableInTouchMode`. These properties are set to `true` in the `init` block of the class. This means that instances of this class will be able to receive focus</t>
        </is>
      </c>
      <c r="I2475" t="n">
        <v>0.0042</v>
      </c>
      <c r="J2475" t="n">
        <v>0.0323</v>
      </c>
      <c r="K2475" t="n">
        <v>0.0806</v>
      </c>
      <c r="L2475" t="inlineStr">
        <is>
          <t>The provided code defines a custom `WPWebView` widget that extends Android's built-in `WebView` component. It adds two properties to the base class: `isFocusable` and `isFocusableInTouchMode`. These properties ensure that the view can receive focus and respond to touch events. The constructor also sets these properties to `true`, which allows the view to be focused</t>
        </is>
      </c>
      <c r="M2475" t="n">
        <v>0.0034</v>
      </c>
      <c r="N2475" t="n">
        <v>0.0312</v>
      </c>
      <c r="O2475" t="n">
        <v>0.0397</v>
      </c>
    </row>
    <row r="2476">
      <c r="A2476" t="inlineStr">
        <is>
          <t>wordpress</t>
        </is>
      </c>
      <c r="B2476" t="inlineStr">
        <is>
          <t>WordPress/src/main/java/org/wordpress/android/ui/WPWebChromeClientWithFileChooser.java</t>
        </is>
      </c>
      <c r="C2476">
        <f>HYPERLINK("https://github.com/wordpress-mobile/WordPress-Android/blob/master/WordPress/src/main/java/org/wordpress/android/ui/WPWebChromeClientWithFileChooser.java")</f>
        <v/>
      </c>
      <c r="D2476" t="inlineStr">
        <is>
          <t>This is a custom implementation of WebChromeClient that allows for file uploads in a webview. It has several methods that can be overridden to handle different events related to file uploads. The main method that handles file uploads is `onShowFileChooser`, which is called when the user clicks on a button or link that triggers a file upload dialog.
The method</t>
        </is>
      </c>
      <c r="E2476" t="n">
        <v>0.003</v>
      </c>
      <c r="F2476" t="n">
        <v>0.0588</v>
      </c>
      <c r="G2476" t="n">
        <v>0.07580000000000001</v>
      </c>
      <c r="H2476" t="inlineStr">
        <is>
          <t>This is a Java Android project that provides a custom implementation of WebChromeClient for selecting files from the device's storage when using a web browser. The project includes a single file called `WPWebChromeClientWithFileChooser.java`, which defines a subclass of WebChromeClient with additional functionality to handle file selection.
The main purpose of this project is to provide</t>
        </is>
      </c>
      <c r="I2476" t="n">
        <v>0.004</v>
      </c>
      <c r="J2476" t="n">
        <v>0.09229999999999999</v>
      </c>
      <c r="K2476" t="n">
        <v>0.1181</v>
      </c>
      <c r="L2476" t="inlineStr">
        <is>
          <t>The provided code is part of a custom implementation of WebChromeClient for Android, specifically designed to handle file uploads from within web views. It appears to be a subclass of WPWebChromeClient, which provides some additional features for handling media files.
The code defines a new class called WPWebChromeClientWithFileChooser that inherits from WPWeb</t>
        </is>
      </c>
      <c r="M2476" t="n">
        <v>0</v>
      </c>
      <c r="N2476" t="n">
        <v>0.0333</v>
      </c>
      <c r="O2476" t="n">
        <v>0.0806</v>
      </c>
    </row>
    <row r="2477">
      <c r="A2477" t="inlineStr">
        <is>
          <t>wordpress</t>
        </is>
      </c>
      <c r="B2477" t="inlineStr">
        <is>
          <t>WordPress/src/main/java/org/wordpress/android/ui/ShareIntentReceiverActivity.java</t>
        </is>
      </c>
      <c r="C2477">
        <f>HYPERLINK("https://github.com/wordpress-mobile/WordPress-Android/blob/master/WordPress/src/main/java/org/wordpress/android/ui/ShareIntentReceiverActivity.java")</f>
        <v/>
      </c>
      <c r="D2477" t="inlineStr">
        <is>
          <t>The provided code is a part of a WordPress Android app's source code. It appears to be related to handling sharing intents from other apps. Specifically, it defines a `ShareIntentReceiver` class that handles incoming share intents from other apps, extracts relevant information such as text and URLs, and then passes this information on to various parts of the app for further processing.</t>
        </is>
      </c>
      <c r="E2477" t="n">
        <v>0.0029</v>
      </c>
      <c r="F2477" t="n">
        <v>0.0282</v>
      </c>
      <c r="G2477" t="n">
        <v>0.1119</v>
      </c>
      <c r="H2477" t="inlineStr">
        <is>
          <t>This is a Java Android project that implements various backend software components for WordPress mobile apps. The main class, `org.wordpress.android.ui.WPMainActivity`, handles user interactions with the app's UI and delegates tasks to other classes in the package. It also uses a number of external dependencies, including the `android-support` library and the `org.wordpress.android</t>
        </is>
      </c>
      <c r="I2477" t="n">
        <v>0.0051</v>
      </c>
      <c r="J2477" t="n">
        <v>0.0896</v>
      </c>
      <c r="K2477" t="n">
        <v>0.2033</v>
      </c>
      <c r="L2477" t="inlineStr">
        <is>
          <t>The provided code is part of a WordPress Android app's UI module. It appears to be responsible for handling incoming share intents from other apps, which can contain links to media files (e.g., images, videos). When such an intent is received, the code checks if the link is valid and if the user has access to the corresponding media content. If so, the code</t>
        </is>
      </c>
      <c r="M2477" t="n">
        <v>0.0028</v>
      </c>
      <c r="N2477" t="n">
        <v>0.0541</v>
      </c>
      <c r="O2477" t="n">
        <v>0.0735</v>
      </c>
    </row>
    <row r="2478">
      <c r="A2478" t="inlineStr">
        <is>
          <t>wordpress</t>
        </is>
      </c>
      <c r="B2478" t="inlineStr">
        <is>
          <t>WordPress/src/main/java/org/wordpress/android/ui/AppLogViewerActivity.java</t>
        </is>
      </c>
      <c r="C2478">
        <f>HYPERLINK("https://github.com/wordpress-mobile/WordPress-Android/blob/master/WordPress/src/main/java/org/wordpress/android/ui/AppLogViewerActivity.java")</f>
        <v/>
      </c>
      <c r="D2478" t="inlineStr">
        <is>
          <t>This is a Java file containing the implementation of a custom adapter for a `ListView` widget in Android. The adapter takes a list of strings as input and displays them in a list view with a custom layout. It also includes some utility methods for handling text selection and copying to clipboard.</t>
        </is>
      </c>
      <c r="E2478" t="n">
        <v>0.0042</v>
      </c>
      <c r="F2478" t="n">
        <v>0.1</v>
      </c>
      <c r="G2478" t="n">
        <v>0.121</v>
      </c>
      <c r="H2478" t="inlineStr">
        <is>
          <t>This is a Java Android app that uses the WordPress API to fetch data from a WordPress website and display it in a list view. The app includes a toolbar with a menu button, which opens a menu when clicked. The menu has options for refreshing the data, copying a URL to the clipboard, and sharing a post on social media. When a user clicks on a post</t>
        </is>
      </c>
      <c r="I2478" t="n">
        <v>0.0032</v>
      </c>
      <c r="J2478" t="n">
        <v>0.0526</v>
      </c>
      <c r="K2478" t="n">
        <v>0.1071</v>
      </c>
      <c r="L2478" t="inlineStr">
        <is>
          <t>The provided code is a Java class that extends `BaseAppCompatActivity` and implements a custom adapter for displaying data in a list view. It also includes some utility methods for handling clipboard actions and logging errors.
The activity's main purpose is to display a list of items fetched from a remote server using an API client. Each item in the list is represented by a row</t>
        </is>
      </c>
      <c r="M2478" t="n">
        <v>0.0033</v>
      </c>
      <c r="N2478" t="n">
        <v>0.0541</v>
      </c>
      <c r="O2478" t="n">
        <v>0.1095</v>
      </c>
    </row>
    <row r="2479">
      <c r="A2479" t="inlineStr">
        <is>
          <t>wordpress</t>
        </is>
      </c>
      <c r="B2479" t="inlineStr">
        <is>
          <t>WordPress/src/main/java/org/wordpress/android/ui/PreviewModeSelectorPopup.kt</t>
        </is>
      </c>
      <c r="C2479">
        <f>HYPERLINK("https://github.com/wordpress-mobile/WordPress-Android/blob/master/WordPress/src/main/java/org/wordpress/android/ui/PreviewModeSelectorPopup.kt")</f>
        <v/>
      </c>
      <c r="D2479" t="inlineStr">
        <is>
          <t>The provided code defines a custom `PreviewModeSelectorPopup` class that extends the Android `ListPopupWindow` class. It is used to display a list of options in a modal pop-up window when the user clicks on a specific button.
The constructor takes two parameters: `context`, which represents the current application context, and `button`, which is the view that</t>
        </is>
      </c>
      <c r="E2479" t="n">
        <v>0.0033</v>
      </c>
      <c r="F2479" t="n">
        <v>0.0312</v>
      </c>
      <c r="G2479" t="n">
        <v>0.07870000000000001</v>
      </c>
      <c r="H2479" t="inlineStr">
        <is>
          <t>This code defines a custom `PreviewModeSelectorPopup` class that extends the Android `ListPopupWindow` component. The class takes in a `Context` object and a `button` view as parameters in its constructor. It sets various properties such as the popup's width, drop-down gravity, and offset from the anchor view. Additionally, it uses the `Elev</t>
        </is>
      </c>
      <c r="I2479" t="n">
        <v>0.0043</v>
      </c>
      <c r="J2479" t="n">
        <v>0.06560000000000001</v>
      </c>
      <c r="K2479" t="n">
        <v>0.122</v>
      </c>
      <c r="L2479" t="inlineStr">
        <is>
          <t>The provided code defines a custom `PreviewModeSelectorPopup` class that extends Android's `ListPopupWindow`. It is used to display a list of options for selecting a web page preview mode. The class takes a `Context` object as a parameter in its constructor, which is used to inflate the layout for the popup window. The `init` block sets various properties</t>
        </is>
      </c>
      <c r="M2479" t="n">
        <v>0</v>
      </c>
      <c r="N2479" t="n">
        <v>0</v>
      </c>
      <c r="O2479" t="n">
        <v>0.0388</v>
      </c>
    </row>
    <row r="2480">
      <c r="A2480" t="inlineStr">
        <is>
          <t>wordpress</t>
        </is>
      </c>
      <c r="B2480" t="inlineStr">
        <is>
          <t>WordPress/src/main/java/org/wordpress/android/ui/JetpackConnectionSource.kt</t>
        </is>
      </c>
      <c r="C2480">
        <f>HYPERLINK("https://github.com/wordpress-mobile/WordPress-Android/blob/master/WordPress/src/main/java/org/wordpress/android/ui/JetpackConnectionSource.kt")</f>
        <v/>
      </c>
      <c r="D2480" t="inlineStr">
        <is>
          <t>This is an enum class in Kotlin that defines two values: `NOTIFICATIONS` and `STATS`. The `toString()` method returns the string representation of each value, which is the same as its value. The `fromString()` method takes a string argument and returns one of the enum constants based on the input value. If the input value does not match any of the defined</t>
        </is>
      </c>
      <c r="E2480" t="n">
        <v>0.0036</v>
      </c>
      <c r="F2480" t="n">
        <v>0.058</v>
      </c>
      <c r="G2480" t="n">
        <v>0.0752</v>
      </c>
      <c r="H2480" t="inlineStr">
        <is>
          <t>This is an enum class in Java named `JetpackConnectionSource` that defines two possible values for a connection source: "notifications" and "stats". The enum has a private constructor that takes a string argument, and each instance has a corresponding public static method called `fromString()` that returns an instance based on the input string. If no matching instance can be found, it returns</t>
        </is>
      </c>
      <c r="I2480" t="n">
        <v>0.0036</v>
      </c>
      <c r="J2480" t="n">
        <v>0.058</v>
      </c>
      <c r="K2480" t="n">
        <v>0.0752</v>
      </c>
      <c r="L2480" t="inlineStr">
        <is>
          <t>The provided code defines an enum class called `JetpackConnectionSource` that represents two possible sources for connecting to WordPress using the Android SDK. The enum has two values: `NOTIFICATIONS` and `STATS`. Each value is associated with a string representation, which can be used to determine the appropriate source for connection. Additionally, there is a static method named `fromString</t>
        </is>
      </c>
      <c r="M2480" t="n">
        <v>0.0032</v>
      </c>
      <c r="N2480" t="n">
        <v>0.0308</v>
      </c>
      <c r="O2480" t="n">
        <v>0.0775</v>
      </c>
    </row>
    <row r="2481">
      <c r="A2481" t="inlineStr">
        <is>
          <t>wordpress</t>
        </is>
      </c>
      <c r="B2481" t="inlineStr">
        <is>
          <t>WordPress/src/main/java/org/wordpress/android/ui/CommentFullScreenDialogViewModel.kt</t>
        </is>
      </c>
      <c r="C2481">
        <f>HYPERLINK("https://github.com/wordpress-mobile/WordPress-Android/blob/master/WordPress/src/main/java/org/wordpress/android/ui/CommentFullScreenDialogViewModel.kt")</f>
        <v/>
      </c>
      <c r="D2481" t="inlineStr">
        <is>
          <t>The provided code is a Kotlin class named `CommentFullScreenDialogViewModel` that extends the Android `ViewModel` base class. It has one method called `init()` which posts an event to the `_onKeyboardOpened` property when it's called. The `_onKeyboardOpened` property is a `MutableLiveData` object that holds an `Event` object with</t>
        </is>
      </c>
      <c r="E2481" t="n">
        <v>0</v>
      </c>
      <c r="F2481" t="n">
        <v>0</v>
      </c>
      <c r="G2481" t="n">
        <v>0</v>
      </c>
      <c r="H2481" t="inlineStr">
        <is>
          <t>This is a Java class that defines a ViewModel for a full-screen comment dialog in WordPress Android app. The view model has one method called `init()` which posts an event to indicate that the keyboard was opened. It also has a private field `_onKeyboardOpened` which is a `MutableLiveData` object that holds an `Event` object with a unit value.</t>
        </is>
      </c>
      <c r="I2481" t="n">
        <v>0.0031</v>
      </c>
      <c r="J2481" t="n">
        <v>0.0299</v>
      </c>
      <c r="K2481" t="n">
        <v>0.0385</v>
      </c>
      <c r="L2481" t="inlineStr">
        <is>
          <t>The provided code defines a `CommentFullScreenDialogViewModel` class that extends Android's `ViewModel`. It has one method named `init()` which posts an event to indicate when the keyboard is opened. Additionally, there are two fields declared as `LiveData`, `_onKeyboardOpened` and `onKeyboardOpened`, which hold data related to the keyboard state. Overall</t>
        </is>
      </c>
      <c r="M2481" t="n">
        <v>0.0038</v>
      </c>
      <c r="N2481" t="n">
        <v>0.0351</v>
      </c>
      <c r="O2481" t="n">
        <v>0.0417</v>
      </c>
    </row>
    <row r="2482">
      <c r="A2482" t="inlineStr">
        <is>
          <t>wordpress</t>
        </is>
      </c>
      <c r="B2482" t="inlineStr">
        <is>
          <t>WordPress/src/main/java/org/wordpress/android/ui/ViewPagerFragment.kt</t>
        </is>
      </c>
      <c r="C2482">
        <f>HYPERLINK("https://github.com/wordpress-mobile/WordPress-Android/blob/master/WordPress/src/main/java/org/wordpress/android/ui/ViewPagerFragment.kt")</f>
        <v/>
      </c>
      <c r="D2482" t="inlineStr">
        <is>
          <t>The provided code defines a `ViewPagerFragment` class that is a subclass of Android's `Fragment`. It provides two constructors for initializing the fragment with either a layout resource ID or without one. Additionally, it has a static method called `restoreOriginalViewId()` which takes in a `View` instance and restores its original ID if it was previously modified by calling `</t>
        </is>
      </c>
      <c r="E2482" t="n">
        <v>0.0031</v>
      </c>
      <c r="F2482" t="n">
        <v>0.0303</v>
      </c>
      <c r="G2482" t="n">
        <v>0.0385</v>
      </c>
      <c r="H2482" t="inlineStr">
        <is>
          <t>This is a Kotlin Android library that provides a custom implementation of a ViewPager fragment with unique IDs for each child view. The library includes two constructors, one that takes no arguments and another that takes an optional layout ID argument. It also includes two static methods, `restoreOriginalViewId` and `setUniqueIdToView`, which can be used to manipulate the IDs of</t>
        </is>
      </c>
      <c r="I2482" t="n">
        <v>0.0037</v>
      </c>
      <c r="J2482" t="n">
        <v>0.0896</v>
      </c>
      <c r="K2482" t="n">
        <v>0.1527</v>
      </c>
      <c r="L2482" t="inlineStr">
        <is>
          <t>The code defines an abstract `ViewPagerFragment` class that extends Android's `Fragment` class. It provides a way to create fragments with unique IDs for each instance, which can be used to identify them later. The fragment also has a static method called `restoreOriginalViewId()` that restores the original ID of a view that was previously given a unique ID using the `set</t>
        </is>
      </c>
      <c r="M2482" t="n">
        <v>0</v>
      </c>
      <c r="N2482" t="n">
        <v>0</v>
      </c>
      <c r="O2482" t="n">
        <v>0.0379</v>
      </c>
    </row>
    <row r="2483">
      <c r="A2483" t="inlineStr">
        <is>
          <t>wordpress</t>
        </is>
      </c>
      <c r="B2483" t="inlineStr">
        <is>
          <t>WordPress/src/main/java/org/wordpress/android/ui/CommentFullScreenDialogFragment.kt</t>
        </is>
      </c>
      <c r="C2483">
        <f>HYPERLINK("https://github.com/wordpress-mobile/WordPress-Android/blob/master/WordPress/src/main/java/org/wordpress/android/ui/CommentFullScreenDialogFragment.kt")</f>
        <v/>
      </c>
      <c r="D2483" t="inlineStr">
        <is>
          <t>This is a Kotlin Android project that uses Hilt for dependency injection and Coroutines for asynchronous programming. The main class, `CollapseFullScreenDialogFragment`, extends the `Fragment` class and has several dependencies injected through constructor arguments. It also defines two inner classes, `CollapseFullScreenDialogContent` and `CollapseFullScreenDialogController`.
The `Col</t>
        </is>
      </c>
      <c r="E2483" t="n">
        <v>0.005</v>
      </c>
      <c r="F2483" t="n">
        <v>0.0769</v>
      </c>
      <c r="G2483" t="n">
        <v>0.1293</v>
      </c>
      <c r="H2483" t="inlineStr">
        <is>
          <t>This is a Kotlin Android project that implements a full-screen dialog fragment for WordPress mobile app. The fragment displays a collapsible list of suggestions based on user input, with the ability to expand or collapse the list by tapping on it. It also includes a search bar at the top that allows users to filter the suggestions based on their query. The fragment uses Dagger Hilt</t>
        </is>
      </c>
      <c r="I2483" t="n">
        <v>0.0033</v>
      </c>
      <c r="J2483" t="n">
        <v>0.0533</v>
      </c>
      <c r="K2483" t="n">
        <v>0.1087</v>
      </c>
      <c r="L2483" t="inlineStr">
        <is>
          <t>The provided code is part of an Android application that implements a fragment for displaying fullscreen content. It appears to be responsible for handling user input, such as text entry and button clicks, and updating the UI accordingly. The code also includes some comments related to implementation details and existing features.</t>
        </is>
      </c>
      <c r="M2483" t="n">
        <v>0.0043</v>
      </c>
      <c r="N2483" t="n">
        <v>0.0678</v>
      </c>
      <c r="O2483" t="n">
        <v>0.122</v>
      </c>
    </row>
    <row r="2484">
      <c r="A2484" t="inlineStr">
        <is>
          <t>wordpress</t>
        </is>
      </c>
      <c r="B2484" t="inlineStr">
        <is>
          <t>WordPress/src/main/java/org/wordpress/android/ui/WPWebViewUsageCategory.kt</t>
        </is>
      </c>
      <c r="C2484">
        <f>HYPERLINK("https://github.com/wordpress-mobile/WordPress-Android/blob/master/WordPress/src/main/java/org/wordpress/android/ui/WPWebViewUsageCategory.kt")</f>
        <v/>
      </c>
      <c r="D2484" t="inlineStr">
        <is>
          <t>The provided code defines an enumeration called `WPWebViewUsageCategory` that represents the different ways in which the `WPWebViewActivity` can be used. Each category has its own set of properties and behaviors defined by the `menuUiState` field, which is an instance of the `WPWebViewMenuUiState` class.
The available categories are:
*</t>
        </is>
      </c>
      <c r="E2484" t="n">
        <v>0.0038</v>
      </c>
      <c r="F2484" t="n">
        <v>0.0364</v>
      </c>
      <c r="G2484" t="n">
        <v>0.0417</v>
      </c>
      <c r="H2484" t="inlineStr">
        <is>
          <t>The provided code defines an enumeration called `WPWebViewUsageCategory` within the package `org.wordpress.android.ui`. It has three possible values: `WEBVIEW_STANDARD`, `REMOTE_PREVIEW_NOT_AVAILABLE`, and `REMOTE_PREVIEW_NO_NETWORK`. Each</t>
        </is>
      </c>
      <c r="I2484" t="n">
        <v>0.008699999999999999</v>
      </c>
      <c r="J2484" t="n">
        <v>0.05</v>
      </c>
      <c r="K2484" t="n">
        <v>0.0532</v>
      </c>
      <c r="L2484" t="inlineStr">
        <is>
          <t>The provided code defines an enumeration called `WPWebViewUsageCategory` that represents the various ways in which the `WPWebViewActivity` can be used. Each category has a unique integer value and a corresponding `menuUiState`, which determines whether certain menu options should be visible based on the current state of the web preview. The categories include:
* `WEBVIE</t>
        </is>
      </c>
      <c r="M2484" t="n">
        <v>0.0034</v>
      </c>
      <c r="N2484" t="n">
        <v>0.0328</v>
      </c>
      <c r="O2484" t="n">
        <v>0.0397</v>
      </c>
    </row>
    <row r="2485">
      <c r="A2485" t="inlineStr">
        <is>
          <t>wordpress</t>
        </is>
      </c>
      <c r="B2485" t="inlineStr">
        <is>
          <t>WordPress/src/main/java/org/wordpress/android/ui/JetpackConnectionUtils.java</t>
        </is>
      </c>
      <c r="C2485">
        <f>HYPERLINK("https://github.com/wordpress-mobile/WordPress-Android/blob/master/WordPress/src/main/java/org/wordpress/android/ui/JetpackConnectionUtils.java")</f>
        <v/>
      </c>
      <c r="D2485" t="inlineStr">
        <is>
          <t>The `JetpackConnectionUtils` class provides utility methods for tracking statistics related to Jetpack connections. It has two main methods:
* `trackWithSource`: This method takes in a `Stat` object and a `JetpackConnectionSource` enum value, adds the source as a parameter to the tracked stat, and tracks it using the `AnalyticsTracker`.</t>
        </is>
      </c>
      <c r="E2485" t="n">
        <v>0.0045</v>
      </c>
      <c r="F2485" t="n">
        <v>0.0727</v>
      </c>
      <c r="G2485" t="n">
        <v>0.125</v>
      </c>
      <c r="H2485" t="inlineStr">
        <is>
          <t>This is a Java package that provides utilities for working with Jetpack connections in Android applications. The package consists of one class, `JetpackConnectionUtils`, which has three static methods:
* `trackWithSource`: takes a `Stat` object and a `JetpackConnectionSource` object as parameters, adds a "source" parameter to the tracked `Stat`</t>
        </is>
      </c>
      <c r="I2485" t="n">
        <v>0.0045</v>
      </c>
      <c r="J2485" t="n">
        <v>0.0727</v>
      </c>
      <c r="K2485" t="n">
        <v>0.125</v>
      </c>
      <c r="L2485" t="inlineStr">
        <is>
          <t>The `JetpackConnectionUtils` class provides utility methods for tracking statistics related to Jetpack connections. It has two methods: `trackWithSource()` and `trackFailureWithSource()`. These methods add parameters to the tracked statistics based on the source of the connection and the reason for the failure (if applicable).</t>
        </is>
      </c>
      <c r="M2485" t="n">
        <v>0.0043</v>
      </c>
      <c r="N2485" t="n">
        <v>0.0392</v>
      </c>
      <c r="O2485" t="n">
        <v>0.0435</v>
      </c>
    </row>
    <row r="2486">
      <c r="A2486" t="inlineStr">
        <is>
          <t>wordpress</t>
        </is>
      </c>
      <c r="B2486" t="inlineStr">
        <is>
          <t>WordPress/src/main/java/org/wordpress/android/ui/WPBottomSheetDialogFragment.java</t>
        </is>
      </c>
      <c r="C2486">
        <f>HYPERLINK("https://github.com/wordpress-mobile/WordPress-Android/blob/master/WordPress/src/main/java/org/wordpress/android/ui/WPBottomSheetDialogFragment.java")</f>
        <v/>
      </c>
      <c r="D2486" t="inlineStr">
        <is>
          <t>This is a Java file that defines a custom `WPBottomSheetDialogFragment` class, which inherits from Android's `BottomSheetDialogFragment`. The class overrides the `onCreateDialog()` method to create a new instance of `BottomSheetDialog`, passing in the current context and theme as arguments. It also implements the `onResume()` method, where it checks whether the dialog</t>
        </is>
      </c>
      <c r="E2486" t="n">
        <v>0.0048</v>
      </c>
      <c r="F2486" t="n">
        <v>0.0678</v>
      </c>
      <c r="G2486" t="n">
        <v>0.123</v>
      </c>
      <c r="H2486" t="inlineStr">
        <is>
          <t>This is a Java Android project that provides a custom implementation of a bottom sheet dialog fragment using the Google Material Design library. The `WPBottomSheetDialogFragment` class inherits from `BottomSheetDialogFragment`, which is a subclass of `DialogFragment`. It overrides the `onCreateDialog()` method to create a new instance of `BottomSheetDialog` with the current theme. Additionally, it</t>
        </is>
      </c>
      <c r="I2486" t="n">
        <v>0.0035</v>
      </c>
      <c r="J2486" t="n">
        <v>0.06560000000000001</v>
      </c>
      <c r="K2486" t="n">
        <v>0.12</v>
      </c>
      <c r="L2486" t="inlineStr">
        <is>
          <t>The `WPBottomSheetDialogFragment` is a custom implementation of the Android `BottomSheetDialogFragment`. It provides a way for users to display a bottom sheet that can be used to show additional content. The fragment's `onCreateDialog()` method creates a new instance of the `BottomSheetDialog`, which is then returned as the dialog for the fragment. Additionally, the fragment overrides the</t>
        </is>
      </c>
      <c r="M2486" t="n">
        <v>0</v>
      </c>
      <c r="N2486" t="n">
        <v>0.0312</v>
      </c>
      <c r="O2486" t="n">
        <v>0.07870000000000001</v>
      </c>
    </row>
    <row r="2487">
      <c r="A2487" t="inlineStr">
        <is>
          <t>wordpress</t>
        </is>
      </c>
      <c r="B2487" t="inlineStr">
        <is>
          <t>WordPress/src/main/java/org/wordpress/android/ui/ShortcutsNavigator.java</t>
        </is>
      </c>
      <c r="C2487">
        <f>HYPERLINK("https://github.com/wordpress-mobile/WordPress-Android/blob/master/WordPress/src/main/java/org/wordpress/android/ui/ShortcutsNavigator.java")</f>
        <v/>
      </c>
      <c r="D2487" t="inlineStr">
        <is>
          <t>This is a Java file that defines a `ShortcutsNavigator` class with a single method called `showTargetScreen`. The method takes in three parameters:
* `action`: a string representing the type of action to be performed
* `activity`: an instance of the `Activity` class
* `currentSite`: an instance of the `SiteModel` class</t>
        </is>
      </c>
      <c r="E2487" t="n">
        <v>0.0037</v>
      </c>
      <c r="F2487" t="n">
        <v>0.0364</v>
      </c>
      <c r="G2487" t="n">
        <v>0.041</v>
      </c>
      <c r="H2487" t="inlineStr">
        <is>
          <t>This code defines a `ShortcutsNavigator` class that provides methods for navigating to different screens based on user actions. The class takes in an `activity` object and a `currentSite` object as parameters, which it uses to determine what screen to navigate to. It also has an injected `mJetpackFeatureRemovalPhaseHelper` field, which it uses</t>
        </is>
      </c>
      <c r="I2487" t="n">
        <v>0.0043</v>
      </c>
      <c r="J2487" t="n">
        <v>0.0678</v>
      </c>
      <c r="K2487" t="n">
        <v>0.122</v>
      </c>
      <c r="L2487" t="inlineStr">
        <is>
          <t>The provided code is part of an Android application that handles navigation between screens based on user actions. It uses the Flux architecture and has dependencies on various other classes and modules.
The `showTargetScreen()` method takes three parameters: `action`, which represents the type of action being performed by the user; `activity`, which is the current activity instance; and `currentSite`, which</t>
        </is>
      </c>
      <c r="M2487" t="n">
        <v>0.003</v>
      </c>
      <c r="N2487" t="n">
        <v>0.0588</v>
      </c>
      <c r="O2487" t="n">
        <v>0.07580000000000001</v>
      </c>
    </row>
    <row r="2488">
      <c r="A2488" t="inlineStr">
        <is>
          <t>wordpress</t>
        </is>
      </c>
      <c r="B2488" t="inlineStr">
        <is>
          <t>WordPress/src/main/java/org/wordpress/android/ui/FullscreenBottomSheetDialogFragment.kt</t>
        </is>
      </c>
      <c r="C2488">
        <f>HYPERLINK("https://github.com/wordpress-mobile/WordPress-Android/blob/master/WordPress/src/main/java/org/wordpress/android/ui/FullscreenBottomSheetDialogFragment.kt")</f>
        <v/>
      </c>
      <c r="D2488" t="inlineStr">
        <is>
          <t>This is a Kotlin file that defines a custom `FullscreenBottomSheetDialogFragment` class that extends the Android Material Design library's `BottomSheetDialogFragment`. The purpose of this fragment is to provide a full-screen bottom sheet dialog with draggable capabilities.
The class has two abstract methods: `closeModal()` and `onCreateDialog()`. The former method is called when the</t>
        </is>
      </c>
      <c r="E2488" t="n">
        <v>0.0043</v>
      </c>
      <c r="F2488" t="n">
        <v>0.06560000000000001</v>
      </c>
      <c r="G2488" t="n">
        <v>0.0813</v>
      </c>
      <c r="H2488" t="inlineStr">
        <is>
          <t>This is a Kotlin file that defines a custom `FullscreenBottomSheetDialogFragment` class that extends Android's `BottomSheetDialogFragment`. The class adds some additional features to the default dialog fragment such as filling the screen with the content and making it draggable. It also provides an abstract method called `closeModal()` which can be overridden by subclasses to handle closing events.</t>
        </is>
      </c>
      <c r="I2488" t="n">
        <v>0.0039</v>
      </c>
      <c r="J2488" t="n">
        <v>0.0615</v>
      </c>
      <c r="K2488" t="n">
        <v>0.0781</v>
      </c>
      <c r="L2488" t="inlineStr">
        <is>
          <t>The provided code is a custom implementation of a [BottomSheetDialogFragment](https://developer.android.com/reference/kotlin/com/google/android/material/bottomsheet/BottomSheetDialogFragment) that allows for fullscreen display. It extends the default `BottomSheetDialogFragment` class and provides additional functionality through the use of `fillScreen()` method which sets the dialog'</t>
        </is>
      </c>
      <c r="M2488" t="n">
        <v>0.0063</v>
      </c>
      <c r="N2488" t="n">
        <v>0.0727</v>
      </c>
      <c r="O2488" t="n">
        <v>0.1402</v>
      </c>
    </row>
    <row r="2489">
      <c r="A2489" t="inlineStr">
        <is>
          <t>wordpress</t>
        </is>
      </c>
      <c r="B2489" t="inlineStr">
        <is>
          <t>WordPress/src/main/java/org/wordpress/android/ui/PreviewModeMenuAdapter.kt</t>
        </is>
      </c>
      <c r="C2489">
        <f>HYPERLINK("https://github.com/wordpress-mobile/WordPress-Android/blob/master/WordPress/src/main/java/org/wordpress/android/ui/PreviewModeMenuAdapter.kt")</f>
        <v/>
      </c>
      <c r="D2489" t="inlineStr">
        <is>
          <t>This is an Android app that displays a list of items in a recycler view. The app uses a custom adapter to populate the list with data from an API. The adapter has three different layouts for each item based on its type (mobile, tablet, or desktop). When a user selects an item, the app navigates to a new activity displaying detailed information about the selected item.</t>
        </is>
      </c>
      <c r="E2489" t="n">
        <v>0.0027</v>
      </c>
      <c r="F2489" t="n">
        <v>0.0267</v>
      </c>
      <c r="G2489" t="n">
        <v>0.07190000000000001</v>
      </c>
      <c r="H2489" t="inlineStr">
        <is>
          <t>This is an Android app that implements a custom `ListView` with three items for selecting between different preview modes (mobile, tablet, desktop). The `getCount()` method returns the number of items in the list, which is set to 3. Each item has a corresponding `PreviewMode` object associated with it, which can be accessed through the `getItem()` method. The</t>
        </is>
      </c>
      <c r="I2489" t="n">
        <v>0.0038</v>
      </c>
      <c r="J2489" t="n">
        <v>0.0615</v>
      </c>
      <c r="K2489" t="n">
        <v>0.0775</v>
      </c>
      <c r="L2489" t="inlineStr">
        <is>
          <t>The code defines a custom `BaseAdapter` class for a preview/thumbnail mode popup menu. It takes a `Context` object as input and sets up a list of three items (mobile, tablet, desktop) that can be used to select a preview mode. Each item is represented by an `ImageView` and a corresponding `TextView`. The selected preview mode is stored in the `</t>
        </is>
      </c>
      <c r="M2489" t="n">
        <v>0.003</v>
      </c>
      <c r="N2489" t="n">
        <v>0.0294</v>
      </c>
      <c r="O2489" t="n">
        <v>0.07580000000000001</v>
      </c>
    </row>
    <row r="2490">
      <c r="A2490" t="inlineStr">
        <is>
          <t>wordpress</t>
        </is>
      </c>
      <c r="B2490" t="inlineStr">
        <is>
          <t>WordPress/src/main/java/org/wordpress/android/ui/ListDiffCallback.kt</t>
        </is>
      </c>
      <c r="C2490">
        <f>HYPERLINK("https://github.com/wordpress-mobile/WordPress-Android/blob/master/WordPress/src/main/java/org/wordpress/android/ui/ListDiffCallback.kt")</f>
        <v/>
      </c>
      <c r="D2490" t="inlineStr">
        <is>
          <t>The provided code is a Kotlin implementation of a `ListDiffCallback` class that extends Android's `DiffUtil.Callback()` interface. It takes in four parameters:
* `oldList`: A list of items to be compared with the new list.
* `newList`: A list of items to compare against the old list.
* `areItemsTheSame</t>
        </is>
      </c>
      <c r="E2490" t="n">
        <v>0</v>
      </c>
      <c r="F2490" t="n">
        <v>0.0364</v>
      </c>
      <c r="G2490" t="n">
        <v>0.0417</v>
      </c>
      <c r="H2490" t="inlineStr">
        <is>
          <t>This is a Kotlin class that implements the `DiffUtil` interface from the AndroidX RecyclerView library to compare two lists and determine their differences. The class takes four parameters:
* `oldList`: The first list to be compared.
* `newList`: The second list to be compared.
* `areItemsTheSame`: A function that determines whether two</t>
        </is>
      </c>
      <c r="I2490" t="n">
        <v>0.0046</v>
      </c>
      <c r="J2490" t="n">
        <v>0.1053</v>
      </c>
      <c r="K2490" t="n">
        <v>0.1613</v>
      </c>
      <c r="L2490" t="inlineStr">
        <is>
          <t>The `ListDiffCallback` class is used as a callback for the Android RecyclerView's DiffUtil library. It takes two lists of items, an old list and a new list, and compares them to determine which items have been added, removed, or updated between the two lists. The class provides two functions that must be implemented by subclasses: `areItemsTheSame</t>
        </is>
      </c>
      <c r="M2490" t="n">
        <v>0.0033</v>
      </c>
      <c r="N2490" t="n">
        <v>0.0308</v>
      </c>
      <c r="O2490" t="n">
        <v>0.1172</v>
      </c>
    </row>
    <row r="2491">
      <c r="A2491" t="inlineStr">
        <is>
          <t>wordpress</t>
        </is>
      </c>
      <c r="B2491" t="inlineStr">
        <is>
          <t>WordPress/src/main/java/org/wordpress/android/ui/ScrollableViewInitializedListener.kt</t>
        </is>
      </c>
      <c r="C2491">
        <f>HYPERLINK("https://github.com/wordpress-mobile/WordPress-Android/blob/master/WordPress/src/main/java/org/wordpress/android/ui/ScrollableViewInitializedListener.kt")</f>
        <v/>
      </c>
      <c r="D2491" t="inlineStr">
        <is>
          <t>The provided code defines an interface called `ScrollableViewInitializedListener` with a single method named `onScrollableViewInitialized`. This method takes an integer parameter named `containerId` and does not return anything.
The purpose of this interface is to notify any class that implements it when a scrollable view has been initialized. The implementation of this interface can be used to perform</t>
        </is>
      </c>
      <c r="E2491" t="n">
        <v>0.0042</v>
      </c>
      <c r="F2491" t="n">
        <v>0.0615</v>
      </c>
      <c r="G2491" t="n">
        <v>0.155</v>
      </c>
      <c r="H2491" t="inlineStr">
        <is>
          <t>This is a Java interface named "ScrollableViewInitializedListener" that defines a single method called "onScrollableViewInitialized". The method takes one integer parameter named "containerId" and does not have any return value. The interface is part of a larger project or application that involves scrolling views in Android.</t>
        </is>
      </c>
      <c r="I2491" t="n">
        <v>0.0049</v>
      </c>
      <c r="J2491" t="n">
        <v>0.0755</v>
      </c>
      <c r="K2491" t="n">
        <v>0.1282</v>
      </c>
      <c r="L2491" t="inlineStr">
        <is>
          <t>The provided code defines an interface called `ScrollableViewInitializedListener` that has one method named `onScrollableViewInitialized`. The method takes an integer parameter `containerId`, which is used to identify the container element where the scrollable view will be initialized. The purpose of this interface is to provide a callback mechanism for when the scrollable view is fully initialized, allowing other parts</t>
        </is>
      </c>
      <c r="M2491" t="n">
        <v>0</v>
      </c>
      <c r="N2491" t="n">
        <v>0.0303</v>
      </c>
      <c r="O2491" t="n">
        <v>0.0769</v>
      </c>
    </row>
    <row r="2492">
      <c r="A2492" t="inlineStr">
        <is>
          <t>wordpress</t>
        </is>
      </c>
      <c r="B2492" t="inlineStr">
        <is>
          <t>WordPress/src/main/java/org/wordpress/android/ui/ActivityNavigator.kt</t>
        </is>
      </c>
      <c r="C2492">
        <f>HYPERLINK("https://github.com/wordpress-mobile/WordPress-Android/blob/master/WordPress/src/main/java/org/wordpress/android/ui/ActivityNavigator.kt")</f>
        <v/>
      </c>
      <c r="D2492" t="inlineStr">
        <is>
          <t>This is a Kotlin Android project that provides various functionalities related to WordPress accounts and authentication. The main class, `AccountManager`, handles user account management tasks such as logging in, creating new accounts, and re-authenticating existing accounts using application passwords. It also includes a custom tab browser for displaying Blaze campaign pages and analytics tracking. Other classes include `ApplicationPasswordDialogActivity</t>
        </is>
      </c>
      <c r="E2492" t="n">
        <v>0.0037</v>
      </c>
      <c r="F2492" t="n">
        <v>0.0896</v>
      </c>
      <c r="G2492" t="n">
        <v>0.1154</v>
      </c>
      <c r="H2492" t="inlineStr">
        <is>
          <t>This is a Java Android project that includes various classes and methods for implementing WordPress's backend features. The main class, `org.wordpress.android.ui.MainActivity`, extends the `Activity` class from the Android SDK and provides a user interface for interacting with the application. Other classes in this package include `ApplicationPasswordDialogActivity`, `ApplicationPasswordReauthenticateDialogActivity`,</t>
        </is>
      </c>
      <c r="I2492" t="n">
        <v>0.0046</v>
      </c>
      <c r="J2492" t="n">
        <v>0.1</v>
      </c>
      <c r="K2492" t="n">
        <v>0.1261</v>
      </c>
      <c r="L2492" t="inlineStr">
        <is>
          <t>The provided code is part of an Android application that handles authentication for WordPress sites. It appears to be responsible for launching activities related to account login, including displaying dialogs for reauthentication and requesting application passwords. The code also includes some analytics tracking and integration with the Blaze campaign feature.</t>
        </is>
      </c>
      <c r="M2492" t="n">
        <v>0.0037</v>
      </c>
      <c r="N2492" t="n">
        <v>0.0345</v>
      </c>
      <c r="O2492" t="n">
        <v>0.082</v>
      </c>
    </row>
    <row r="2493">
      <c r="A2493" t="inlineStr">
        <is>
          <t>wordpress</t>
        </is>
      </c>
      <c r="B2493" t="inlineStr">
        <is>
          <t>WordPress/src/main/java/org/wordpress/android/ui/InterceptingFrameLayout.kt</t>
        </is>
      </c>
      <c r="C2493">
        <f>HYPERLINK("https://github.com/wordpress-mobile/WordPress-Android/blob/master/WordPress/src/main/java/org/wordpress/android/ui/InterceptingFrameLayout.kt")</f>
        <v/>
      </c>
      <c r="D2493" t="inlineStr">
        <is>
          <t>This is a custom view class called `InterceptingFrameLayout` that extends Android's `FrameLayout`. It overrides the `onInterceptTouchEvent()` method to always intercept touch events, which means it will receive all touch events before they reach any child views. The purpose of this behavior is likely to prevent certain child views from receiving touch events, such as a nested `Rec</t>
        </is>
      </c>
      <c r="E2493" t="n">
        <v>0.0032</v>
      </c>
      <c r="F2493" t="n">
        <v>0.0303</v>
      </c>
      <c r="G2493" t="n">
        <v>0.0388</v>
      </c>
      <c r="H2493" t="inlineStr">
        <is>
          <t>This is a Java class that extends `FrameLayout` from Android's UI framework. The class is called `InterceptingFrameLayout`. It has three constructors that take a `Context`, `AttributeSet`, and `Int` as parameters. The class overrides the `onInterceptTouchEvent()` method to always return `true`, which means it intercepts all touch events and</t>
        </is>
      </c>
      <c r="I2493" t="n">
        <v>0.0045</v>
      </c>
      <c r="J2493" t="n">
        <v>0.0702</v>
      </c>
      <c r="K2493" t="n">
        <v>0.0833</v>
      </c>
      <c r="L2493" t="inlineStr">
        <is>
          <t>The provided code defines a custom view called `InterceptingFrameLayout` that extends Android's `FrameLayout`. It overrides the `onInterceptTouchEvent()` method to always intercept touch events, which is useful for certain use cases such as preventing inner views from receiving touch input.</t>
        </is>
      </c>
      <c r="M2493" t="n">
        <v>0</v>
      </c>
      <c r="N2493" t="n">
        <v>0</v>
      </c>
      <c r="O2493" t="n">
        <v>0.045</v>
      </c>
    </row>
    <row r="2494">
      <c r="A2494" t="inlineStr">
        <is>
          <t>wordpress</t>
        </is>
      </c>
      <c r="B2494" t="inlineStr">
        <is>
          <t>WordPress/src/main/java/org/wordpress/android/ui/WPWebViewActivity.java</t>
        </is>
      </c>
      <c r="C2494">
        <f>HYPERLINK("https://github.com/wordpress-mobile/WordPress-Android/blob/master/WordPress/src/main/java/org/wordpress/android/ui/WPWebViewActivity.java")</f>
        <v/>
      </c>
      <c r="D2494" t="inlineStr">
        <is>
          <t>This is a Java Android project that appears to be a web browser app. The `MainActivity` class is the main entry point for the application and handles various actions such as loading URLs, displaying web pages, and handling user input. It also includes features like showing progress bars while loading pages, enabling JavaScript, and setting up cookies.
The project uses several libraries and frameworks, including Android</t>
        </is>
      </c>
      <c r="E2494" t="n">
        <v>0.0033</v>
      </c>
      <c r="F2494" t="n">
        <v>0.0541</v>
      </c>
      <c r="G2494" t="n">
        <v>0.1087</v>
      </c>
      <c r="H2494" t="inlineStr">
        <is>
          <t>This is a Java Android project that includes a variety of classes and files related to building web-based applications using the Android operating system. The main class in this project is `org.wordpress.android.ui.MainActivity`, which extends the `AppCompatActivity` class from the AndroidX library. It also uses other libraries such as the Android Support Library and the Android Webkit library.</t>
        </is>
      </c>
      <c r="I2494" t="n">
        <v>0.0038</v>
      </c>
      <c r="J2494" t="n">
        <v>0.0571</v>
      </c>
      <c r="K2494" t="n">
        <v>0.1163</v>
      </c>
      <c r="L2494" t="inlineStr">
        <is>
          <t>The provided Java code is for an Android app that displays a web view and allows users to browse the internet within the app. It uses the `AndroidX` library and includes features such as a toolbar, progress bar, and cookie manager. The code also defines several variables, methods, and classes related to the web view and its interactions. Overall, the code appears to be well-</t>
        </is>
      </c>
      <c r="M2494" t="n">
        <v>0.0028</v>
      </c>
      <c r="N2494" t="n">
        <v>0.0274</v>
      </c>
      <c r="O2494" t="n">
        <v>0.073</v>
      </c>
    </row>
    <row r="2495">
      <c r="A2495" t="inlineStr">
        <is>
          <t>wordpress</t>
        </is>
      </c>
      <c r="B2495" t="inlineStr">
        <is>
          <t>WordPress/src/main/java/org/wordpress/android/ui/ActivityLauncher.java</t>
        </is>
      </c>
      <c r="C2495">
        <f>HYPERLINK("https://github.com/wordpress-mobile/WordPress-Android/blob/master/WordPress/src/main/java/org/wordpress/android/ui/ActivityLauncher.java")</f>
        <v/>
      </c>
      <c r="D2495" t="inlineStr">
        <is>
          <t>This is a Java Android application that uses the WordPress API to retrieve data from a WordPress blog and display it in a mobile app. The application has several features, including:
* A login screen where users can enter their WordPress username and password to authenticate with the blog.
* A dashboard screen that displays information about the user's account, such as the number</t>
        </is>
      </c>
      <c r="E2495" t="n">
        <v>0.0034</v>
      </c>
      <c r="F2495" t="n">
        <v>0.0563</v>
      </c>
      <c r="G2495" t="n">
        <v>0.1103</v>
      </c>
      <c r="H2495" t="inlineStr">
        <is>
          <t>This Android app is written in Java and uses the Flux architecture to manage state changes. It has a single Activity that displays a list of posts from a WordPress blog. The user can select a post to view its details or share it with others through various social media platforms. The app also includes analytics tracking for user engagement.
The main class, `org.wordpress.</t>
        </is>
      </c>
      <c r="I2495" t="n">
        <v>0.0034</v>
      </c>
      <c r="J2495" t="n">
        <v>0.0548</v>
      </c>
      <c r="K2495" t="n">
        <v>0.1103</v>
      </c>
      <c r="L2495" t="inlineStr">
        <is>
          <t>The provided code is part of an Android app that handles user interactions related to blog posts. It appears to be responsible for launching the post details screen when a user clicks on a post card in the home feed.
The code imports various Android classes and libraries, including `android.app`, `android.content`, `android.net`, `androidx.core`, `org.</t>
        </is>
      </c>
      <c r="M2495" t="n">
        <v>0.0034</v>
      </c>
      <c r="N2495" t="n">
        <v>0.0303</v>
      </c>
      <c r="O2495" t="n">
        <v>0.0794</v>
      </c>
    </row>
    <row r="2496">
      <c r="A2496" t="inlineStr">
        <is>
          <t>wordpress</t>
        </is>
      </c>
      <c r="B2496" t="inlineStr">
        <is>
          <t>WordPress/src/main/java/org/wordpress/android/ui/JetpackConnectionResultActivity.java</t>
        </is>
      </c>
      <c r="C2496">
        <f>HYPERLINK("https://github.com/wordpress-mobile/WordPress-Android/blob/master/WordPress/src/main/java/org/wordpress/android/ui/JetpackConnectionResultActivity.java")</f>
        <v/>
      </c>
      <c r="D2496" t="inlineStr">
        <is>
          <t>The provided code is a Java class that extends `BaseAppCompatActivity` from the Android SDK. It appears to be responsible for displaying a toolbar with a title and a navigation button, as well as handling back press events. Additionally, it includes some methods related to analytics tracking and launching other activities.</t>
        </is>
      </c>
      <c r="E2496" t="n">
        <v>0.0037</v>
      </c>
      <c r="F2496" t="n">
        <v>0.0345</v>
      </c>
      <c r="G2496" t="n">
        <v>0.041</v>
      </c>
      <c r="H2496" t="inlineStr">
        <is>
          <t>This is an Android app that uses Flux architecture to manage state changes in a WordPress-based application. The main activity extends BaseAppCompatActivity and has a toolbar with a back button callback. It also implements OnBackPressedCallback to handle the back button press event. When the user clicks on the toolbar's overflow menu item, it launches the LoginFlow activity. If the user</t>
        </is>
      </c>
      <c r="I2496" t="n">
        <v>0.004</v>
      </c>
      <c r="J2496" t="n">
        <v>0.0571</v>
      </c>
      <c r="K2496" t="n">
        <v>0.1515</v>
      </c>
      <c r="L2496" t="inlineStr">
        <is>
          <t>The provided code is part of an Android app that displays a toolbar with a title and actions. It imports various Android libraries and sets up a dispatcher for Flux architecture. The code also defines several constants, such as activity names and analytics tracking. The primary function of the code appears to be setting up the toolbar and handling user interactions, including launching login flows when necessary.</t>
        </is>
      </c>
      <c r="M2496" t="n">
        <v>0.0027</v>
      </c>
      <c r="N2496" t="n">
        <v>0.0533</v>
      </c>
      <c r="O2496" t="n">
        <v>0.07190000000000001</v>
      </c>
    </row>
    <row r="2497">
      <c r="A2497" t="inlineStr">
        <is>
          <t>wordpress</t>
        </is>
      </c>
      <c r="B2497" t="inlineStr">
        <is>
          <t>WordPress/src/main/java/org/wordpress/android/ui/WPWebViewMenuUiState.kt</t>
        </is>
      </c>
      <c r="C2497">
        <f>HYPERLINK("https://github.com/wordpress-mobile/WordPress-Android/blob/master/WordPress/src/main/java/org/wordpress/android/ui/WPWebViewMenuUiState.kt")</f>
        <v/>
      </c>
      <c r="D2497" t="inlineStr">
        <is>
          <t>The provided code defines a data class called `WPWebViewMenuUiState` that represents the state of the menu in the `WPWebViewActivity`. It has six properties:
1. `browserMenuVisible`: A boolean indicating whether the browser menu should be visible or not.
2. `browserMenuShowAsAction`: A boolean indicating whether the browser menu should be shown as an</t>
        </is>
      </c>
      <c r="E2497" t="n">
        <v>0</v>
      </c>
      <c r="F2497" t="n">
        <v>0</v>
      </c>
      <c r="G2497" t="n">
        <v>0</v>
      </c>
      <c r="H2497" t="inlineStr">
        <is>
          <t>The code defines a data class called `WPWebViewMenuUiState` that represents the state of the menu in the `WPWebViewActivity`. It has six properties:
* `browserMenuVisible`: A boolean indicating whether the browser menu should be visible or hidden. Default value is `true`.
* `browserMenuShowAsAction`: A boolean indicating whether the browser menu should be</t>
        </is>
      </c>
      <c r="I2497" t="n">
        <v>0</v>
      </c>
      <c r="J2497" t="n">
        <v>0</v>
      </c>
      <c r="K2497" t="n">
        <v>0</v>
      </c>
      <c r="L2497" t="inlineStr">
        <is>
          <t>The provided code defines a data class named `WPWebViewMenuUiState` that models the UI state of the menu in the `WPWebViewActivity`. It has six properties representing whether certain menu items should be visible and shown as actions (e.g., "browser" menu item). These properties default to true unless otherwise specified.</t>
        </is>
      </c>
      <c r="M2497" t="n">
        <v>0.0038</v>
      </c>
      <c r="N2497" t="n">
        <v>0.0351</v>
      </c>
      <c r="O2497" t="n">
        <v>0.0417</v>
      </c>
    </row>
    <row r="2498">
      <c r="A2498" t="inlineStr">
        <is>
          <t>wordpress</t>
        </is>
      </c>
      <c r="B2498" t="inlineStr">
        <is>
          <t>WordPress/src/main/java/org/wordpress/android/ui/AddQuickPressShortcutActivity.java</t>
        </is>
      </c>
      <c r="C2498">
        <f>HYPERLINK("https://github.com/wordpress-mobile/WordPress-Android/blob/master/WordPress/src/main/java/org/wordpress/android/ui/AddQuickPressShortcutActivity.java")</f>
        <v/>
      </c>
      <c r="D2498" t="inlineStr">
        <is>
          <t>This is a Java code for an Android app that displays a list of items in a ListView, with each item having a title, description, and image. The user can select an item from the list to view its details, or delete it by clicking on a "Delete" button next to the item's title. When the user clicks on the "Add Shortcut" button at the bottom</t>
        </is>
      </c>
      <c r="E2498" t="n">
        <v>0.0033</v>
      </c>
      <c r="F2498" t="n">
        <v>0.0533</v>
      </c>
      <c r="G2498" t="n">
        <v>0.0725</v>
      </c>
      <c r="H2498" t="inlineStr">
        <is>
          <t>This is a Java Android application that uses the WordPress API to retrieve data from a WordPress website and display it in a list view on the user's device. The app includes features such as search, sorting, and filtering of the data, as well as the ability to create new posts or edit existing ones. It also has support for offline mode, which means that users can still</t>
        </is>
      </c>
      <c r="I2498" t="n">
        <v>0.0032</v>
      </c>
      <c r="J2498" t="n">
        <v>0.0519</v>
      </c>
      <c r="K2498" t="n">
        <v>0.1071</v>
      </c>
      <c r="L2498" t="inlineStr">
        <is>
          <t>The provided code is part of an Android application that displays a list of items from a remote server using Volley library. It includes a toolbar with a title, a search bar, and a button for adding new items. When an item is selected, it opens a detail page for that item. The code also includes a shortcut manager for creating dynamic app shortcuts.</t>
        </is>
      </c>
      <c r="M2498" t="n">
        <v>0.0028</v>
      </c>
      <c r="N2498" t="n">
        <v>0.0278</v>
      </c>
      <c r="O2498" t="n">
        <v>0.0735</v>
      </c>
    </row>
    <row r="2499">
      <c r="A2499" t="inlineStr">
        <is>
          <t>wordpress</t>
        </is>
      </c>
      <c r="B2499" t="inlineStr">
        <is>
          <t>WordPress/src/main/java/org/wordpress/android/ui/FullScreenDialogFragment.java</t>
        </is>
      </c>
      <c r="C2499">
        <f>HYPERLINK("https://github.com/wordpress-mobile/WordPress-Android/blob/master/WordPress/src/main/java/org/wordpress/android/ui/FullScreenDialogFragment.java")</f>
        <v/>
      </c>
      <c r="D2499" t="inlineStr">
        <is>
          <t>This is a Java class that extends `DialogFragment` and provides a custom dialog with a toolbar and action bar. It has several methods for setting up the dialog's title, content, menu items, and other properties. The class also includes some utility functions for working with Android resources and views.</t>
        </is>
      </c>
      <c r="E2499" t="n">
        <v>0.0045</v>
      </c>
      <c r="F2499" t="n">
        <v>0.1034</v>
      </c>
      <c r="G2499" t="n">
        <v>0.124</v>
      </c>
      <c r="H2499" t="inlineStr">
        <is>
          <t>This is a Java Android project that provides various utilities for working with dialogs in an Android application. The package `org.wordpress.android.ui` contains several classes that can be used to create and manage dialogs, including `Dialog`, `ComponentDialog`, and `Toolbar`. These classes provide methods for setting up the appearance and behavior of dialogs, as well as handling user</t>
        </is>
      </c>
      <c r="I2499" t="n">
        <v>0.0039</v>
      </c>
      <c r="J2499" t="n">
        <v>0.0597</v>
      </c>
      <c r="K2499" t="n">
        <v>0.1172</v>
      </c>
      <c r="L2499" t="inlineStr">
        <is>
          <t>The code is part of an Android app that displays a dialog box when a user clicks a button. It uses various Android libraries such as `androidx` and `support`. The dialog box has a toolbar with a title, a menu, and a content area. The code also includes customization options for the dialog box's appearance, such as setting the background color and text size.</t>
        </is>
      </c>
      <c r="M2499" t="n">
        <v>0.0028</v>
      </c>
      <c r="N2499" t="n">
        <v>0.0274</v>
      </c>
      <c r="O2499" t="n">
        <v>0.0735</v>
      </c>
    </row>
    <row r="2500">
      <c r="A2500" t="inlineStr">
        <is>
          <t>wordpress</t>
        </is>
      </c>
      <c r="B2500" t="inlineStr">
        <is>
          <t>WordPress/src/main/java/org/wordpress/android/ui/FilteredRecyclerView.java</t>
        </is>
      </c>
      <c r="C2500">
        <f>HYPERLINK("https://github.com/wordpress-mobile/WordPress-Android/blob/master/WordPress/src/main/java/org/wordpress/android/ui/FilteredRecyclerView.java")</f>
        <v/>
      </c>
      <c r="D2500" t="inlineStr">
        <is>
          <t>This is a Java library for Android that provides a set of classes and interfaces for building user interfaces (UIs). The library includes several pre-defined UI components such as buttons, text views, spinners, progress bars, and toolbars. It also provides a way to inflate layouts from XML resources and a mechanism for binding data to UI components using adapters. Additionally, it</t>
        </is>
      </c>
      <c r="E2500" t="n">
        <v>0.0036</v>
      </c>
      <c r="F2500" t="n">
        <v>0.0571</v>
      </c>
      <c r="G2500" t="n">
        <v>0.1128</v>
      </c>
      <c r="H2500" t="inlineStr">
        <is>
          <t>This is a Java class that extends `Relativelayout` and implements various methods for building and managing user interfaces in Android apps. The class uses several third-party libraries, including `AndroidX`, `Google Material Design`, and `WordPress`. It also defines several custom views, such as `Toolbar`, `AppBarLayout`, and `RecyclerView`, which can be used</t>
        </is>
      </c>
      <c r="I2500" t="n">
        <v>0.0048</v>
      </c>
      <c r="J2500" t="n">
        <v>0.1017</v>
      </c>
      <c r="K2500" t="n">
        <v>0.1639</v>
      </c>
      <c r="L2500" t="inlineStr">
        <is>
          <t>The provided code is a part of a WordPress Android app's UI component. It defines a custom toolbar layout that includes a progress bar, spinner, and menu items. The toolbar is used as a header for various screens in the app, and it displays different content depending on the screen's requirements. The code also includes some annotations and comments to help understand the implementation details.</t>
        </is>
      </c>
      <c r="M2500" t="n">
        <v>0.0028</v>
      </c>
      <c r="N2500" t="n">
        <v>0.0267</v>
      </c>
      <c r="O2500" t="n">
        <v>0.1095</v>
      </c>
    </row>
    <row r="2501">
      <c r="A2501" t="inlineStr">
        <is>
          <t>wordpress</t>
        </is>
      </c>
      <c r="B2501" t="inlineStr">
        <is>
          <t>WordPress/src/main/java/org/wordpress/android/ui/EmptyViewMessageType.java</t>
        </is>
      </c>
      <c r="C2501">
        <f>HYPERLINK("https://github.com/wordpress-mobile/WordPress-Android/blob/master/WordPress/src/main/java/org/wordpress/android/ui/EmptyViewMessageType.java")</f>
        <v/>
      </c>
      <c r="D2501" t="inlineStr">
        <is>
          <t>This is an enumeration class called `EmptyViewMessageType` that defines different types of empty view messages that can be displayed in a user interface. The class has five possible values: `LOADING`, `NO_CONTENT`, `NETWORK_ERROR`, `PERMISSION_ERROR`, and `GENERIC_ERROR`. Each value represents a specific type of message that can</t>
        </is>
      </c>
      <c r="E2501" t="n">
        <v>0.0049</v>
      </c>
      <c r="F2501" t="n">
        <v>0.0702</v>
      </c>
      <c r="G2501" t="n">
        <v>0.08550000000000001</v>
      </c>
      <c r="H2501" t="inlineStr">
        <is>
          <t>This is an Android Java library that defines an enumeration called `EmptyViewMessageType` with five possible values: `LOADING`, `NO_CONTENT`, `NETWORK_ERROR`, `PERMISSION_ERROR`, and `GENERIC_ERROR`. The enumeration also includes a method called `getEnumFromString()` which takes in a string parameter and returns the corresponding</t>
        </is>
      </c>
      <c r="I2501" t="n">
        <v>0.0055</v>
      </c>
      <c r="J2501" t="n">
        <v>0.0769</v>
      </c>
      <c r="K2501" t="n">
        <v>0.0893</v>
      </c>
      <c r="L2501" t="inlineStr">
        <is>
          <t>The provided code defines an enumeration called `EmptyViewMessageType` that represents different types of messages that can be displayed when there is no content available to show in a view. The enumeration has six possible values: `LOADING`, `NO_CONTENT`, `NETWORK_ERROR`, `PERMISSION_ERROR`, and `GENERIC_ERROR`. It also includes</t>
        </is>
      </c>
      <c r="M2501" t="n">
        <v>0.0042</v>
      </c>
      <c r="N2501" t="n">
        <v>0.0357</v>
      </c>
      <c r="O2501" t="n">
        <v>0.0431</v>
      </c>
    </row>
    <row r="2502">
      <c r="A2502" t="inlineStr">
        <is>
          <t>wordpress</t>
        </is>
      </c>
      <c r="B2502" t="inlineStr">
        <is>
          <t>WordPress/src/main/java/org/wordpress/android/ui/ShareIntentReceiverFragment.java</t>
        </is>
      </c>
      <c r="C2502">
        <f>HYPERLINK("https://github.com/wordpress-mobile/WordPress-Android/blob/master/WordPress/src/main/java/org/wordpress/android/ui/ShareIntentReceiverFragment.java")</f>
        <v/>
      </c>
      <c r="D2502" t="inlineStr">
        <is>
          <t>This is a Java file containing a `Shar` class that implements various methods for interacting with WordPress sites. The class has a constructor that takes in a `Context`, which it uses to initialize its fields. It also defines several inner classes, including `ViewHolderHandler` and `SitePickerAdapter`.
The `Shar` class has several methods related to site management, such</t>
        </is>
      </c>
      <c r="E2502" t="n">
        <v>0.0043</v>
      </c>
      <c r="F2502" t="n">
        <v>0.09379999999999999</v>
      </c>
      <c r="G2502" t="n">
        <v>0.1563</v>
      </c>
      <c r="H2502" t="inlineStr">
        <is>
          <t>This is a Java package that provides various classes for implementing WordPress-related features in Android applications. The package includes a `Shar` class that seems to be the main entry point for this module. It has several dependencies on other packages, including `android`, `androidx`, and `org.wordpress.android`.
The `Shar` class appears to be responsible for man</t>
        </is>
      </c>
      <c r="I2502" t="n">
        <v>0.004</v>
      </c>
      <c r="J2502" t="n">
        <v>0.09229999999999999</v>
      </c>
      <c r="K2502" t="n">
        <v>0.119</v>
      </c>
      <c r="L2502" t="inlineStr">
        <is>
          <t>The provided code is part of an Android application that displays a list of WordPress sites using a RecyclerView component. It is a fragment that inflates a layout containing a RecyclerView and some buttons for navigation. The fragment also injects dependencies from Dagger, such as the AccountStore and ImageManager.
The fragment's primary responsibility is to display a list of SiteRecord objects,</t>
        </is>
      </c>
      <c r="M2502" t="n">
        <v>0.003</v>
      </c>
      <c r="N2502" t="n">
        <v>0.0286</v>
      </c>
      <c r="O2502" t="n">
        <v>0.0752</v>
      </c>
    </row>
    <row r="2503">
      <c r="A2503" t="inlineStr">
        <is>
          <t>wordpress</t>
        </is>
      </c>
      <c r="B2503" t="inlineStr">
        <is>
          <t>WordPress/src/main/java/org/wordpress/android/ui/PreviewMode.kt</t>
        </is>
      </c>
      <c r="C2503">
        <f>HYPERLINK("https://github.com/wordpress-mobile/WordPress-Android/blob/master/WordPress/src/main/java/org/wordpress/android/ui/PreviewMode.kt")</f>
        <v/>
      </c>
      <c r="D2503" t="inlineStr">
        <is>
          <t>The code defines an `enum` called `PreviewMode` with three values: `MOBILE`, `TABLET`, and `DESKTOP`. Each value has a corresponding `key` and `previewWidth`. The `PreviewMode` enum is used to define the available preview/thumbnail modes in the application.
The `PreviewModeHandler` interface defines</t>
        </is>
      </c>
      <c r="E2503" t="n">
        <v>0.0046</v>
      </c>
      <c r="F2503" t="n">
        <v>0.0408</v>
      </c>
      <c r="G2503" t="n">
        <v>0.0893</v>
      </c>
      <c r="H2503" t="inlineStr">
        <is>
          <t>This code defines an enum class called `PreviewMode` that holds three possible values representing different preview/thumbnail modes with their corresponding rendering widths. The `PreviewMode` class also has a constructor that takes in a string key and an integer preview width as parameters. Additionally, this code defines an interface called `PreviewModeHandler` which provides methods for retrieving the currently selected</t>
        </is>
      </c>
      <c r="I2503" t="n">
        <v>0.0037</v>
      </c>
      <c r="J2503" t="n">
        <v>0.0597</v>
      </c>
      <c r="K2503" t="n">
        <v>0.0769</v>
      </c>
      <c r="L2503" t="inlineStr">
        <is>
          <t>The code defines an enumeration called "PreviewMode" that represents different preview modes with their corresponding rendering widths. It also defines an interface called "PreviewModeHandler" which provides methods for accessing and changing the currently selected preview mode.</t>
        </is>
      </c>
      <c r="M2503" t="n">
        <v>0.0052</v>
      </c>
      <c r="N2503" t="n">
        <v>0.0455</v>
      </c>
      <c r="O2503" t="n">
        <v>0.0463</v>
      </c>
    </row>
    <row r="2504">
      <c r="A2504" t="inlineStr">
        <is>
          <t>wordpress</t>
        </is>
      </c>
      <c r="B2504" t="inlineStr">
        <is>
          <t>WordPress/src/main/java/org/wordpress/android/ui/postsrs/PostRsListActivity.kt</t>
        </is>
      </c>
      <c r="C2504">
        <f>HYPERLINK("https://github.com/wordpress-mobile/WordPress-Android/blob/master/WordPress/src/main/java/org/wordpress/android/ui/postsrs/PostRsListActivity.kt")</f>
        <v/>
      </c>
      <c r="D2504" t="inlineStr">
        <is>
          <t>This is a Kotlin Android app that uses Compose UI to display a list of posts from WordPress. The app has two screens: a post list screen and a reader screen. The post list screen displays a list of posts with their titles and authors, and allows users to navigate to the reader screen by selecting a post. When a user selects a post on the post list screen, the</t>
        </is>
      </c>
      <c r="E2504" t="n">
        <v>0.0031</v>
      </c>
      <c r="F2504" t="n">
        <v>0.0513</v>
      </c>
      <c r="G2504" t="n">
        <v>0.1056</v>
      </c>
      <c r="H2504" t="inlineStr">
        <is>
          <t>This is a Java Android project with a package named "org.wordpress.android.ui.postsrs". The project uses Dagger Hilt for dependency injection and Compose UI for building user interfaces. It also includes a Blaze Flow Source component that provides a way to launch activities using the Activity Launcher class. The project has a base app compat activity that extends from Base App Comp</t>
        </is>
      </c>
      <c r="I2504" t="n">
        <v>0.0036</v>
      </c>
      <c r="J2504" t="n">
        <v>0.0556</v>
      </c>
      <c r="K2504" t="n">
        <v>0.1136</v>
      </c>
      <c r="L2504" t="inlineStr">
        <is>
          <t>The provided code is part of an Android app that uses Compose UI for building user interfaces. It defines a `PostRsListActivity` class that extends `BaseAppCompatActivity`, which is a base activity class used by other activities in the app. The activity's primary responsibility is to display a list of posts from WordPress using the `PostRsListScreen` composable</t>
        </is>
      </c>
      <c r="M2504" t="n">
        <v>0</v>
      </c>
      <c r="N2504" t="n">
        <v>0</v>
      </c>
      <c r="O2504" t="n">
        <v>0.0394</v>
      </c>
    </row>
    <row r="2505">
      <c r="A2505" t="inlineStr">
        <is>
          <t>wordpress</t>
        </is>
      </c>
      <c r="B2505" t="inlineStr">
        <is>
          <t>WordPress/src/main/java/org/wordpress/android/ui/postsrs/PostRsErrorUtils.kt</t>
        </is>
      </c>
      <c r="C2505">
        <f>HYPERLINK("https://github.com/wordpress-mobile/WordPress-Android/blob/master/WordPress/src/main/java/org/wordpress/android/ui/postsrs/PostRsErrorUtils.kt")</f>
        <v/>
      </c>
      <c r="D2505" t="inlineStr">
        <is>
          <t>The `PostRsErrorUtils` class provides shared error-handling helpers for the WordPress Android UI library's post screens. It defines several functions that operate on exceptions thrown by the library's RESTful API client, including `unwrapException`, which extracts the underlying `WpApiException` from a `FetchException.Api` wrapper; `isAuthError`,</t>
        </is>
      </c>
      <c r="E2505" t="n">
        <v>0</v>
      </c>
      <c r="F2505" t="n">
        <v>0.037</v>
      </c>
      <c r="G2505" t="n">
        <v>0.0439</v>
      </c>
      <c r="H2505" t="inlineStr">
        <is>
          <t>This code defines a Kotlin class called `PostRsErrorUtils` that provides shared error-handling utilities for the WordPress Android application's RS (Restful Service) post screens. The class has several methods that handle different types of errors, including authentication failures, network errors, and other exceptions.
The `unwrapException()` method takes an `Exception`</t>
        </is>
      </c>
      <c r="I2505" t="n">
        <v>0.0045</v>
      </c>
      <c r="J2505" t="n">
        <v>0.06900000000000001</v>
      </c>
      <c r="K2505" t="n">
        <v>0.0833</v>
      </c>
      <c r="L2505" t="inlineStr">
        <is>
          <t>The `PostRsErrorUtils` class provides shared error-handling helpers for the RS post screens in WordPress Android UI. It includes two methods: `unwrapException()` and `isAuthError()`.
The `unwrapException()` method extracts the underlying `WpApiException` from a `FetchException.Api` wrapper, allowing callers to inspect API-</t>
        </is>
      </c>
      <c r="M2505" t="n">
        <v>0.0047</v>
      </c>
      <c r="N2505" t="n">
        <v>0.0408</v>
      </c>
      <c r="O2505" t="n">
        <v>0.045</v>
      </c>
    </row>
    <row r="2506">
      <c r="A2506" t="inlineStr">
        <is>
          <t>wordpress</t>
        </is>
      </c>
      <c r="B2506" t="inlineStr">
        <is>
          <t>WordPress/src/main/java/org/wordpress/android/ui/postsrs/UriToFileMapper.kt</t>
        </is>
      </c>
      <c r="C2506">
        <f>HYPERLINK("https://github.com/wordpress-mobile/WordPress-Android/blob/master/WordPress/src/main/java/org/wordpress/android/ui/postsrs/UriToFileMapper.kt")</f>
        <v/>
      </c>
      <c r="D2506" t="inlineStr">
        <is>
          <t>The `UriToFileMapper` class provides a method called `copyUriToTempFile()` that takes in a `Uri` object as input and returns a temporary file containing the contents of the URI. The method first retrieves the MIME type of the URI using the `ContentResolver`, then uses this information to determine the extension of the file (if any). It creates a new temporary</t>
        </is>
      </c>
      <c r="E2506" t="n">
        <v>0.0031</v>
      </c>
      <c r="F2506" t="n">
        <v>0.0303</v>
      </c>
      <c r="G2506" t="n">
        <v>0.1154</v>
      </c>
      <c r="H2506" t="inlineStr">
        <is>
          <t>This class, `UriToFileMapper`, takes in a `Uri` object as input and returns a temporary file containing the contents of the URI. The method `copyUriToTempFile()` does this by first retrieving the MIME type of the URI using the `ContentResolver`. It then creates a new temporary file with a unique name and extension based on the MIME type, and</t>
        </is>
      </c>
      <c r="I2506" t="n">
        <v>0.0038</v>
      </c>
      <c r="J2506" t="n">
        <v>0.0615</v>
      </c>
      <c r="K2506" t="n">
        <v>0.1163</v>
      </c>
      <c r="L2506" t="inlineStr">
        <is>
          <t>The `UriToFileMapper` class provides a method called `copyUriToTempFile()` that takes a `Uri` object as input and returns a temporary `File` object containing the contents of the URI. The method uses the Android content resolver to retrieve the type of the URI (e.g., image/jpeg), and then creates a new temporary file with the same extension using</t>
        </is>
      </c>
      <c r="M2506" t="n">
        <v>0.0033</v>
      </c>
      <c r="N2506" t="n">
        <v>0.0308</v>
      </c>
      <c r="O2506" t="n">
        <v>0.07870000000000001</v>
      </c>
    </row>
    <row r="2507">
      <c r="A2507" t="inlineStr">
        <is>
          <t>wordpress</t>
        </is>
      </c>
      <c r="B2507" t="inlineStr">
        <is>
          <t>WordPress/src/main/java/org/wordpress/android/ui/postsrs/PostRsSettingsUiState.kt</t>
        </is>
      </c>
      <c r="C2507">
        <f>HYPERLINK("https://github.com/wordpress-mobile/WordPress-Android/blob/master/WordPress/src/main/java/org/wordpress/android/ui/postsrs/PostRsSettingsUiState.kt")</f>
        <v/>
      </c>
      <c r="D2507" t="inlineStr">
        <is>
          <t>The provided code defines several classes and interfaces related to managing settings for a blog post on WordPress. It includes the following features:
* `PostRsSettingsUiState`: This class represents the state of the settings UI for a blog post, including fields such as the title, publication date, author ID, and list of authors. It also includes flags indicating whether the UI</t>
        </is>
      </c>
      <c r="E2507" t="n">
        <v>0.0036</v>
      </c>
      <c r="F2507" t="n">
        <v>0.0597</v>
      </c>
      <c r="G2507" t="n">
        <v>0.07580000000000001</v>
      </c>
      <c r="H2507" t="inlineStr">
        <is>
          <t>This code defines several classes and interfaces related to managing posts in WordPress using REST API. The main classes include `PostRsRestClient`, which provides methods for interacting with the WordPress REST API; `PostRsSettingsUiState`, which represents the state of the UI for editing post settings; and `FieldState`, which represents the current state of a field (e</t>
        </is>
      </c>
      <c r="I2507" t="n">
        <v>0.004</v>
      </c>
      <c r="J2507" t="n">
        <v>0.0645</v>
      </c>
      <c r="K2507" t="n">
        <v>0.119</v>
      </c>
      <c r="L2507" t="inlineStr">
        <is>
          <t>The provided code defines a `PostRsSettingsUiState` class that represents the state of a settings screen for creating or editing a WordPress post using the REST API. The class has several fields that represent different aspects of the post's metadata, such as title, date, author, and status. It also includes a list of authors and a flag indicating whether more authors can be</t>
        </is>
      </c>
      <c r="M2507" t="n">
        <v>0.0029</v>
      </c>
      <c r="N2507" t="n">
        <v>0.0282</v>
      </c>
      <c r="O2507" t="n">
        <v>0.0746</v>
      </c>
    </row>
    <row r="2508">
      <c r="A2508" t="inlineStr">
        <is>
          <t>wordpress</t>
        </is>
      </c>
      <c r="B2508" t="inlineStr">
        <is>
          <t>WordPress/src/main/java/org/wordpress/android/ui/postsrs/PostRsDateFormatter.kt</t>
        </is>
      </c>
      <c r="C2508">
        <f>HYPERLINK("https://github.com/wordpress-mobile/WordPress-Android/blob/master/WordPress/src/main/java/org/wordpress/android/ui/postsrs/PostRsDateFormatter.kt")</f>
        <v/>
      </c>
      <c r="D2508" t="inlineStr">
        <is>
          <t>The `PostRsDateFormatter` class provides a method called `format()` that takes two parameters: `dateGmt`, which is a `Date` object representing a date in Greenwich Mean Time (GMT), and `status`, which is an optional `PostStatus` enum value indicating the current status of the post. The method returns a formatted string representation of the date based on</t>
        </is>
      </c>
      <c r="E2508" t="n">
        <v>0.0034</v>
      </c>
      <c r="F2508" t="n">
        <v>0.0323</v>
      </c>
      <c r="G2508" t="n">
        <v>0.0397</v>
      </c>
      <c r="H2508" t="inlineStr">
        <is>
          <t>This is a Kotlin file that defines an object called `PostRsDateFormatter`. It has several functions related to formatting dates for display on the WordPress Android app. The main function, `format`, takes a `Date` object representing a GMT timestamp and returns a formatted string representation of the date based on its age. If the post was scheduled to be published in the future,</t>
        </is>
      </c>
      <c r="I2508" t="n">
        <v>0.0035</v>
      </c>
      <c r="J2508" t="n">
        <v>0.0857</v>
      </c>
      <c r="K2508" t="n">
        <v>0.1119</v>
      </c>
      <c r="L2508" t="inlineStr">
        <is>
          <t>The `PostRsDateFormatter` class formats dates received from the WordPress REST API for display in the Android app's post list screen. It uses a combination of relative and absolute date formatting techniques based on the age of the post and whether it is scheduled or published.</t>
        </is>
      </c>
      <c r="M2508" t="n">
        <v>0.0041</v>
      </c>
      <c r="N2508" t="n">
        <v>0.037</v>
      </c>
      <c r="O2508" t="n">
        <v>0.08550000000000001</v>
      </c>
    </row>
    <row r="2509">
      <c r="A2509" t="inlineStr">
        <is>
          <t>wordpress</t>
        </is>
      </c>
      <c r="B2509" t="inlineStr">
        <is>
          <t>WordPress/src/main/java/org/wordpress/android/ui/postsrs/PostRsListTab.kt</t>
        </is>
      </c>
      <c r="C2509">
        <f>HYPERLINK("https://github.com/wordpress-mobile/WordPress-Android/blob/master/WordPress/src/main/java/org/wordpress/android/ui/postsrs/PostRsListTab.kt")</f>
        <v/>
      </c>
      <c r="D2509" t="inlineStr">
        <is>
          <t>The provided code defines an `enum` called `PostRsListTab` in Kotlin that represents different tabs for displaying posts on a WordPress website. Each tab has a corresponding label, message to display when there are no posts, list of post statuses, and sorting order. The `statuses` field is a list of `PostStatus` enum values, which represent the different</t>
        </is>
      </c>
      <c r="E2509" t="n">
        <v>0.0033</v>
      </c>
      <c r="F2509" t="n">
        <v>0.0312</v>
      </c>
      <c r="G2509" t="n">
        <v>0.0391</v>
      </c>
      <c r="H2509" t="inlineStr">
        <is>
          <t>This is a Kotlin file that defines an enum called `PostRsListTab` with four values: `PUBLISHED`, `DRAFTS`, `SCHEDULED`, and `TRASH`. Each value has three properties:
* `labelResId`: An integer resource ID for the tab's label.
* `emptyMessageResId</t>
        </is>
      </c>
      <c r="I2509" t="n">
        <v>0.0061</v>
      </c>
      <c r="J2509" t="n">
        <v>0.093</v>
      </c>
      <c r="K2509" t="n">
        <v>0.0926</v>
      </c>
      <c r="L2509" t="inlineStr">
        <is>
          <t>The provided code defines an enumeration called `PostRsListTab` that represents different tabs for displaying posts in a WordPress app. Each tab has a label resource ID, an empty message resource ID, a list of post statuses, and a sorting order. The available tabs are "PUBLISHED", "DRAFTS", and "SCHEDULED".</t>
        </is>
      </c>
      <c r="M2509" t="n">
        <v>0.0038</v>
      </c>
      <c r="N2509" t="n">
        <v>0.0357</v>
      </c>
      <c r="O2509" t="n">
        <v>0.0417</v>
      </c>
    </row>
    <row r="2510">
      <c r="A2510" t="inlineStr">
        <is>
          <t>wordpress</t>
        </is>
      </c>
      <c r="B2510" t="inlineStr">
        <is>
          <t>WordPress/src/main/java/org/wordpress/android/ui/postsrs/PostRsListUiState.kt</t>
        </is>
      </c>
      <c r="C2510">
        <f>HYPERLINK("https://github.com/wordpress-mobile/WordPress-Android/blob/master/WordPress/src/main/java/org/wordpress/android/ui/postsrs/PostRsListUiState.kt")</f>
        <v/>
      </c>
      <c r="D2510" t="inlineStr">
        <is>
          <t>This is a Kotlin code for a mobile app that allows users to view, create, edit, and delete WordPress posts. The code defines several classes and interfaces used in the app's UI and business logic. Here's a brief overview of each file and its purpose:
* `SnackbarMessage`: A simple data class representing a snackbar message with</t>
        </is>
      </c>
      <c r="E2510" t="n">
        <v>0.0043</v>
      </c>
      <c r="F2510" t="n">
        <v>0.09229999999999999</v>
      </c>
      <c r="G2510" t="n">
        <v>0.1563</v>
      </c>
      <c r="H2510" t="inlineStr">
        <is>
          <t>This is a Kotlin library that provides various utility classes for working with WordPress mobile apps. The library includes several data classes and interfaces, as well as functions for handling user input and displaying snackbars. The main entry point for this library is the `PostTabUiState` class, which manages the state of a tab in a WordPress app that displays a list of posts</t>
        </is>
      </c>
      <c r="I2510" t="n">
        <v>0.0034</v>
      </c>
      <c r="J2510" t="n">
        <v>0.08450000000000001</v>
      </c>
      <c r="K2510" t="n">
        <v>0.1111</v>
      </c>
      <c r="L2510" t="inlineStr">
        <is>
          <t>The provided code is part of a WordPress Android app's UI module, specifically related to displaying posts. It defines several classes and interfaces that are used for various purposes such as displaying snackbar messages, handling user confirmations, and managing post tab states.
The `SnackbarMessage` class represents a snackbar message with optional actions, while the `P</t>
        </is>
      </c>
      <c r="M2510" t="n">
        <v>0.0033</v>
      </c>
      <c r="N2510" t="n">
        <v>0.0625</v>
      </c>
      <c r="O2510" t="n">
        <v>0.07870000000000001</v>
      </c>
    </row>
    <row r="2511">
      <c r="A2511" t="inlineStr">
        <is>
          <t>wordpress</t>
        </is>
      </c>
      <c r="B2511" t="inlineStr">
        <is>
          <t>WordPress/src/main/java/org/wordpress/android/ui/postsrs/PostRsSettingsViewModel.kt</t>
        </is>
      </c>
      <c r="C2511">
        <f>HYPERLINK("https://github.com/wordpress-mobile/WordPress-Android/blob/master/WordPress/src/main/java/org/wordpress/android/ui/postsrs/PostRsSettingsViewModel.kt")</f>
        <v/>
      </c>
      <c r="D2511" t="inlineStr">
        <is>
          <t>This is a Kotlin file that defines a `PostsRS` class, which represents a view model for displaying posts in a WordPress app. The class has several responsibilities, including fetching posts from the server, updating the UI with new post data, and handling user interactions such as refreshing or retrying failed requests.
The class uses the Hilt dependency</t>
        </is>
      </c>
      <c r="E2511" t="n">
        <v>0.0038</v>
      </c>
      <c r="F2511" t="n">
        <v>0.0615</v>
      </c>
      <c r="G2511" t="n">
        <v>0.1163</v>
      </c>
      <c r="H2511" t="inlineStr">
        <is>
          <t>This is a Kotlin Android project that uses Hilt for dependency injection and coroutines to perform asynchronous operations. The project has a single class called `PostsViewModel`, which extends `ViewModel` and provides a `postList` property as a flow of posts. The view model also includes methods for fetching and updating post data, as well as handling errors and cancellations. Additionally</t>
        </is>
      </c>
      <c r="I2511" t="n">
        <v>0.0037</v>
      </c>
      <c r="J2511" t="n">
        <v>0.0597</v>
      </c>
      <c r="K2511" t="n">
        <v>0.1145</v>
      </c>
      <c r="L2511" t="inlineStr">
        <is>
          <t>The provided code is part of a ViewModel class for a WordPress Android app. It appears to be responsible for retrieving data from the WordPress REST API and displaying it in a list view. The ViewModel uses Kotlin coroutines to perform network requests asynchronously and manages the state of the list using a StateFlow object. The code also includes some error handling and analyt</t>
        </is>
      </c>
      <c r="M2511" t="n">
        <v>0.0028</v>
      </c>
      <c r="N2511" t="n">
        <v>0.0278</v>
      </c>
      <c r="O2511" t="n">
        <v>0.0735</v>
      </c>
    </row>
    <row r="2512">
      <c r="A2512" t="inlineStr">
        <is>
          <t>wordpress</t>
        </is>
      </c>
      <c r="B2512" t="inlineStr">
        <is>
          <t>WordPress/src/main/java/org/wordpress/android/ui/postsrs/PostRsListViewModel.kt</t>
        </is>
      </c>
      <c r="C2512">
        <f>HYPERLINK("https://github.com/wordpress-mobile/WordPress-Android/blob/master/WordPress/src/main/java/org/wordpress/android/ui/postsrs/PostRsListViewModel.kt")</f>
        <v/>
      </c>
      <c r="D2512" t="inlineStr">
        <is>
          <t>This is a Kotlin Android project that uses Hilt for dependency injection and coroutines to perform asynchronous operations. The main class, `PostsRS`, extends `ViewModel` and has several fields and methods related to posts and sites. It also includes some helper classes and functions.
The `PostsRS` class has a `viewModelScope` field which is used to launch</t>
        </is>
      </c>
      <c r="E2512" t="n">
        <v>0.004</v>
      </c>
      <c r="F2512" t="n">
        <v>0.0635</v>
      </c>
      <c r="G2512" t="n">
        <v>0.1181</v>
      </c>
      <c r="H2512" t="inlineStr">
        <is>
          <t>This is a Kotlin Android project that uses the Hilt dependency injection framework to manage dependencies and the Coroutine library for asynchronous programming. The project includes a ViewModel class that manages the state of the app's UI, including a MutableStateFlow object that represents the current state of the app. The ViewModel also launches coroutines to perform background tasks, such as</t>
        </is>
      </c>
      <c r="I2512" t="n">
        <v>0.0036</v>
      </c>
      <c r="J2512" t="n">
        <v>0.058</v>
      </c>
      <c r="K2512" t="n">
        <v>0.1136</v>
      </c>
      <c r="L2512" t="inlineStr">
        <is>
          <t>The provided code is part of a ViewModel class for a WordPress Android app. It defines a `PostsViewModel` that manages the state of posts and their statuses. The view model uses Kotlin coroutines to perform background tasks and updates the UI accordingly.
The view model has several responsibilities, including:
* Managing the state of post models</t>
        </is>
      </c>
      <c r="M2512" t="n">
        <v>0.0033</v>
      </c>
      <c r="N2512" t="n">
        <v>0.0317</v>
      </c>
      <c r="O2512" t="n">
        <v>0.0781</v>
      </c>
    </row>
    <row r="2513">
      <c r="A2513" t="inlineStr">
        <is>
          <t>wordpress</t>
        </is>
      </c>
      <c r="B2513" t="inlineStr">
        <is>
          <t>WordPress/src/main/java/org/wordpress/android/ui/postsrs/PostRsSettingsActivity.kt</t>
        </is>
      </c>
      <c r="C2513">
        <f>HYPERLINK("https://github.com/wordpress-mobile/WordPress-Android/blob/master/WordPress/src/main/java/org/wordpress/android/ui/postsrs/PostRsSettingsActivity.kt")</f>
        <v/>
      </c>
      <c r="D2513" t="inlineStr">
        <is>
          <t>This is a Kotlin Android app that uses Hilt for dependency injection and Compose for UI development. It has a single activity called `PostsRS` that displays a list of posts from a WordPress website using the REST API. The user can select a post to view its details or add a new post by tapping on the "Add Post" button at the bottom of the screen</t>
        </is>
      </c>
      <c r="E2513" t="n">
        <v>0.0033</v>
      </c>
      <c r="F2513" t="n">
        <v>0.0541</v>
      </c>
      <c r="G2513" t="n">
        <v>0.1087</v>
      </c>
      <c r="H2513" t="inlineStr">
        <is>
          <t>This is a Java Android project that uses Hilt for dependency injection and Compose UI for building user interfaces. The project's main activity extends BaseAppCompatActivity and has a viewModel that collects data from a MediaPickerActivity using ActivityResultLauncher. The app theme is AppThemeM3.</t>
        </is>
      </c>
      <c r="I2513" t="n">
        <v>0.0052</v>
      </c>
      <c r="J2513" t="n">
        <v>0.0784</v>
      </c>
      <c r="K2513" t="n">
        <v>0.1316</v>
      </c>
      <c r="L2513" t="inlineStr">
        <is>
          <t>The provided code is part of an Android app that displays posts from WordPress websites. It appears to be a Compose UI activity that allows users to select media (images or videos) from their device's storage and upload them to the website.
The activity receives input from the user through a Media Picker Activity, which provides a list of available media files on the device. When</t>
        </is>
      </c>
      <c r="M2513" t="n">
        <v>0.0028</v>
      </c>
      <c r="N2513" t="n">
        <v>0.0267</v>
      </c>
      <c r="O2513" t="n">
        <v>0.0725</v>
      </c>
    </row>
    <row r="2514">
      <c r="A2514" t="inlineStr">
        <is>
          <t>wordpress</t>
        </is>
      </c>
      <c r="B2514" t="inlineStr">
        <is>
          <t>WordPress/src/main/java/org/wordpress/android/ui/postsrs/PostRsListEvent.kt</t>
        </is>
      </c>
      <c r="C2514">
        <f>HYPERLINK("https://github.com/wordpress-mobile/WordPress-Android/blob/master/WordPress/src/main/java/org/wordpress/android/ui/postsrs/PostRsListEvent.kt")</f>
        <v/>
      </c>
      <c r="D2514" t="inlineStr">
        <is>
          <t>This is a Kotlin file containing a sealed interface called `PostRsListEvent` that defines different events related to posts in WordPress. The interface has six subclasses representing different types of events:
* `EditPost`: Edits a specific post.
* `CreatePost`: Creates a new post.
* `ViewPost`: Displays a specific post.</t>
        </is>
      </c>
      <c r="E2514" t="n">
        <v>0.0038</v>
      </c>
      <c r="F2514" t="n">
        <v>0.0377</v>
      </c>
      <c r="G2514" t="n">
        <v>0.0417</v>
      </c>
      <c r="H2514" t="inlineStr">
        <is>
          <t>This is a Kotlin code snippet that defines a sealed interface named `PostRsListEvent` with several data classes as its members. The interface represents events related to posts in a WordPress-like application. Each data class corresponds to a specific event type, such as creating or editing a post, viewing a post's stats, or sharing a post on social media. The</t>
        </is>
      </c>
      <c r="I2514" t="n">
        <v>0.0031</v>
      </c>
      <c r="J2514" t="n">
        <v>0.029</v>
      </c>
      <c r="K2514" t="n">
        <v>0.0382</v>
      </c>
      <c r="L2514" t="inlineStr">
        <is>
          <t>The provided code defines a sealed interface called `PostRsListEvent` that represents different events related to posts in WordPress. Each event is represented by a data class that takes various parameters such as `site`, `post`, `url`, `blogId`, `postId`, `title`, etc. These events can be used to perform various actions like editing, creating, viewing</t>
        </is>
      </c>
      <c r="M2514" t="n">
        <v>0</v>
      </c>
      <c r="N2514" t="n">
        <v>0</v>
      </c>
      <c r="O2514" t="n">
        <v>0.0403</v>
      </c>
    </row>
    <row r="2515">
      <c r="A2515" t="inlineStr">
        <is>
          <t>wordpress</t>
        </is>
      </c>
      <c r="B2515" t="inlineStr">
        <is>
          <t>WordPress/src/main/java/org/wordpress/android/ui/postsrs/screens/PostRsListItem.kt</t>
        </is>
      </c>
      <c r="C2515">
        <f>HYPERLINK("https://github.com/wordpress-mobile/WordPress-Android/blob/master/WordPress/src/main/java/org/wordpress/android/ui/postsrs/screens/PostRsListItem.kt")</f>
        <v/>
      </c>
      <c r="D2515" t="inlineStr">
        <is>
          <t>The code defines a set of composable functions for creating various UI elements in Android using Compose for Desktop. It includes functions for creating boxes, columns, rows, spacers, and buttons with animations. The code also imports various libraries such as `androidx.compose.animation` and `androidx.compose.foundation`. The README file describes this repository as containing</t>
        </is>
      </c>
      <c r="E2515" t="n">
        <v>0.0036</v>
      </c>
      <c r="F2515" t="n">
        <v>0.0635</v>
      </c>
      <c r="G2515" t="n">
        <v>0.122</v>
      </c>
      <c r="H2515" t="inlineStr">
        <is>
          <t>This is a Java library for Android development that provides various composable UI elements, including buttons, text fields, and more. The library uses a declarative syntax to define the layout of the UI, which makes it easy to create visually appealing and responsive user interfaces. It also includes support for animations and gestures, making it suitable for building complex UIs with a high level</t>
        </is>
      </c>
      <c r="I2515" t="n">
        <v>0.0034</v>
      </c>
      <c r="J2515" t="n">
        <v>0.0556</v>
      </c>
      <c r="K2515" t="n">
        <v>0.1103</v>
      </c>
      <c r="L2515" t="inlineStr">
        <is>
          <t>The provided code is a part of a larger Android application that uses Compose UI to create a screen for displaying posts. It appears to be responsible for animating the display of a post's title, author, and date using a repeating animation. The animation is defined by a transition object that remembers an infinite transition and repeats the animation infinitely. The animation consists of two states, "</t>
        </is>
      </c>
      <c r="M2515" t="n">
        <v>0.0027</v>
      </c>
      <c r="N2515" t="n">
        <v>0.0267</v>
      </c>
      <c r="O2515" t="n">
        <v>0.07190000000000001</v>
      </c>
    </row>
    <row r="2516">
      <c r="A2516" t="inlineStr">
        <is>
          <t>wordpress</t>
        </is>
      </c>
      <c r="B2516" t="inlineStr">
        <is>
          <t>WordPress/src/main/java/org/wordpress/android/ui/postsrs/screens/PostRsSettingsScreen.kt</t>
        </is>
      </c>
      <c r="C2516">
        <f>HYPERLINK("https://github.com/wordpress-mobile/WordPress-Android/blob/master/WordPress/src/main/java/org/wordpress/android/ui/postsrs/screens/PostRsSettingsScreen.kt")</f>
        <v/>
      </c>
      <c r="D2516" t="inlineStr">
        <is>
          <t>This is a Kotlin file that defines a `PostScreen` class with several methods and properties related to displaying posts in a WordPress app on Android devices. The class uses Compose for Desktop (a UI framework for building desktop applications using Kotlin) to create a user interface for viewing and interacting with posts.
The `PostScreen` class has the following members:</t>
        </is>
      </c>
      <c r="E2516" t="n">
        <v>0.0037</v>
      </c>
      <c r="F2516" t="n">
        <v>0.0597</v>
      </c>
      <c r="G2516" t="n">
        <v>0.1145</v>
      </c>
      <c r="H2516" t="inlineStr">
        <is>
          <t>This is a Java package that provides various UI-related classes for Android applications using Jetpack Compose. The package includes several composables such as `Box`, `Column`, `Row`, and `FlowRow` which can be used to create different types of layouts. It also includes a `BackHandler` class that allows developers to handle back button presses in their apps. Additionally,</t>
        </is>
      </c>
      <c r="I2516" t="n">
        <v>0.0039</v>
      </c>
      <c r="J2516" t="n">
        <v>0.0615</v>
      </c>
      <c r="K2516" t="n">
        <v>0.1172</v>
      </c>
      <c r="L2516" t="inlineStr">
        <is>
          <t>The provided code is part of a Composable function that creates a screen for displaying posts in WordPress Android app. It uses various Compose UI elements such as Column, Row, Box, Spacer, and FlowRow to layout the post content. The function also includes animations using the animateFloat() method from the rememberInfiniteTransition(), infiniteRepeatable(), and tween</t>
        </is>
      </c>
      <c r="M2516" t="n">
        <v>0.0034</v>
      </c>
      <c r="N2516" t="n">
        <v>0.0645</v>
      </c>
      <c r="O2516" t="n">
        <v>0.0794</v>
      </c>
    </row>
    <row r="2517">
      <c r="A2517" t="inlineStr">
        <is>
          <t>wordpress</t>
        </is>
      </c>
      <c r="B2517" t="inlineStr">
        <is>
          <t>WordPress/src/main/java/org/wordpress/android/ui/postsrs/screens/PostRsTabListScreen.kt</t>
        </is>
      </c>
      <c r="C2517">
        <f>HYPERLINK("https://github.com/wordpress-mobile/WordPress-Android/blob/master/WordPress/src/main/java/org/wordpress/android/ui/postsrs/screens/PostRsTabListScreen.kt")</f>
        <v/>
      </c>
      <c r="D2517" t="inlineStr">
        <is>
          <t>This is a Kotlin file that defines a Composable function called `PostListScreen`. The function takes in no arguments and returns a `LazyColumn` with a `CircularProgressIndicator` and a `LazyColumn` inside it. The inner `LazyColumn` has a `header` property set to a `Column` with two `Text` elements and a `footer</t>
        </is>
      </c>
      <c r="E2517" t="n">
        <v>0.0045</v>
      </c>
      <c r="F2517" t="n">
        <v>0.1071</v>
      </c>
      <c r="G2517" t="n">
        <v>0.125</v>
      </c>
      <c r="H2517" t="inlineStr">
        <is>
          <t>This is a Kotlin code for a mobile app using Compose UI library in Android Studio. The code defines a Composable function called "PostScreen" that displays a list of posts from a WordPress blog on the screen. It also includes a pull-to-refresh feature to update the post list when new content is available. The code uses various composables such as Box, Column,</t>
        </is>
      </c>
      <c r="I2517" t="n">
        <v>0.0029</v>
      </c>
      <c r="J2517" t="n">
        <v>0.0556</v>
      </c>
      <c r="K2517" t="n">
        <v>0.0746</v>
      </c>
      <c r="L2517" t="inlineStr">
        <is>
          <t>The provided code is part of a Compose for Desktop application that displays a list of posts using a LazyColumn layout. It imports various Composable functions from the AndroidX Foundation library, including Arrangement, Box, Column, Spacer, fillMaxSize, height, padding, size, items, rememberScrollState, verticalScroll, and MaterialTheme. The code also uses</t>
        </is>
      </c>
      <c r="M2517" t="n">
        <v>0.0037</v>
      </c>
      <c r="N2517" t="n">
        <v>0.0702</v>
      </c>
      <c r="O2517" t="n">
        <v>0.08260000000000001</v>
      </c>
    </row>
    <row r="2518">
      <c r="A2518" t="inlineStr">
        <is>
          <t>wordpress</t>
        </is>
      </c>
      <c r="B2518" t="inlineStr">
        <is>
          <t>WordPress/src/main/java/org/wordpress/android/ui/postsrs/screens/PostRsListScreen.kt</t>
        </is>
      </c>
      <c r="C2518">
        <f>HYPERLINK("https://github.com/wordpress-mobile/WordPress-Android/blob/master/WordPress/src/main/java/org/wordpress/android/ui/postsrs/screens/PostRsListScreen.kt")</f>
        <v/>
      </c>
      <c r="D2518" t="inlineStr">
        <is>
          <t>This is a Kotlin file that defines a Composable function called `PostScreen` which displays a list of posts in a horizontal pager. The function takes two parameters: `postList` (a list of post objects), and `onPostClick` (a lambda function to be executed when a post is clicked).
The function first declares several variables and functions used throughout the</t>
        </is>
      </c>
      <c r="E2518" t="n">
        <v>0.0038</v>
      </c>
      <c r="F2518" t="n">
        <v>0.09229999999999999</v>
      </c>
      <c r="G2518" t="n">
        <v>0.1163</v>
      </c>
      <c r="H2518" t="inlineStr">
        <is>
          <t>This is a Java package containing Android-specific UI components for a WordPress app. The package imports various dependencies from the Compose library, including foundation layouts, paging, keyboard actions, and material icons. It also defines several composable functions that use these imported libraries to create custom views and interactions. The README provides an overview of the project's purpose and complexity,</t>
        </is>
      </c>
      <c r="I2518" t="n">
        <v>0.0037</v>
      </c>
      <c r="J2518" t="n">
        <v>0.08699999999999999</v>
      </c>
      <c r="K2518" t="n">
        <v>0.1145</v>
      </c>
      <c r="L2518" t="inlineStr">
        <is>
          <t>The provided code is part of a Android app's UI module for displaying posts. It uses Compose UI framework to create a horizontal pager that displays a list of post cards. Each card has a title, author name, and a search bar. The user can swipe left or right to navigate between different posts. The code also includes a back button, add button, and close button</t>
        </is>
      </c>
      <c r="M2518" t="n">
        <v>0.0033</v>
      </c>
      <c r="N2518" t="n">
        <v>0.0533</v>
      </c>
      <c r="O2518" t="n">
        <v>0.1087</v>
      </c>
    </row>
    <row r="2519">
      <c r="A2519" t="inlineStr">
        <is>
          <t>wordpress</t>
        </is>
      </c>
      <c r="B2519" t="inlineStr">
        <is>
          <t>WordPress/src/main/java/org/wordpress/android/ui/postsrs/screens/PostRsBadges.kt</t>
        </is>
      </c>
      <c r="C2519">
        <f>HYPERLINK("https://github.com/wordpress-mobile/WordPress-Android/blob/master/WordPress/src/main/java/org/wordpress/android/ui/postsrs/screens/PostRsBadges.kt")</f>
        <v/>
      </c>
      <c r="D2519" t="inlineStr">
        <is>
          <t>The `BadgeRow` function is a composable that displays a row of badges with the given list of labels. It uses the `FlowRow` layout to arrange the badges horizontally, and each badge is represented by a `Text` element with the corresponding label resource ID. The badges are spaced evenly apart using the `horizontalArrangement`</t>
        </is>
      </c>
      <c r="E2519" t="n">
        <v>0.0035</v>
      </c>
      <c r="F2519" t="n">
        <v>0.0667</v>
      </c>
      <c r="G2519" t="n">
        <v>0.0806</v>
      </c>
      <c r="H2519" t="inlineStr">
        <is>
          <t>This is a Kotlin file that defines a Composable function called `BadgeRow`. The function takes in a list of integers as input and displays them as a row of badges using the Compose UI framework for Android. Each badge is represented by a `Text` element with a specific font size and color scheme. The function also uses other composables such as `FlowRow`</t>
        </is>
      </c>
      <c r="I2519" t="n">
        <v>0.0035</v>
      </c>
      <c r="J2519" t="n">
        <v>0.0857</v>
      </c>
      <c r="K2519" t="n">
        <v>0.1119</v>
      </c>
      <c r="L2519" t="inlineStr">
        <is>
          <t>The provided code is a part of a Composable function named "BadgeRow" that displays a list of badges as a row of icons. It uses the Android Compose UI library to create the layout and styling for each badge. The function takes a list of integer resource IDs representing the labels for each badge, and applies them to a series of `Text` composables</t>
        </is>
      </c>
      <c r="M2519" t="n">
        <v>0.0029</v>
      </c>
      <c r="N2519" t="n">
        <v>0.0563</v>
      </c>
      <c r="O2519" t="n">
        <v>0.0741</v>
      </c>
    </row>
    <row r="2520">
      <c r="A2520" t="inlineStr">
        <is>
          <t>wordpress</t>
        </is>
      </c>
      <c r="B2520" t="inlineStr">
        <is>
          <t>WordPress/src/main/java/org/wordpress/android/ui/postsrs/terms/TermSelectionModels.kt</t>
        </is>
      </c>
      <c r="C2520">
        <f>HYPERLINK("https://github.com/wordpress-mobile/WordPress-Android/blob/master/WordPress/src/main/java/org/wordpress/android/ui/postsrs/terms/TermSelectionModels.kt")</f>
        <v/>
      </c>
      <c r="D2520" t="inlineStr">
        <is>
          <t>This code defines several classes and interfaces related to selecting terms from a list. The `SelectableTerm` class represents a term that can be selected or deselected, with properties such as its ID, name, level, and whether it's currently selected. The `TermSelectionUiState` class represents the state of the UI for selecting terms, including whether it's loading,</t>
        </is>
      </c>
      <c r="E2520" t="n">
        <v>0.004</v>
      </c>
      <c r="F2520" t="n">
        <v>0.0615</v>
      </c>
      <c r="G2520" t="n">
        <v>0.07870000000000001</v>
      </c>
      <c r="H2520" t="inlineStr">
        <is>
          <t>This code defines several classes and interfaces related to selecting terms in WordPress Android app. The `SelectableTerm` class represents a term with its ID, name, level, and whether it's currently selected or not. The `TermSelectionUiState` class stores information about the current state of the selection process, including loading status, searching status, and error messages. It also includes</t>
        </is>
      </c>
      <c r="I2520" t="n">
        <v>0.0038</v>
      </c>
      <c r="J2520" t="n">
        <v>0.0606</v>
      </c>
      <c r="K2520" t="n">
        <v>0.0775</v>
      </c>
      <c r="L2520" t="inlineStr">
        <is>
          <t>The code defines a `SelectableTerm` data class that represents a term with an ID, name, level, and selection status (whether it's selected or not). It also defines a `TermSelectionUiState` data class that stores various UI state related to the term selection process, including loading status, searching status, loading more status, error messages, and a list of</t>
        </is>
      </c>
      <c r="M2520" t="n">
        <v>0.0033</v>
      </c>
      <c r="N2520" t="n">
        <v>0.0308</v>
      </c>
      <c r="O2520" t="n">
        <v>0.0391</v>
      </c>
    </row>
    <row r="2521">
      <c r="A2521" t="inlineStr">
        <is>
          <t>wordpress</t>
        </is>
      </c>
      <c r="B2521" t="inlineStr">
        <is>
          <t>WordPress/src/main/java/org/wordpress/android/ui/postsrs/terms/TermSelectionScreen.kt</t>
        </is>
      </c>
      <c r="C2521">
        <f>HYPERLINK("https://github.com/wordpress-mobile/WordPress-Android/blob/master/WordPress/src/main/java/org/wordpress/android/ui/postsrs/terms/TermSelectionScreen.kt")</f>
        <v/>
      </c>
      <c r="D2521" t="inlineStr">
        <is>
          <t>This is a Kotlin Android project that provides a UI for displaying a list of terms and allowing users to search for specific terms or add new terms to the list. The app uses Compose UI to build its user interface and Material Design 3 (MD3) icons for various elements such as buttons, checkboxes, and progress indicators. The codebase includes several files related to the implementation</t>
        </is>
      </c>
      <c r="E2521" t="n">
        <v>0.0033</v>
      </c>
      <c r="F2521" t="n">
        <v>0.0541</v>
      </c>
      <c r="G2521" t="n">
        <v>0.1449</v>
      </c>
      <c r="H2521" t="inlineStr">
        <is>
          <t>This is a Java package containing Android Compose UI components for displaying a list of items with checkboxes and a search bar. The package also includes a circular progress indicator and an alert dialog component. The complexity of the code is O(N), where N is the number of items in the list. The comments indicate that this is the initial codebase commit and that it implements core algorithms. The</t>
        </is>
      </c>
      <c r="I2521" t="n">
        <v>0.0066</v>
      </c>
      <c r="J2521" t="n">
        <v>0.0769</v>
      </c>
      <c r="K2521" t="n">
        <v>0.2238</v>
      </c>
      <c r="L2521" t="inlineStr">
        <is>
          <t>The provided code is part of a WordPress Android app's UI module, specifically in the `org.wordpress.android.ui.postsrs.terms` package. It appears to be responsible for displaying a list of terms related to a specific post, allowing users to select one or more terms from a dropdown menu, and adding new terms if necessary. The code uses various Compose</t>
        </is>
      </c>
      <c r="M2521" t="n">
        <v>0.0033</v>
      </c>
      <c r="N2521" t="n">
        <v>0.0571</v>
      </c>
      <c r="O2521" t="n">
        <v>0.0781</v>
      </c>
    </row>
    <row r="2522">
      <c r="A2522" t="inlineStr">
        <is>
          <t>wordpress</t>
        </is>
      </c>
      <c r="B2522" t="inlineStr">
        <is>
          <t>WordPress/src/main/java/org/wordpress/android/ui/postsrs/terms/TermSelectionActivity.kt</t>
        </is>
      </c>
      <c r="C2522">
        <f>HYPERLINK("https://github.com/wordpress-mobile/WordPress-Android/blob/master/WordPress/src/main/java/org/wordpress/android/ui/postsrs/terms/TermSelectionActivity.kt")</f>
        <v/>
      </c>
      <c r="D2522" t="inlineStr">
        <is>
          <t>This is a Kotlin Android app that uses the Hilt dependency injection framework to inject a `TermSelectionViewModel` into the `TermSelectionActivity`. The activity's layout is defined in the `app/src/main/res/layout/term_selection_activity.xml` file using the Jetpack Compose library.
The `onCreate()` method initializes the activity'</t>
        </is>
      </c>
      <c r="E2522" t="n">
        <v>0.0046</v>
      </c>
      <c r="F2522" t="n">
        <v>0.0351</v>
      </c>
      <c r="G2522" t="n">
        <v>0.0893</v>
      </c>
      <c r="H2522" t="inlineStr">
        <is>
          <t>This is a Kotlin Android project that uses the Hilt dependency injection framework to inject dependencies into the `TermSelectionActivity` class. The activity is annotated with `@AndroidEntryPoint`, which indicates that it should be managed by the Hilt dependency injection system.
The `onCreate()` method is called when the activity is created, and it sets up the UI for the term selection screen</t>
        </is>
      </c>
      <c r="I2522" t="n">
        <v>0.0036</v>
      </c>
      <c r="J2522" t="n">
        <v>0.0588</v>
      </c>
      <c r="K2522" t="n">
        <v>0.1136</v>
      </c>
      <c r="L2522" t="inlineStr">
        <is>
          <t>The provided code is part of an Android app that allows users to select terms for a specific purpose. It uses the Hilt dependency injection framework and the Compose UI library to create a user interface. The activity receives a context object as a parameter in its `onCreate` method and uses it to initialize the application theme and set up the content view. It also declares a variable called `view</t>
        </is>
      </c>
      <c r="M2522" t="n">
        <v>0.0026</v>
      </c>
      <c r="N2522" t="n">
        <v>0.0256</v>
      </c>
      <c r="O2522" t="n">
        <v>0.0704</v>
      </c>
    </row>
    <row r="2523">
      <c r="A2523" t="inlineStr">
        <is>
          <t>wordpress</t>
        </is>
      </c>
      <c r="B2523" t="inlineStr">
        <is>
          <t>WordPress/src/main/java/org/wordpress/android/ui/postsrs/terms/TermSelectionViewModel.kt</t>
        </is>
      </c>
      <c r="C2523">
        <f>HYPERLINK("https://github.com/wordpress-mobile/WordPress-Android/blob/master/WordPress/src/main/java/org/wordpress/android/ui/postsrs/terms/TermSelectionViewModel.kt")</f>
        <v/>
      </c>
      <c r="D2523" t="inlineStr">
        <is>
          <t>This is a Kotlin file that defines a `TermsViewModel` class as part of a WordPress Android app. The class extends `ViewModel`, which means it can be used to store data and logic for a UI component in a way that allows it to survive configuration changes such as screen rotations. It also uses Hilt dependency injection to inject instances of other classes into its constructor.</t>
        </is>
      </c>
      <c r="E2523" t="n">
        <v>0.0033</v>
      </c>
      <c r="F2523" t="n">
        <v>0.0822</v>
      </c>
      <c r="G2523" t="n">
        <v>0.1095</v>
      </c>
      <c r="H2523" t="inlineStr">
        <is>
          <t>This is a Kotlin Android app that uses the Hilt dependency injection framework to manage dependencies between classes. The main class, `TermsViewModel`, extends `ViewModel` and has several responsibilities, including managing the state of the view model using a `MutableStateFlow`. It also handles network requests using the `PostRsRestClient` class, which is injected by H</t>
        </is>
      </c>
      <c r="I2523" t="n">
        <v>0.0041</v>
      </c>
      <c r="J2523" t="n">
        <v>0.06560000000000001</v>
      </c>
      <c r="K2523" t="n">
        <v>0.12</v>
      </c>
      <c r="L2523" t="inlineStr">
        <is>
          <t>The provided code is part of a ViewModel class for a WordPress Android app. It handles retrieving data from a REST API using the PostRSRestClient class and updates a StateFlow object with the retrieved data. The view model also manages the network connection and error handling, as well as provides methods for selecting a site and updating the UI when necessary.</t>
        </is>
      </c>
      <c r="M2523" t="n">
        <v>0.003</v>
      </c>
      <c r="N2523" t="n">
        <v>0.029</v>
      </c>
      <c r="O2523" t="n">
        <v>0.0752</v>
      </c>
    </row>
    <row r="2524">
      <c r="A2524" t="inlineStr">
        <is>
          <t>wordpress</t>
        </is>
      </c>
      <c r="B2524" t="inlineStr">
        <is>
          <t>WordPress/src/main/java/org/wordpress/android/ui/postsrs/data/WpServiceProvider.kt</t>
        </is>
      </c>
      <c r="C2524">
        <f>HYPERLINK("https://github.com/wordpress-mobile/WordPress-Android/blob/master/WordPress/src/main/java/org/wordpress/android/ui/postsrs/data/WpServiceProvider.kt")</f>
        <v/>
      </c>
      <c r="D2524" t="inlineStr">
        <is>
          <t>This is a Kotlin class that creates and caches WordPress service instances using Hilt dependency injection. It uses the `WpService` interface to provide access to various WordPress APIs. The class takes in several dependencies, including a context, a network availability provider, a database change notifier, a WordPress API cache, and a request executor. It then constructs a</t>
        </is>
      </c>
      <c r="E2524" t="n">
        <v>0.0038</v>
      </c>
      <c r="F2524" t="n">
        <v>0.0615</v>
      </c>
      <c r="G2524" t="n">
        <v>0.1163</v>
      </c>
      <c r="H2524" t="inlineStr">
        <is>
          <t>This is a Kotlin file that defines a class called `WpServiceRepository` which provides access to various WordPress-related services. The class has several dependencies, including a `Context`, a `WpApiClientDelegate`, a `WpApiMiddlewarePipeline`, and a `WpAppNotifier`. It also uses several other classes from the `org.wordpress.</t>
        </is>
      </c>
      <c r="I2524" t="n">
        <v>0.0052</v>
      </c>
      <c r="J2524" t="n">
        <v>0.0769</v>
      </c>
      <c r="K2524" t="n">
        <v>0.1316</v>
      </c>
      <c r="L2524" t="inlineStr">
        <is>
          <t>The provided code defines a class called `WpServiceFactory` that creates and caches instances of the `WpService` class. It is annotated as `@Singleton`, which means that only one instance of this class will be created during the application's lifecycle.
The `WpServiceFactory` constructor takes a number of dependencies as arguments, including an `Application</t>
        </is>
      </c>
      <c r="M2524" t="n">
        <v>0.0036</v>
      </c>
      <c r="N2524" t="n">
        <v>0.0333</v>
      </c>
      <c r="O2524" t="n">
        <v>0.0813</v>
      </c>
    </row>
    <row r="2525">
      <c r="A2525" t="inlineStr">
        <is>
          <t>wordpress</t>
        </is>
      </c>
      <c r="B2525" t="inlineStr">
        <is>
          <t>WordPress/src/main/java/org/wordpress/android/ui/postsrs/data/PostRsRestClient.kt</t>
        </is>
      </c>
      <c r="C2525">
        <f>HYPERLINK("https://github.com/wordpress-mobile/WordPress-Android/blob/master/WordPress/src/main/java/org/wordpress/android/ui/postsrs/data/PostRsRestClient.kt")</f>
        <v/>
      </c>
      <c r="D2525" t="inlineStr">
        <is>
          <t>The provided code appears to be a Kotlin implementation of a WordPress API client for Android devices. It defines several classes and interfaces related to the WordPress REST API, including `WpApiClient`, `WpRequestResult`, and `SiteModel`.
The `WpApiClient` class is responsible for making requests to the WordPress REST API and returning the results in a</t>
        </is>
      </c>
      <c r="E2525" t="n">
        <v>0.0035</v>
      </c>
      <c r="F2525" t="n">
        <v>0.06560000000000001</v>
      </c>
      <c r="G2525" t="n">
        <v>0.08</v>
      </c>
      <c r="H2525" t="inlineStr">
        <is>
          <t>This is a Java Android project that provides a set of classes for interacting with WordPress sites using the REST API. The package name is `org.wordpress.android.ui.postsrs.data`, which suggests that it is related to data retrieval or manipulation from a WordPress site.
The main class in this package, `WordpressRepository`, has several methods for</t>
        </is>
      </c>
      <c r="I2525" t="n">
        <v>0.0035</v>
      </c>
      <c r="J2525" t="n">
        <v>0.0308</v>
      </c>
      <c r="K2525" t="n">
        <v>0.0806</v>
      </c>
      <c r="L2525" t="inlineStr">
        <is>
          <t>The provided code is part of a WordPress Android app's data module, specifically for retrieving posts and their related metadata from the WordPress REST API. It uses Dagger Hilt for dependency injection and provides methods for fetching post formats, terms (e.g., categories), media items, themes, users, and other relevant data.</t>
        </is>
      </c>
      <c r="M2525" t="n">
        <v>0.0037</v>
      </c>
      <c r="N2525" t="n">
        <v>0.0667</v>
      </c>
      <c r="O2525" t="n">
        <v>0.082</v>
      </c>
    </row>
    <row r="2526">
      <c r="A2526" t="inlineStr">
        <is>
          <t>wordpress</t>
        </is>
      </c>
      <c r="B2526" t="inlineStr">
        <is>
          <t>WordPress/src/main/java/org/wordpress/android/ui/publicize/PublicizeTwitterDeprecationNoticeConstants.kt</t>
        </is>
      </c>
      <c r="C2526">
        <f>HYPERLINK("https://github.com/wordpress-mobile/WordPress-Android/blob/master/WordPress/src/main/java/org/wordpress/android/ui/publicize/PublicizeTwitterDeprecationNoticeConstants.kt")</f>
        <v/>
      </c>
      <c r="D2526" t="inlineStr">
        <is>
          <t>The provided code is part of a WordPress Android app's publicize module, which handles Twitter auto-sharing functionality. It defines a constant variable `TWITTER_DEPRECATION_FIND_OUT_MORE_URL` with a value set to a URL that provides more information about why Twitter auto-sharing is being deprecated. This constant is used in the</t>
        </is>
      </c>
      <c r="E2526" t="n">
        <v>0.0039</v>
      </c>
      <c r="F2526" t="n">
        <v>0.0635</v>
      </c>
      <c r="G2526" t="n">
        <v>0.08400000000000001</v>
      </c>
      <c r="H2526" t="inlineStr">
        <is>
          <t>This is a Java package named `org.wordpress.android.ui.publicize` that contains constants used in the Android app's publicize feature. The package includes one constant named `TWITTER_DEPRECATION_FIND_OUT_MORE_URL`, which has a value set to a URL pointing to a blog post about why Twitter auto-sharing will</t>
        </is>
      </c>
      <c r="I2526" t="n">
        <v>0.0044</v>
      </c>
      <c r="J2526" t="n">
        <v>0.0328</v>
      </c>
      <c r="K2526" t="n">
        <v>0.0877</v>
      </c>
      <c r="L2526" t="inlineStr">
        <is>
          <t>The provided code is part of a WordPress Android app's publicize package. It defines a constant value for Twitter deprecation find out more URL, which links to a blog post explaining why Twitter auto-sharing is ending.</t>
        </is>
      </c>
      <c r="M2526" t="n">
        <v>0</v>
      </c>
      <c r="N2526" t="n">
        <v>0</v>
      </c>
      <c r="O2526" t="n">
        <v>0.0463</v>
      </c>
    </row>
    <row r="2527">
      <c r="A2527" t="inlineStr">
        <is>
          <t>wordpress</t>
        </is>
      </c>
      <c r="B2527" t="inlineStr">
        <is>
          <t>WordPress/src/main/java/org/wordpress/android/ui/publicize/PublicizeBaseFragment.java</t>
        </is>
      </c>
      <c r="C2527">
        <f>HYPERLINK("https://github.com/wordpress-mobile/WordPress-Android/blob/master/WordPress/src/main/java/org/wordpress/android/ui/publicize/PublicizeBaseFragment.java")</f>
        <v/>
      </c>
      <c r="D2527" t="inlineStr">
        <is>
          <t>This is a Java class called `PublicizeBaseFragment` that extends the Android `Fragment` class. It has several methods to interact with the fragment's toolbar, including setting its title and navigation icon. The `getToolbar()` method returns the toolbar view in the activity, or `null` if it cannot be found. The `setTitle()` and `setNavigationIcon()` methods</t>
        </is>
      </c>
      <c r="E2527" t="n">
        <v>0.0042</v>
      </c>
      <c r="F2527" t="n">
        <v>0.06560000000000001</v>
      </c>
      <c r="G2527" t="n">
        <v>0.0806</v>
      </c>
      <c r="H2527" t="inlineStr">
        <is>
          <t>This is a Java class named `PublicizeBaseFragment` that inherits from the Android Support Library's `Fragment` class. The class provides several methods for working with toolbars in Android applications. These include:
* `getToolbar()`: Returns a reference to the fragment's toolbar view. If the activity does not have a toolbar, this method returns null.</t>
        </is>
      </c>
      <c r="I2527" t="n">
        <v>0.0035</v>
      </c>
      <c r="J2527" t="n">
        <v>0.0328</v>
      </c>
      <c r="K2527" t="n">
        <v>0.0806</v>
      </c>
      <c r="L2527" t="inlineStr">
        <is>
          <t>The provided code is part of a Java Android project and defines a class called `PublicizeBaseFragment`. It inherits from the `Fragment` class and has three methods: `getToolbar()`, `setTitle()`, and `setNavigationIcon()`.
The `getToolbar()` method returns a `Toolbar` object that represents the fragment's toolbar. If the activity hosting the</t>
        </is>
      </c>
      <c r="M2527" t="n">
        <v>0.0039</v>
      </c>
      <c r="N2527" t="n">
        <v>0.0357</v>
      </c>
      <c r="O2527" t="n">
        <v>0.08400000000000001</v>
      </c>
    </row>
    <row r="2528">
      <c r="A2528" t="inlineStr">
        <is>
          <t>wordpress</t>
        </is>
      </c>
      <c r="B2528" t="inlineStr">
        <is>
          <t>WordPress/src/main/java/org/wordpress/android/ui/publicize/PublicizeTwitterDeprecationNoticeWarningView.kt</t>
        </is>
      </c>
      <c r="C2528">
        <f>HYPERLINK("https://github.com/wordpress-mobile/WordPress-Android/blob/master/WordPress/src/main/java/org/wordpress/android/ui/publicize/PublicizeTwitterDeprecationNoticeWarningView.kt")</f>
        <v/>
      </c>
      <c r="D2528" t="inlineStr">
        <is>
          <t>This is a custom view for Android that displays a warning message to users about the deprecation of Twitter as a publishing platform in WordPress. The view consists of a header with a title and a description, both of which can be set using the `setTitle` and `setDescription` methods respectively. The description includes a link to learn more about the change and how to migrate to another</t>
        </is>
      </c>
      <c r="E2528" t="n">
        <v>0.0032</v>
      </c>
      <c r="F2528" t="n">
        <v>0.0533</v>
      </c>
      <c r="G2528" t="n">
        <v>0.1079</v>
      </c>
      <c r="H2528" t="inlineStr">
        <is>
          <t>This is a Kotlin class that extends from `ConstraintLayout` in Android. It has one required parameterized constructor with three parameters: `context`, `attrs`, and `defStyleAttr`. The class also has one optional constructor without any parameters.
The class's primary purpose is to display a warning message about the deprecation of Twitter as a publishing platform for WordPress.</t>
        </is>
      </c>
      <c r="I2528" t="n">
        <v>0.004</v>
      </c>
      <c r="J2528" t="n">
        <v>0.0625</v>
      </c>
      <c r="K2528" t="n">
        <v>0.07870000000000001</v>
      </c>
      <c r="L2528" t="inlineStr">
        <is>
          <t>The `PublicizeTwitterDeprecationNoticeWarningView` class is a custom view that displays a warning message about the deprecation of Twitter integration in WordPress. It is used in the Android app for WordPress.
The view consists of two TextViews: one for the header title and another for the description. The title is set using the `setTitle()` method,</t>
        </is>
      </c>
      <c r="M2528" t="n">
        <v>0.0035</v>
      </c>
      <c r="N2528" t="n">
        <v>0.0328</v>
      </c>
      <c r="O2528" t="n">
        <v>0.08</v>
      </c>
    </row>
    <row r="2529">
      <c r="A2529" t="inlineStr">
        <is>
          <t>wordpress</t>
        </is>
      </c>
      <c r="B2529" t="inlineStr">
        <is>
          <t>WordPress/src/main/java/org/wordpress/android/ui/publicize/PublicizeAccountChooserListAdapter.java</t>
        </is>
      </c>
      <c r="C2529">
        <f>HYPERLINK("https://github.com/wordpress-mobile/WordPress-Android/blob/master/WordPress/src/main/java/org/wordpress/android/ui/publicize/PublicizeAccountChooserListAdapter.java")</f>
        <v/>
      </c>
      <c r="D2529" t="inlineStr">
        <is>
          <t>This is a Java file that defines a custom adapter for a `RecyclerView` component in Android. The adapter takes a list of `PublicizeConnection` objects as input and displays them in a list view with an image, title, and description for each item. It also includes a radio button to select one of the items.
The adapter has several methods, including `onCreateViewHolder`,</t>
        </is>
      </c>
      <c r="E2529" t="n">
        <v>0.0036</v>
      </c>
      <c r="F2529" t="n">
        <v>0.058</v>
      </c>
      <c r="G2529" t="n">
        <v>0.0752</v>
      </c>
      <c r="H2529" t="inlineStr">
        <is>
          <t>This is a Java Android application that uses the WordPress API to display a list of publicize connections for a user. The app allows users to select one or more publicize connections from this list and perform actions on them (e.g., connect, disconnect). The app also includes features such as image caching and error handling.
The main activity of the app is responsible for displaying</t>
        </is>
      </c>
      <c r="I2529" t="n">
        <v>0.0033</v>
      </c>
      <c r="J2529" t="n">
        <v>0.0541</v>
      </c>
      <c r="K2529" t="n">
        <v>0.1095</v>
      </c>
      <c r="L2529" t="inlineStr">
        <is>
          <t>The provided code is for a custom adapter used in Android development. It is responsible for displaying a list of publicize accounts using a recycler view. The adapter takes a list of `PublicizeConnection` objects as input and displays them in a list format. Each item in the list consists of an image, title, description, and radio button. When the user selects an account, the radio</t>
        </is>
      </c>
      <c r="M2529" t="n">
        <v>0.0028</v>
      </c>
      <c r="N2529" t="n">
        <v>0.0274</v>
      </c>
      <c r="O2529" t="n">
        <v>0.073</v>
      </c>
    </row>
    <row r="2530">
      <c r="A2530" t="inlineStr">
        <is>
          <t>wordpress</t>
        </is>
      </c>
      <c r="B2530" t="inlineStr">
        <is>
          <t>WordPress/src/main/java/org/wordpress/android/ui/publicize/PublicizeErrorDialogFragment.kt</t>
        </is>
      </c>
      <c r="C2530">
        <f>HYPERLINK("https://github.com/wordpress-mobile/WordPress-Android/blob/master/WordPress/src/main/java/org/wordpress/android/ui/publicize/PublicizeErrorDialogFragment.kt")</f>
        <v/>
      </c>
      <c r="D2530" t="inlineStr">
        <is>
          <t>This code defines a `PublicizeErrorDialogFragment` class that extends Android's `DialogFragment`. The fragment is used to display an error message when a user tries to share a post on WordPress.com using the "Facebook" option, but they do not have any available Facebook pages associated with their account.
The `onCreateDialog()` method is overridden to create a</t>
        </is>
      </c>
      <c r="E2530" t="n">
        <v>0.0034</v>
      </c>
      <c r="F2530" t="n">
        <v>0.0312</v>
      </c>
      <c r="G2530" t="n">
        <v>0.0794</v>
      </c>
      <c r="H2530" t="inlineStr">
        <is>
          <t>The provided code defines a `PublicizeErrorDialogFragment` class that extends Android's `DialogFragment`. When creating the dialog, it retrieves the reason for the error from the fragment's arguments using `arguments?.let { ... }`, which is then used to determine the specific behavior of the dialog. If the reason is related to sharing to Facebook and there are no available Facebook P</t>
        </is>
      </c>
      <c r="I2530" t="n">
        <v>0.0031</v>
      </c>
      <c r="J2530" t="n">
        <v>0.0299</v>
      </c>
      <c r="K2530" t="n">
        <v>0.07630000000000001</v>
      </c>
      <c r="L2530" t="inlineStr">
        <is>
          <t>The `PublicizeErrorDialogFragment` class creates a dialog that displays an error message when a user tries to share content to Facebook from within the WordPress app but does not have any available Facebook Pages. The dialog is created using the `MaterialAlertDialogBuilder` class and includes a button to open a link to the Facebook support page for more information.</t>
        </is>
      </c>
      <c r="M2530" t="n">
        <v>0.0032</v>
      </c>
      <c r="N2530" t="n">
        <v>0.0308</v>
      </c>
      <c r="O2530" t="n">
        <v>0.0775</v>
      </c>
    </row>
    <row r="2531">
      <c r="A2531" t="inlineStr">
        <is>
          <t>wordpress</t>
        </is>
      </c>
      <c r="B2531" t="inlineStr">
        <is>
          <t>WordPress/src/main/java/org/wordpress/android/ui/publicize/PublicizeListViewModel.kt</t>
        </is>
      </c>
      <c r="C2531">
        <f>HYPERLINK("https://github.com/wordpress-mobile/WordPress-Android/blob/master/WordPress/src/main/java/org/wordpress/android/ui/publicize/PublicizeListViewModel.kt")</f>
        <v/>
      </c>
      <c r="D2531" t="inlineStr">
        <is>
          <t>This is a Kotlin class that represents a view model for a list of publicize services in WordPress Android app. It has several responsibilities, including:
* Loading and updating the list of publicize services from the server using the `publicizeUpdateServicesV2` service.
* Handling events related to the list of publicize services, such as adding or</t>
        </is>
      </c>
      <c r="E2531" t="n">
        <v>0.004</v>
      </c>
      <c r="F2531" t="n">
        <v>0.06560000000000001</v>
      </c>
      <c r="G2531" t="n">
        <v>0.1181</v>
      </c>
      <c r="H2531" t="inlineStr">
        <is>
          <t>This is a Kotlin Android project that uses the MVP (Model-View-Presenter) architecture to implement a list view for displaying publicize connections. The project has several dependencies on other libraries, including the WordPress Android SDK and the Coroutines library.
The `PublicizeListViewModel` class is the main component of this project, which provides a presenter interface for</t>
        </is>
      </c>
      <c r="I2531" t="n">
        <v>0.004</v>
      </c>
      <c r="J2531" t="n">
        <v>0.09379999999999999</v>
      </c>
      <c r="K2531" t="n">
        <v>0.1587</v>
      </c>
      <c r="L2531" t="inlineStr">
        <is>
          <t>The `PublicizeListViewModel` class is responsible for managing the list of publicize services available for a WordPress site. It exposes a LiveData object called `publicizeConnections`, which holds a list of `PublicizeConnection` objects representing each publicize service. Additionally, it provides methods for updating the list of publicize connections and handling events related to publicize services.</t>
        </is>
      </c>
      <c r="M2531" t="n">
        <v>0.0035</v>
      </c>
      <c r="N2531" t="n">
        <v>0.0328</v>
      </c>
      <c r="O2531" t="n">
        <v>0.04</v>
      </c>
    </row>
    <row r="2532">
      <c r="A2532" t="inlineStr">
        <is>
          <t>wordpress</t>
        </is>
      </c>
      <c r="B2532" t="inlineStr">
        <is>
          <t>WordPress/src/main/java/org/wordpress/android/ui/publicize/PublicizeConstants.java</t>
        </is>
      </c>
      <c r="C2532">
        <f>HYPERLINK("https://github.com/wordpress-mobile/WordPress-Android/blob/master/WordPress/src/main/java/org/wordpress/android/ui/publicize/PublicizeConstants.java")</f>
        <v/>
      </c>
      <c r="D2532" t="inlineStr">
        <is>
          <t>This is a Java file containing constants for the Publicize feature in WordPress Android app. The file defines several strings that represent different types of services (e.g., Google Plus, Facebook, Twitter, LinkedIn), as well as enums representing actions that can be taken with these connections (e.g., connect, disconnect, reconnect). Additionally, it includes some utility methods to</t>
        </is>
      </c>
      <c r="E2532" t="n">
        <v>0.0033</v>
      </c>
      <c r="F2532" t="n">
        <v>0.0303</v>
      </c>
      <c r="G2532" t="n">
        <v>0.0391</v>
      </c>
      <c r="H2532" t="inlineStr">
        <is>
          <t>This is a Java package named `org.wordpress.android.ui.publicize` that contains several constants and enums used in the implementation of the WordPress Android app's publicize feature. The package includes three classes: `PublicizeConstants`, `ConnectAction`, and `PublicizeFacebookSharingSupportLink`.
The `PublicizeConstants` class defines several string</t>
        </is>
      </c>
      <c r="I2532" t="n">
        <v>0.0056</v>
      </c>
      <c r="J2532" t="n">
        <v>0.1154</v>
      </c>
      <c r="K2532" t="n">
        <v>0.1802</v>
      </c>
      <c r="L2532" t="inlineStr">
        <is>
          <t>The `PublicizeConstants` class provides constants for various purposes used throughout the Android app. It defines several strings that represent service IDs, connection IDs, and JSON arrays. Additionally, it includes constants for supported social media platforms such as Google Plus, Facebook, Twitter, and LinkedIn. Finally, it declares an enumeration called `ConnectAction` that represents different actions related to connecting or dis</t>
        </is>
      </c>
      <c r="M2532" t="n">
        <v>0.0031</v>
      </c>
      <c r="N2532" t="n">
        <v>0.0299</v>
      </c>
      <c r="O2532" t="n">
        <v>0.07630000000000001</v>
      </c>
    </row>
    <row r="2533">
      <c r="A2533" t="inlineStr">
        <is>
          <t>wordpress</t>
        </is>
      </c>
      <c r="B2533" t="inlineStr">
        <is>
          <t>WordPress/src/main/java/org/wordpress/android/ui/publicize/PublicizeListFragment.java</t>
        </is>
      </c>
      <c r="C2533">
        <f>HYPERLINK("https://github.com/wordpress-mobile/WordPress-Android/blob/master/WordPress/src/main/java/org/wordpress/android/ui/publicize/PublicizeListFragment.java")</f>
        <v/>
      </c>
      <c r="D2533" t="inlineStr">
        <is>
          <t>This is a Java Android project that implements a RecyclerView with a list of items, each representing a Publicize service on a WordPress site. The app uses the Jetpack Powered Screen model to display the list of services in a scrollable view. When a user clicks on an item in the list, it launches a new activity (WPWebViewActivity) to open the selected Publicize</t>
        </is>
      </c>
      <c r="E2533" t="n">
        <v>0.0034</v>
      </c>
      <c r="F2533" t="n">
        <v>0.0563</v>
      </c>
      <c r="G2533" t="n">
        <v>0.1111</v>
      </c>
      <c r="H2533" t="inlineStr">
        <is>
          <t>This Java code is part of a larger Android project that involves implementing various features related to publicizing content on WordPress sites. The code defines a `PublicizeListAdapter` class that extends the `RecyclerView.Adapter` class and provides a custom adapter for displaying data in a list view. The adapter uses data from the `PublicizeListViewModel` class to populate the list with items representing</t>
        </is>
      </c>
      <c r="I2533" t="n">
        <v>0.0036</v>
      </c>
      <c r="J2533" t="n">
        <v>0.08699999999999999</v>
      </c>
      <c r="K2533" t="n">
        <v>0.1515</v>
      </c>
      <c r="L2533" t="inlineStr">
        <is>
          <t>The provided code is part of a publicize feature for WordPress Android app. It appears to be responsible for displaying a list of publicize services associated with a site, as well as providing actions to perform on those services (e.g., edit, delete). The code uses the Jetpack Powered Screen model and the Publicize Service model to represent these entities. It also utilizes the</t>
        </is>
      </c>
      <c r="M2533" t="n">
        <v>0.0029</v>
      </c>
      <c r="N2533" t="n">
        <v>0.0278</v>
      </c>
      <c r="O2533" t="n">
        <v>0.0741</v>
      </c>
    </row>
    <row r="2534">
      <c r="A2534" t="inlineStr">
        <is>
          <t>wordpress</t>
        </is>
      </c>
      <c r="B2534" t="inlineStr">
        <is>
          <t>WordPress/src/main/java/org/wordpress/android/ui/publicize/PublicizeEvents.java</t>
        </is>
      </c>
      <c r="C2534">
        <f>HYPERLINK("https://github.com/wordpress-mobile/WordPress-Android/blob/master/WordPress/src/main/java/org/wordpress/android/ui/publicize/PublicizeEvents.java")</f>
        <v/>
      </c>
      <c r="D2534" t="inlineStr">
        <is>
          <t>This code defines several classes related to the "Publicize" feature in WordPress Android app. These classes represent events that can be published on the EventBus, which allows other parts of the application to subscribe to them and react accordingly.
The `ConnectionsChanged` class represents an event indicating that the list of connections (e.g., social media accounts) has changed.</t>
        </is>
      </c>
      <c r="E2534" t="n">
        <v>0.0038</v>
      </c>
      <c r="F2534" t="n">
        <v>0.0606</v>
      </c>
      <c r="G2534" t="n">
        <v>0.1163</v>
      </c>
      <c r="H2534" t="inlineStr">
        <is>
          <t>This Java package `org.wordpress.android.ui.publicize` defines several classes that represent events related to the "Publicize" feature in WordPress Android app. These events include changes in the list of connected services (e.g., Twitter, Facebook), completion of actions such as connecting or disconnecting from these services, and failure reasons when performing these actions.
The</t>
        </is>
      </c>
      <c r="I2534" t="n">
        <v>0.0043</v>
      </c>
      <c r="J2534" t="n">
        <v>0.0625</v>
      </c>
      <c r="K2534" t="n">
        <v>0.0813</v>
      </c>
      <c r="L2534" t="inlineStr">
        <is>
          <t>This code defines several events related to the "Publicize" feature in WordPress Android app. It includes three event types: `ConnectionsChanged`, `ActionCompleted`, and `ConnectionFailed`. Each event has a corresponding constructor that takes various parameters such as success status, action type, service name, and failure reason (if applicable). These events can be used by other parts of the application to</t>
        </is>
      </c>
      <c r="M2534" t="n">
        <v>0.0037</v>
      </c>
      <c r="N2534" t="n">
        <v>0.0606</v>
      </c>
      <c r="O2534" t="n">
        <v>0.1154</v>
      </c>
    </row>
    <row r="2535">
      <c r="A2535" t="inlineStr">
        <is>
          <t>wordpress</t>
        </is>
      </c>
      <c r="B2535" t="inlineStr">
        <is>
          <t>WordPress/src/main/java/org/wordpress/android/ui/publicize/PublicizeListActivity.java</t>
        </is>
      </c>
      <c r="C2535">
        <f>HYPERLINK("https://github.com/wordpress-mobile/WordPress-Android/blob/master/WordPress/src/main/java/org/wordpress/android/ui/publicize/PublicizeListActivity.java")</f>
        <v/>
      </c>
      <c r="D2535" t="inlineStr">
        <is>
          <t>This is a Java class that implements the `Activity` interface for displaying the Publicize screen in the WordPress Android app. It extends the `BaseActivity` class and uses the `AndroidX` library to provide support for material design widgets such as the `Toolbar`, `AppBarLayout`, and `ProgressDialog`. The activity also uses the `GreenRobot EventBus` library</t>
        </is>
      </c>
      <c r="E2535" t="n">
        <v>0.0046</v>
      </c>
      <c r="F2535" t="n">
        <v>0.1</v>
      </c>
      <c r="G2535" t="n">
        <v>0.1613</v>
      </c>
      <c r="H2535" t="inlineStr">
        <is>
          <t>This is a Java Android project that consists of several classes and interfaces related to the WordPress mobile app's publicize feature. The main class of interest is `PublicizeActivity`, which extends the `AppCompatActivity` class from the AndroidX library and implements various methods for handling user interactions with the activity's UI.
The project also includes a number of other classes and interfaces</t>
        </is>
      </c>
      <c r="I2535" t="n">
        <v>0.004</v>
      </c>
      <c r="J2535" t="n">
        <v>0.0857</v>
      </c>
      <c r="K2535" t="n">
        <v>0.1136</v>
      </c>
      <c r="L2535" t="inlineStr">
        <is>
          <t>The provided code is part of a WordPress Android app's publicize feature, which allows users to share their posts on various social media platforms. The code defines a fragment that displays a toolbar with options for sharing the post on different platforms. It also includes event listeners for when the user selects one of these options, as well as methods for handling the actual sharing process. Overall,</t>
        </is>
      </c>
      <c r="M2535" t="n">
        <v>0</v>
      </c>
      <c r="N2535" t="n">
        <v>0</v>
      </c>
      <c r="O2535" t="n">
        <v>0.036</v>
      </c>
    </row>
    <row r="2536">
      <c r="A2536" t="inlineStr">
        <is>
          <t>wordpress</t>
        </is>
      </c>
      <c r="B2536" t="inlineStr">
        <is>
          <t>WordPress/src/main/java/org/wordpress/android/ui/publicize/ConnectButton.java</t>
        </is>
      </c>
      <c r="C2536">
        <f>HYPERLINK("https://github.com/wordpress-mobile/WordPress-Android/blob/master/WordPress/src/main/java/org/wordpress/android/ui/publicize/ConnectButton.java")</f>
        <v/>
      </c>
      <c r="D2536" t="inlineStr">
        <is>
          <t>The `ConnectButton` class is a custom view that represents a material design button with different states based on whether it's connected or disconnected from a social media platform. It has three states:
* Connected: The button displays "Disconnect" and changes its background color to indicate that it's connected to the platform.
* Disconnected: The button displays "</t>
        </is>
      </c>
      <c r="E2536" t="n">
        <v>0.0032</v>
      </c>
      <c r="F2536" t="n">
        <v>0.0312</v>
      </c>
      <c r="G2536" t="n">
        <v>0.0388</v>
      </c>
      <c r="H2536" t="inlineStr">
        <is>
          <t>This is a Java Android library that provides a customizable "Connect" button for use in mobile applications. The button can be connected to different actions such as connecting or disconnecting from a server, and it can also be configured with various styles and animations. The library uses the Google Material Design guidelines for its design and layout. It includes a number of pre-defined themes</t>
        </is>
      </c>
      <c r="I2536" t="n">
        <v>0.0034</v>
      </c>
      <c r="J2536" t="n">
        <v>0.0548</v>
      </c>
      <c r="K2536" t="n">
        <v>0.1103</v>
      </c>
      <c r="L2536" t="inlineStr">
        <is>
          <t>The provided code is for a custom `ConnectButton` widget that inherits from `MaterialButton`. It has three constructors and one method called `updateView()`. The `updateView()` method sets the text and background color based on the current state of the button. The button's state can be either "connect", "disconnect", or "reconnect". The widget also uses constants</t>
        </is>
      </c>
      <c r="M2536" t="n">
        <v>0.0034</v>
      </c>
      <c r="N2536" t="n">
        <v>0.0317</v>
      </c>
      <c r="O2536" t="n">
        <v>0.0794</v>
      </c>
    </row>
    <row r="2537">
      <c r="A2537" t="inlineStr">
        <is>
          <t>wordpress</t>
        </is>
      </c>
      <c r="B2537" t="inlineStr">
        <is>
          <t>WordPress/src/main/java/org/wordpress/android/ui/publicize/PublicizeTwitterDeprecationNoticeAnalyticsTracker.kt</t>
        </is>
      </c>
      <c r="C2537">
        <f>HYPERLINK("https://github.com/wordpress-mobile/WordPress-Android/blob/master/WordPress/src/main/java/org/wordpress/android/ui/publicize/PublicizeTwitterDeprecationNoticeAnalyticsTracker.kt")</f>
        <v/>
      </c>
      <c r="D2537" t="inlineStr">
        <is>
          <t>This is a Kotlin file that defines a class called `PublicizeTwitterDeprecationNoticeAnalyticsTracker`. It has one method called `trackTwitterNoticeLinkTapped` which takes in a parameter called `source`, which is an enum with two values: `List` and `Detail`. The method uses the `AnalyticsTracker` interface to track an</t>
        </is>
      </c>
      <c r="E2537" t="n">
        <v>0.0051</v>
      </c>
      <c r="F2537" t="n">
        <v>0.0784</v>
      </c>
      <c r="G2537" t="n">
        <v>0.1304</v>
      </c>
      <c r="H2537" t="inlineStr">
        <is>
          <t>This is a Kotlin Android project that provides a utility for tracking user interactions with a Twitter notice link in the WordPress mobile app. The `PublicizeTwitterDeprecationNoticeAnalyticsTracker` class takes an instance of `AnalyticsTrackerWrapper` as a parameter in its constructor and exposes a single method called `trackTwitterNoticeLinkTapped`. When</t>
        </is>
      </c>
      <c r="I2537" t="n">
        <v>0.0048</v>
      </c>
      <c r="J2537" t="n">
        <v>0.0741</v>
      </c>
      <c r="K2537" t="n">
        <v>0.0847</v>
      </c>
      <c r="L2537" t="inlineStr">
        <is>
          <t>The provided code defines a `PublicizeTwitterDeprecationNoticeAnalyticsTracker` class that tracks user interactions related to Twitter deprecation notices for the WordPress Android app. It uses the `AnalyticsTrackerWrapper` class from the `org.wordpress.android.util.analytics` package to send tracking events to Google Analytics. The class has two methods</t>
        </is>
      </c>
      <c r="M2537" t="n">
        <v>0</v>
      </c>
      <c r="N2537" t="n">
        <v>0</v>
      </c>
      <c r="O2537" t="n">
        <v>0.0439</v>
      </c>
    </row>
    <row r="2538">
      <c r="A2538" t="inlineStr">
        <is>
          <t>wordpress</t>
        </is>
      </c>
      <c r="B2538" t="inlineStr">
        <is>
          <t>WordPress/src/main/java/org/wordpress/android/ui/publicize/PublicizeButtonPrefsFragment.java</t>
        </is>
      </c>
      <c r="C2538">
        <f>HYPERLINK("https://github.com/wordpress-mobile/WordPress-Android/blob/master/WordPress/src/main/java/org/wordpress/android/ui/publicize/PublicizeButtonPrefsFragment.java")</f>
        <v/>
      </c>
      <c r="D2538" t="inlineStr">
        <is>
          <t>This is a Java Android application that retrieves data from the WordPress REST API and displays it in a user interface. The app uses the Flux architecture to manage its state and interactions with the UI. It also includes analytics tracking for user behavior.</t>
        </is>
      </c>
      <c r="E2538" t="n">
        <v>0.005</v>
      </c>
      <c r="F2538" t="n">
        <v>0.0769</v>
      </c>
      <c r="G2538" t="n">
        <v>0.1293</v>
      </c>
      <c r="H2538" t="inlineStr">
        <is>
          <t>This is a Java Android project that implements various backend software components for WordPress mobile apps. The project uses Flux architecture and JSON parsing to handle data manipulation and communication with remote servers. It also includes analytics tracking and user interface elements such as buttons and scroll views. The project's complexity is O(N), where N is the number of data points being processed, and it has</t>
        </is>
      </c>
      <c r="I2538" t="n">
        <v>0.0039</v>
      </c>
      <c r="J2538" t="n">
        <v>0.0789</v>
      </c>
      <c r="K2538" t="n">
        <v>0.1812</v>
      </c>
      <c r="L2538" t="inlineStr">
        <is>
          <t>The provided code is part of a WordPress Android app's publicize feature. It appears to be responsible for rendering a button that allows users to publish their content to various social media platforms when they click on it. The button is displayed as a list item within a scrollable view. When clicked, the button sends a request to the server to retrieve the user's publication settings from the</t>
        </is>
      </c>
      <c r="M2538" t="n">
        <v>0</v>
      </c>
      <c r="N2538" t="n">
        <v>0</v>
      </c>
      <c r="O2538" t="n">
        <v>0.0357</v>
      </c>
    </row>
    <row r="2539">
      <c r="A2539" t="inlineStr">
        <is>
          <t>wordpress</t>
        </is>
      </c>
      <c r="B2539" t="inlineStr">
        <is>
          <t>WordPress/src/main/java/org/wordpress/android/ui/publicize/PublicizeDetailFragment.java</t>
        </is>
      </c>
      <c r="C2539">
        <f>HYPERLINK("https://github.com/wordpress-mobile/WordPress-Android/blob/master/WordPress/src/main/java/org/wordpress/android/ui/publicize/PublicizeDetailFragment.java")</f>
        <v/>
      </c>
      <c r="D2539" t="inlineStr">
        <is>
          <t>This is a Java Android project that provides a RecyclerView adapter for displaying publicize services in a list view. The adapter uses data from the PublicizeTable dataset to populate the list with service names, icons, and statuses. When a user clicks on a service name or icon, it launches a new activity called WPWebViewActivity to display the details of the selected service. The project</t>
        </is>
      </c>
      <c r="E2539" t="n">
        <v>0.0034</v>
      </c>
      <c r="F2539" t="n">
        <v>0.0556</v>
      </c>
      <c r="G2539" t="n">
        <v>0.1103</v>
      </c>
      <c r="H2539" t="inlineStr">
        <is>
          <t>This is a Java Android project that includes a RecyclerView component to display data from a database in a scrollable view. The project also includes a Twitter API integration for connecting with Twitter accounts and retrieving public tweets. The project has a complexity of O(N), where N is the number of items in the database, and it uses several annotations and interfaces to manage dependencies between classes. The</t>
        </is>
      </c>
      <c r="I2539" t="n">
        <v>0.0032</v>
      </c>
      <c r="J2539" t="n">
        <v>0.0519</v>
      </c>
      <c r="K2539" t="n">
        <v>0.1071</v>
      </c>
      <c r="L2539" t="inlineStr">
        <is>
          <t>The provided code is part of an Android application that implements a RecyclerView adapter for displaying publicize services. It appears to be responsible for inflating views, setting up click listeners, and updating the view state based on changes to the underlying data model. The code also includes some analytics tracking related to deprecated Twitter features.</t>
        </is>
      </c>
      <c r="M2539" t="n">
        <v>0.004</v>
      </c>
      <c r="N2539" t="n">
        <v>0.0635</v>
      </c>
      <c r="O2539" t="n">
        <v>0.1181</v>
      </c>
    </row>
    <row r="2540">
      <c r="A2540" t="inlineStr">
        <is>
          <t>wordpress</t>
        </is>
      </c>
      <c r="B2540" t="inlineStr">
        <is>
          <t>WordPress/src/main/java/org/wordpress/android/ui/publicize/PublicizeWebViewFragment.java</t>
        </is>
      </c>
      <c r="C2540">
        <f>HYPERLINK("https://github.com/wordpress-mobile/WordPress-Android/blob/master/WordPress/src/main/java/org/wordpress/android/ui/publicize/PublicizeWebViewFragment.java")</f>
        <v/>
      </c>
      <c r="D2540" t="inlineStr">
        <is>
          <t>This is a Java Android project that provides a UI for configuring publicizing connections on WordPress sites. It uses the Flux architecture to manage state and events, and it includes several classes and methods related to web views, user authentication, and data storage. The main activity extends `WPWebViewActivity` and implements `ScrollableViewInitializedListener`, which allows it to handle scrolling and initialization</t>
        </is>
      </c>
      <c r="E2540" t="n">
        <v>0.0041</v>
      </c>
      <c r="F2540" t="n">
        <v>0.0896</v>
      </c>
      <c r="G2540" t="n">
        <v>0.1527</v>
      </c>
      <c r="H2540" t="inlineStr">
        <is>
          <t>This is a Java Android project that provides a web view for displaying publicly available WordPress content. The project uses the Android WebView component to display HTML content in a web view, and it also includes a progress bar to indicate loading status. The project also includes a custom event bus implementation using GreenRobot's EventBus library, as well as a custom web client class that sets up</t>
        </is>
      </c>
      <c r="I2540" t="n">
        <v>0.0032</v>
      </c>
      <c r="J2540" t="n">
        <v>0.0526</v>
      </c>
      <c r="K2540" t="n">
        <v>0.1439</v>
      </c>
      <c r="L2540" t="inlineStr">
        <is>
          <t>The provided code is part of an Android application that displays a web view for publicizing content from WordPress sites. It appears to be responsible for setting up the web view, loading the necessary data, and displaying the content.
The code imports various Android classes such as `Android.net.Uri`, `android.os.Bundle`, `android.text.TextUtils`, `android</t>
        </is>
      </c>
      <c r="M2540" t="n">
        <v>0.0036</v>
      </c>
      <c r="N2540" t="n">
        <v>0.0308</v>
      </c>
      <c r="O2540" t="n">
        <v>0.0813</v>
      </c>
    </row>
    <row r="2541">
      <c r="A2541" t="inlineStr">
        <is>
          <t>wordpress</t>
        </is>
      </c>
      <c r="B2541" t="inlineStr">
        <is>
          <t>WordPress/src/main/java/org/wordpress/android/ui/publicize/PublicizeActions.java</t>
        </is>
      </c>
      <c r="C2541">
        <f>HYPERLINK("https://github.com/wordpress-mobile/WordPress-Android/blob/master/WordPress/src/main/java/org/wordpress/android/ui/publicize/PublicizeActions.java")</f>
        <v/>
      </c>
      <c r="D2541" t="inlineStr">
        <is>
          <t>The provided code is a Java file that defines a class named `PublicizeAc` with several methods for connecting and disconnecting publicize services in WordPress using the Android Volley library. The class has dependencies on various other classes and libraries, including the Android SDK, the GreenRobot EventBus library, and the JSON parsing library.
The main functionality of this class appears to</t>
        </is>
      </c>
      <c r="E2541" t="n">
        <v>0.0036</v>
      </c>
      <c r="F2541" t="n">
        <v>0.0294</v>
      </c>
      <c r="G2541" t="n">
        <v>0.1136</v>
      </c>
      <c r="H2541" t="inlineStr">
        <is>
          <t>This is a Java file that defines a class called `PublicizeAc` in the `org.wordpress.android.ui.publicize` package. The class has several methods for connecting and disconnecting publicize services using the WordPress REST API. It also includes constants and events related to publicize connections.
The main method of the class is `connect`, which takes a</t>
        </is>
      </c>
      <c r="I2541" t="n">
        <v>0.0042</v>
      </c>
      <c r="J2541" t="n">
        <v>0.0625</v>
      </c>
      <c r="K2541" t="n">
        <v>0.121</v>
      </c>
      <c r="L2541" t="inlineStr">
        <is>
          <t>The provided code is part of a larger Android application that allows users to connect and disconnect various publicize services such as Twitter, Facebook, etc. It appears to be responsible for making RESTful API requests to WordPress's REST API endpoint to perform these actions. The code also uses GreenRobot EventBus library to handle events related to connecting and disconnecting publicize services. Additionally</t>
        </is>
      </c>
      <c r="M2541" t="n">
        <v>0.0029</v>
      </c>
      <c r="N2541" t="n">
        <v>0.0282</v>
      </c>
      <c r="O2541" t="n">
        <v>0.0746</v>
      </c>
    </row>
    <row r="2542">
      <c r="A2542" t="inlineStr">
        <is>
          <t>wordpress</t>
        </is>
      </c>
      <c r="B2542" t="inlineStr">
        <is>
          <t>WordPress/src/main/java/org/wordpress/android/ui/publicize/PublicizeServiceIcon.kt</t>
        </is>
      </c>
      <c r="C2542">
        <f>HYPERLINK("https://github.com/wordpress-mobile/WordPress-Android/blob/master/WordPress/src/main/java/org/wordpress/android/ui/publicize/PublicizeServiceIcon.kt")</f>
        <v/>
      </c>
      <c r="D2542" t="inlineStr">
        <is>
          <t>This is an enum class that maps publicize services to their corresponding local icon resources. It takes two parameters in its constructor - the service ID and the icon resource ID. The service IDs are defined in the `PublicizeService` enum, which represents the different publicize services available on WordPress. The icon resource IDs are defined in the `R` class, which provides access to Android'</t>
        </is>
      </c>
      <c r="E2542" t="n">
        <v>0.0034</v>
      </c>
      <c r="F2542" t="n">
        <v>0.0563</v>
      </c>
      <c r="G2542" t="n">
        <v>0.1103</v>
      </c>
      <c r="H2542" t="inlineStr">
        <is>
          <t>This is an Android application that uses Kotlin programming language. It has a package named "org.wordpress.android.ui.publicize" which consists of classes and objects used in implementing publicizing features on WordPress mobile apps. The main purpose of this project is to provide a way for users to share their content across various social media platforms using the WordPress app.
The code</t>
        </is>
      </c>
      <c r="I2542" t="n">
        <v>0.0037</v>
      </c>
      <c r="J2542" t="n">
        <v>0.0563</v>
      </c>
      <c r="K2542" t="n">
        <v>0.1527</v>
      </c>
      <c r="L2542" t="inlineStr">
        <is>
          <t>The provided code defines an enum called `PublicizeServiceIcon` that maps publicize services to their corresponding local icon resources. It is part of the WordPress Android UI package and uses the AndroidX annotation library. Each entry in the enum specifies a service ID and an icon resource ID, which are used to display the service's logo in various parts of the app.</t>
        </is>
      </c>
      <c r="M2542" t="n">
        <v>0.003</v>
      </c>
      <c r="N2542" t="n">
        <v>0.0286</v>
      </c>
      <c r="O2542" t="n">
        <v>0.0752</v>
      </c>
    </row>
    <row r="2543">
      <c r="A2543" t="inlineStr">
        <is>
          <t>wordpress</t>
        </is>
      </c>
      <c r="B2543" t="inlineStr">
        <is>
          <t>WordPress/src/main/java/org/wordpress/android/ui/publicize/PublicizeAccountChooserDialogFragment.java</t>
        </is>
      </c>
      <c r="C2543">
        <f>HYPERLINK("https://github.com/wordpress-mobile/WordPress-Android/blob/master/WordPress/src/main/java/org/wordpress/android/ui/publicize/PublicizeAccountChooserDialogFragment.java")</f>
        <v/>
      </c>
      <c r="D2543" t="inlineStr">
        <is>
          <t>This is a Java Android project that implements a dialog fragment for selecting publicize connections in WordPress. The fragment displays a list of available connections from the Publicize service, which is part of the WordPress platform. When a connection is selected, it is added to the user's account on the server-side via the Publicize API. The fragment also includes logic for handling errors and displaying</t>
        </is>
      </c>
      <c r="E2543" t="n">
        <v>0.0037</v>
      </c>
      <c r="F2543" t="n">
        <v>0.08</v>
      </c>
      <c r="G2543" t="n">
        <v>0.146</v>
      </c>
      <c r="H2543" t="inlineStr">
        <is>
          <t>This is a Java Android library that provides a set of classes for implementing publicizing features in WordPress apps. The library includes a `Publicize` class that serves as the main entry point for interacting with the publicizing system. It also includes several other classes for working with specific types of publicizing services, such as Twitter and Facebook. Additionally, it includes utility methods for handling JSON data</t>
        </is>
      </c>
      <c r="I2543" t="n">
        <v>0.0033</v>
      </c>
      <c r="J2543" t="n">
        <v>0.08110000000000001</v>
      </c>
      <c r="K2543" t="n">
        <v>0.1449</v>
      </c>
      <c r="L2543" t="inlineStr">
        <is>
          <t>The provided code is part of a Android app that displays a list of publicize connections for a WordPress site. It uses the RecyclerView widget to display the list of connections, and the MaterialAlertDialogBuilder class to create a dialog box for adding new connections. The code also includes event handling for when the user clicks on a connection, which opens a detailed view of the selected connection. Over</t>
        </is>
      </c>
      <c r="M2543" t="n">
        <v>0.0027</v>
      </c>
      <c r="N2543" t="n">
        <v>0.0263</v>
      </c>
      <c r="O2543" t="n">
        <v>0.07140000000000001</v>
      </c>
    </row>
    <row r="2544">
      <c r="A2544" t="inlineStr">
        <is>
          <t>wordpress</t>
        </is>
      </c>
      <c r="B2544" t="inlineStr">
        <is>
          <t>WordPress/src/main/java/org/wordpress/android/ui/publicize/services/PublicizeUpdateServicesV2.kt</t>
        </is>
      </c>
      <c r="C2544">
        <f>HYPERLINK("https://github.com/wordpress-mobile/WordPress-Android/blob/master/WordPress/src/main/java/org/wordpress/android/ui/publicize/services/PublicizeUpdateServicesV2.kt")</f>
        <v/>
      </c>
      <c r="D2544" t="inlineStr">
        <is>
          <t>The `PublicizeUpdateServicesV2` class is responsible for updating the list of publicize services in WordPress. It does this by making a REST request to the `/wp-admin/admin-ajax.php?action=publicize_services&amp;service=v2` endpoint using the `RestClientProvider`. Once the response is received, it parses the JSON data into</t>
        </is>
      </c>
      <c r="E2544" t="n">
        <v>0</v>
      </c>
      <c r="F2544" t="n">
        <v>0.0351</v>
      </c>
      <c r="G2544" t="n">
        <v>0.0893</v>
      </c>
      <c r="H2544" t="inlineStr">
        <is>
          <t>This is a Kotlin class that implements the `updateServices` method to retrieve a list of publicize services from a WordPress site using the REST API v2. The method takes in three parameters: `siteId`, which represents the ID of the WordPress site; `success`, which is a callback function that will be called with the response data if the request was successful; and `</t>
        </is>
      </c>
      <c r="I2544" t="n">
        <v>0.0039</v>
      </c>
      <c r="J2544" t="n">
        <v>0.1159</v>
      </c>
      <c r="K2544" t="n">
        <v>0.1493</v>
      </c>
      <c r="L2544" t="inlineStr">
        <is>
          <t>The `PublicizeUpdateServicesV2` class is responsible for updating the list of publicize services for a given site ID. It uses the REST API to retrieve the latest service list from WordPress.com servers, and then updates the local database with the new data. The class also logs debug messages using the `AppLog` utility.</t>
        </is>
      </c>
      <c r="M2544" t="n">
        <v>0.0036</v>
      </c>
      <c r="N2544" t="n">
        <v>0.0333</v>
      </c>
      <c r="O2544" t="n">
        <v>0.0813</v>
      </c>
    </row>
    <row r="2545">
      <c r="A2545" t="inlineStr">
        <is>
          <t>wordpress</t>
        </is>
      </c>
      <c r="B2545" t="inlineStr">
        <is>
          <t>WordPress/src/main/java/org/wordpress/android/ui/publicize/adapters/PublicizeConnectionAdapter.java</t>
        </is>
      </c>
      <c r="C2545">
        <f>HYPERLINK("https://github.com/wordpress-mobile/WordPress-Android/blob/master/WordPress/src/main/java/org/wordpress/android/ui/publicize/adapters/PublicizeConnectionAdapter.java")</f>
        <v/>
      </c>
      <c r="D2545" t="inlineStr">
        <is>
          <t>This is a Java class that implements a custom adapter for a RecyclerView in Android. The adapter is used to display a list of publicize connections in a user's WordPress account. Each connection is represented by a row in the RecyclerView, which includes an image, title, description, and status (either connected or disconnected). When the user clicks on a connection, it will</t>
        </is>
      </c>
      <c r="E2545" t="n">
        <v>0.0039</v>
      </c>
      <c r="F2545" t="n">
        <v>0.08450000000000001</v>
      </c>
      <c r="G2545" t="n">
        <v>0.1493</v>
      </c>
      <c r="H2545" t="inlineStr">
        <is>
          <t>This is a Java package containing various classes that implement the backend logic for a WordPress Android app. The package includes a `RecyclerView` adapter class called `PublicizeAdapter`, which is used to display a list of publicize connections in a user interface. The adapter uses data from a `PublicizeConnectionList` object to populate the list with items representing each connection. Each item consists of</t>
        </is>
      </c>
      <c r="I2545" t="n">
        <v>0.0029</v>
      </c>
      <c r="J2545" t="n">
        <v>0.0857</v>
      </c>
      <c r="K2545" t="n">
        <v>0.1119</v>
      </c>
      <c r="L2545" t="inlineStr">
        <is>
          <t>The provided code is part of an Android application that displays a list of publicize connections for a WordPress blog. It uses a RecyclerView adapter to populate a list view with each connection's name, status, and action buttons. When the user clicks one of these buttons, it triggers a callback method to handle the corresponding action (e.g., connecting or disconnecting). The code</t>
        </is>
      </c>
      <c r="M2545" t="n">
        <v>0.0029</v>
      </c>
      <c r="N2545" t="n">
        <v>0.0278</v>
      </c>
      <c r="O2545" t="n">
        <v>0.0746</v>
      </c>
    </row>
    <row r="2546">
      <c r="A2546" t="inlineStr">
        <is>
          <t>wordpress</t>
        </is>
      </c>
      <c r="B2546" t="inlineStr">
        <is>
          <t>WordPress/src/main/java/org/wordpress/android/ui/publicize/adapters/PublicizeServiceAdapter.java</t>
        </is>
      </c>
      <c r="C2546">
        <f>HYPERLINK("https://github.com/wordpress-mobile/WordPress-Android/blob/master/WordPress/src/main/java/org/wordpress/android/ui/publicize/adapters/PublicizeServiceAdapter.java")</f>
        <v/>
      </c>
      <c r="D2546" t="inlineStr">
        <is>
          <t>This is a Java class that implements a custom adapter for a RecyclerView in Android. The adapter is used to display a list of items, each consisting of an image view and a text view, in a recycler view. The adapter also includes a method to asynchronously load images from the internet into the image views using an AsyncTask. Additionally, it includes methods to handle clicks on the</t>
        </is>
      </c>
      <c r="E2546" t="n">
        <v>0.0035</v>
      </c>
      <c r="F2546" t="n">
        <v>0.0789</v>
      </c>
      <c r="G2546" t="n">
        <v>0.1429</v>
      </c>
      <c r="H2546" t="inlineStr">
        <is>
          <t>This is a Java Android project that implements a RecyclerView adapter for displaying publicize connections in the WordPress app. The adapter uses data from the PublicizeTable dataset to populate views with information about each connection, including its name, icon, and status. It also includes methods for adding new connections and updating existing ones. The project's complexity is O(N), where N is the number</t>
        </is>
      </c>
      <c r="I2546" t="n">
        <v>0.0038</v>
      </c>
      <c r="J2546" t="n">
        <v>0.0822</v>
      </c>
      <c r="K2546" t="n">
        <v>0.1481</v>
      </c>
      <c r="L2546" t="inlineStr">
        <is>
          <t>The provided code is part of an Android application that displays a list of publicize connections for a WordPress blog using RecyclerView. It defines a custom adapter class called PublicizeAdapter that extends RecyclerView.Adapter. The adapter's getItemCount method returns the number of items in the dataset (a list of PublicizeConnections), while the getItemViewType method determines the type</t>
        </is>
      </c>
      <c r="M2546" t="n">
        <v>0</v>
      </c>
      <c r="N2546" t="n">
        <v>0</v>
      </c>
      <c r="O2546" t="n">
        <v>0.0391</v>
      </c>
    </row>
    <row r="2547">
      <c r="A2547" t="inlineStr">
        <is>
          <t>wordpress</t>
        </is>
      </c>
      <c r="B2547" t="inlineStr">
        <is>
          <t>WordPress/src/main/java/org/wordpress/android/ui/uploads/UploadServiceFacade.kt</t>
        </is>
      </c>
      <c r="C2547">
        <f>HYPERLINK("https://github.com/wordpress-mobile/WordPress-Android/blob/master/WordPress/src/main/java/org/wordpress/android/ui/uploads/UploadServiceFacade.kt")</f>
        <v/>
      </c>
      <c r="D2547" t="inlineStr">
        <is>
          <t>The `UploadServiceFacade` class provides a facade over the `UploadService`, which is responsible for handling file uploads in WordPress Android. It allows for the uploading of posts and media files to a remote server using the `uploadPost()` method. Additionally, it provides a way to start the service asynchronously using the `startService()` method.</t>
        </is>
      </c>
      <c r="E2547" t="n">
        <v>0.0036</v>
      </c>
      <c r="F2547" t="n">
        <v>0.0339</v>
      </c>
      <c r="G2547" t="n">
        <v>0.0813</v>
      </c>
      <c r="H2547" t="inlineStr">
        <is>
          <t>This code defines a Java class called `UploadServiceFacade` that provides a facade over the `UploadService`. It allows other parts of the application to interact with the service without having to directly call its methods. The class has one method, `uploadPost`, which takes in a `Context`, a `PostModel`, a boolean flag indicating whether analytics tracking should be enabled,</t>
        </is>
      </c>
      <c r="I2547" t="n">
        <v>0.0032</v>
      </c>
      <c r="J2547" t="n">
        <v>0.0308</v>
      </c>
      <c r="K2547" t="n">
        <v>0.0775</v>
      </c>
      <c r="L2547" t="inlineStr">
        <is>
          <t>The provided code defines a Java class called `UploadServiceFacade` which provides a facade (or wrapper) around the `UploadService`. It has one method called `uploadPost`, which takes several parameters and starts an Intent service using the given context and post model. Additionally, there are two overloaded versions of the `uploadPost` method that take different sets of parameters.</t>
        </is>
      </c>
      <c r="M2547" t="n">
        <v>0.0033</v>
      </c>
      <c r="N2547" t="n">
        <v>0.0312</v>
      </c>
      <c r="O2547" t="n">
        <v>0.0781</v>
      </c>
    </row>
    <row r="2548">
      <c r="A2548" t="inlineStr">
        <is>
          <t>wordpress</t>
        </is>
      </c>
      <c r="B2548" t="inlineStr">
        <is>
          <t>WordPress/src/main/java/org/wordpress/android/ui/uploads/UploadService.java</t>
        </is>
      </c>
      <c r="C2548">
        <f>HYPERLINK("https://github.com/wordpress-mobile/WordPress-Android/blob/master/WordPress/src/main/java/org/wordpress/android/ui/uploads/UploadService.java")</f>
        <v/>
      </c>
      <c r="D2548" t="inlineStr">
        <is>
          <t>This is a Java Android service class that provides uploading capabilities for media files to WordPress sites. The service extends the `Service` class and implements the `IBinder` interface. It uses the GreenRobot EventBus library to handle events and the Flux framework to manage state changes.
The service has several methods, including `onCreate()`, which initializes the service, `on</t>
        </is>
      </c>
      <c r="E2548" t="n">
        <v>0.0042</v>
      </c>
      <c r="F2548" t="n">
        <v>0.09229999999999999</v>
      </c>
      <c r="G2548" t="n">
        <v>0.155</v>
      </c>
      <c r="H2548" t="inlineStr">
        <is>
          <t>This is a Java Android service that provides various functionalities related to media uploading, including handling events from the Aztec editor fragment, dispatching actions to the Flux store, and tracking analytics data. The service also imports several libraries, such as GreenRobot Event Bus and AndroidX annotations, which are used for event handling and dependency injection. Overall, this code appears to</t>
        </is>
      </c>
      <c r="I2548" t="n">
        <v>0.0036</v>
      </c>
      <c r="J2548" t="n">
        <v>0.0882</v>
      </c>
      <c r="K2548" t="n">
        <v>0.1136</v>
      </c>
      <c r="L2548" t="inlineStr">
        <is>
          <t>The provided code is part of an Android app that handles uploading media files to WordPress websites. It defines a service class named `MediaUploader` that extends the Android `Service` class and implements the `IBinder` interface. The service is responsible for handling background tasks related to media uploads, such as fetching metadata from remote servers, processing uploaded files, and sending notifications to</t>
        </is>
      </c>
      <c r="M2548" t="n">
        <v>0.0036</v>
      </c>
      <c r="N2548" t="n">
        <v>0.058</v>
      </c>
      <c r="O2548" t="n">
        <v>0.1128</v>
      </c>
    </row>
    <row r="2549">
      <c r="A2549" t="inlineStr">
        <is>
          <t>wordpress</t>
        </is>
      </c>
      <c r="B2549" t="inlineStr">
        <is>
          <t>WordPress/src/main/java/org/wordpress/android/ui/uploads/UploadActionUseCase.kt</t>
        </is>
      </c>
      <c r="C2549">
        <f>HYPERLINK("https://github.com/wordpress-mobile/WordPress-Android/blob/master/WordPress/src/main/java/org/wordpress/android/ui/uploads/UploadActionUseCase.kt")</f>
        <v/>
      </c>
      <c r="D2549" t="inlineStr">
        <is>
          <t>The `UploadActionUseCase` class is responsible for determining what action to take when a user tries to upload a file in WordPress Android. It does this by analyzing various factors such as whether the file has been modified since it was last uploaded, if there are any errors with the file, etc.
The class uses several other classes and interfaces from the Flux architecture,</t>
        </is>
      </c>
      <c r="E2549" t="n">
        <v>0.0029</v>
      </c>
      <c r="F2549" t="n">
        <v>0.0563</v>
      </c>
      <c r="G2549" t="n">
        <v>0.1111</v>
      </c>
      <c r="H2549" t="inlineStr">
        <is>
          <t>This is a Kotlin file that defines a class called `UploadActionUseCase`. It has several dependencies injected through its constructor, including an instance of `UploadStore`, `Pos`, and other classes. The class has several constants defined at the top level, such as `MAXIMUM_AUTO_UPLOAD_RETRIES` and `TWO_DAYS_</t>
        </is>
      </c>
      <c r="I2549" t="n">
        <v>0.0051</v>
      </c>
      <c r="J2549" t="n">
        <v>0.0727</v>
      </c>
      <c r="K2549" t="n">
        <v>0.08699999999999999</v>
      </c>
      <c r="L2549" t="inlineStr">
        <is>
          <t>The `UploadActionUseCase` class is responsible for determining the appropriate action to take when a user interacts with an upload. It does this by analyzing various factors such as whether the post has been auto-saved recently, whether the post should be uploaded immediately, etc. The class uses several dependencies including `UploadStore`, `PostUtilsWrapper`, and `DateTimeUtils`.</t>
        </is>
      </c>
      <c r="M2549" t="n">
        <v>0.0035</v>
      </c>
      <c r="N2549" t="n">
        <v>0.0645</v>
      </c>
      <c r="O2549" t="n">
        <v>0.12</v>
      </c>
    </row>
    <row r="2550">
      <c r="A2550" t="inlineStr">
        <is>
          <t>wordpress</t>
        </is>
      </c>
      <c r="B2550" t="inlineStr">
        <is>
          <t>WordPress/src/main/java/org/wordpress/android/ui/uploads/UploadHandler.java</t>
        </is>
      </c>
      <c r="C2550">
        <f>HYPERLINK("https://github.com/wordpress-mobile/WordPress-Android/blob/master/WordPress/src/main/java/org/wordpress/android/ui/uploads/UploadHandler.java")</f>
        <v/>
      </c>
      <c r="D2550" t="inlineStr">
        <is>
          <t>The provided code defines an interface called `UploadHandler` with two methods: `upload()` and `hasInProgressUploads()`. The `upload()` method takes in a generic type `T` as an argument and performs some action on it. The `hasInProgressUploads()` method returns a boolean indicating whether there are any in-progress uploads. Finally, the `cancelInProgress</t>
        </is>
      </c>
      <c r="E2550" t="n">
        <v>0.0038</v>
      </c>
      <c r="F2550" t="n">
        <v>0.0351</v>
      </c>
      <c r="G2550" t="n">
        <v>0.0417</v>
      </c>
      <c r="H2550" t="inlineStr">
        <is>
          <t>This is an interface for an Android app that provides methods for handling uploads. The interface defines two methods: `upload`, which takes in an object and performs some action on it, and `hasInProgressUploads`, which checks if there are any uploads currently in progress. Additionally, the interface includes a method called `cancelInProgressUploads` to cancel any in-progress upload</t>
        </is>
      </c>
      <c r="I2550" t="n">
        <v>0.0039</v>
      </c>
      <c r="J2550" t="n">
        <v>0.0615</v>
      </c>
      <c r="K2550" t="n">
        <v>0.0781</v>
      </c>
      <c r="L2550" t="inlineStr">
        <is>
          <t>The provided code defines an interface called `UploadHandler` that provides methods for handling uploads. It takes a generic type parameter `T`, which represents the type of objects being uploaded. The interface includes three methods:
* `upload`: Accepts an object of type `T` as input and performs some operation related to uploading it.
* `hasInProgressUploads`:</t>
        </is>
      </c>
      <c r="M2550" t="n">
        <v>0.0034</v>
      </c>
      <c r="N2550" t="n">
        <v>0.0333</v>
      </c>
      <c r="O2550" t="n">
        <v>0.0397</v>
      </c>
    </row>
    <row r="2551">
      <c r="A2551" t="inlineStr">
        <is>
          <t>wordpress</t>
        </is>
      </c>
      <c r="B2551" t="inlineStr">
        <is>
          <t>WordPress/src/main/java/org/wordpress/android/ui/uploads/PostEvents.java</t>
        </is>
      </c>
      <c r="C2551">
        <f>HYPERLINK("https://github.com/wordpress-mobile/WordPress-Android/blob/master/WordPress/src/main/java/org/wordpress/android/ui/uploads/PostEvents.java")</f>
        <v/>
      </c>
      <c r="D2551" t="inlineStr">
        <is>
          <t>The provided code defines several classes that represent events related to uploading posts in WordPress for Android. These events include:
* `PostUploadStarted`: Triggered when a new post is started for upload. It includes a reference to the `PostImmutableModel` object representing the post being uploaded.
* `PostUploadCanceled`: Triggered when a post</t>
        </is>
      </c>
      <c r="E2551" t="n">
        <v>0</v>
      </c>
      <c r="F2551" t="n">
        <v>0</v>
      </c>
      <c r="G2551" t="n">
        <v>0</v>
      </c>
      <c r="H2551" t="inlineStr">
        <is>
          <t>This is a Java package containing several classes that represent events related to uploading posts in WordPress. The package includes four event classes: `PostUploadStarted`, `PostUploadCanceled`, `PostMediaCanceled`, and `PostOpenedInEditor`. Each event class has its own constructor method that takes different parameters depending on the specific event type. Additionally, each event class</t>
        </is>
      </c>
      <c r="I2551" t="n">
        <v>0.0044</v>
      </c>
      <c r="J2551" t="n">
        <v>0.06900000000000001</v>
      </c>
      <c r="K2551" t="n">
        <v>0.082</v>
      </c>
      <c r="L2551" t="inlineStr">
        <is>
          <t>The provided code defines several event classes for handling various actions related to uploading posts in WordPress Android app. These events are used by the Flux architecture to manage state changes and propagate data between different parts of the application. The events define properties such as `post`, `localSiteId`, and `postId` that represent the current state of the post being uploaded. Additionally, there</t>
        </is>
      </c>
      <c r="M2551" t="n">
        <v>0.0029</v>
      </c>
      <c r="N2551" t="n">
        <v>0.0286</v>
      </c>
      <c r="O2551" t="n">
        <v>0.0746</v>
      </c>
    </row>
    <row r="2552">
      <c r="A2552" t="inlineStr">
        <is>
          <t>wordpress</t>
        </is>
      </c>
      <c r="B2552" t="inlineStr">
        <is>
          <t>WordPress/src/main/java/org/wordpress/android/ui/uploads/VideoOptimizerContracts.kt</t>
        </is>
      </c>
      <c r="C2552">
        <f>HYPERLINK("https://github.com/wordpress-mobile/WordPress-Android/blob/master/WordPress/src/main/java/org/wordpress/android/ui/uploads/VideoOptimizerContracts.kt")</f>
        <v/>
      </c>
      <c r="D2552" t="inlineStr">
        <is>
          <t>This is a Kotlin interface for a video optimizer provider, which provides methods for starting the optimization process and listening to events related to it. The interface defines two methods: `start()` and `onVideoOptimizationCompleted()`, as well as a data class called `ProgressEvent` that represents the progress of the optimization process. Additionally, there is a listener interface called `VideoOptim</t>
        </is>
      </c>
      <c r="E2552" t="n">
        <v>0.0038</v>
      </c>
      <c r="F2552" t="n">
        <v>0.0615</v>
      </c>
      <c r="G2552" t="n">
        <v>0.0775</v>
      </c>
      <c r="H2552" t="inlineStr">
        <is>
          <t>This is a Java package that provides an interface for video optimization in Android applications. The package includes three main classes:
* `VideoOptimizerProvider`: An interface that defines a method to start the video optimization process.
* `VideoOptimationListener`: An interface that defines methods to handle the completion and progress of the video optimization process.
* `ProgressEvent`: A data</t>
        </is>
      </c>
      <c r="I2552" t="n">
        <v>0.0038</v>
      </c>
      <c r="J2552" t="n">
        <v>0.0645</v>
      </c>
      <c r="K2552" t="n">
        <v>0.0775</v>
      </c>
      <c r="L2552" t="inlineStr">
        <is>
          <t>The provided code is part of a WordPress Android app's upload module, specifically for video optimization. It defines two interfaces, `VideoOptimizerProvider` and `VideoOptimizationListener`, which provide a way to start video optimization and listen for completion events, respectively. Additionally, there is a data class called `ProgressEvent` that represents the event of video optimization progress updates.</t>
        </is>
      </c>
      <c r="M2552" t="n">
        <v>0.0034</v>
      </c>
      <c r="N2552" t="n">
        <v>0.0635</v>
      </c>
      <c r="O2552" t="n">
        <v>0.0794</v>
      </c>
    </row>
    <row r="2553">
      <c r="A2553" t="inlineStr">
        <is>
          <t>wordpress</t>
        </is>
      </c>
      <c r="B2553" t="inlineStr">
        <is>
          <t>WordPress/src/main/java/org/wordpress/android/ui/uploads/MediaUploadHandler.java</t>
        </is>
      </c>
      <c r="C2553">
        <f>HYPERLINK("https://github.com/wordpress-mobile/WordPress-Android/blob/master/WordPress/src/main/java/org/wordpress/android/ui/uploads/MediaUploadHandler.java")</f>
        <v/>
      </c>
      <c r="D2553" t="inlineStr">
        <is>
          <t>This is a Java class that implements various functionalities related to uploading media files on WordPress platforms using Flux architecture. The class uses GreenRobot's EventBus library for handling events and subscribing to them. It also utilizes other libraries such as AndroidX annotations and AppLog for logging purposes.
The main responsibilities of this class include:
* Hand</t>
        </is>
      </c>
      <c r="E2553" t="n">
        <v>0.0043</v>
      </c>
      <c r="F2553" t="n">
        <v>0.125</v>
      </c>
      <c r="G2553" t="n">
        <v>0.1563</v>
      </c>
      <c r="H2553" t="inlineStr">
        <is>
          <t>This is a Java Android project that includes various classes for implementing the WordPress mobile app's backend features. The project uses the GreenRobot EventBus library to handle events and the Flux architecture pattern to manage state changes in the application. It also utilizes annotations from the AndroidX annotation library and the AppLog class from the WordPress Android SDK. The project has a total of</t>
        </is>
      </c>
      <c r="I2553" t="n">
        <v>0.0034</v>
      </c>
      <c r="J2553" t="n">
        <v>0.0822</v>
      </c>
      <c r="K2553" t="n">
        <v>0.1471</v>
      </c>
      <c r="L2553" t="inlineStr">
        <is>
          <t>The provided code is part of a WordPress Android app's upload feature. It appears to be responsible for handling media uploads using the GreenRobot EventBus library. The code subscribes to events related to media uploads, such as when a new media item has been uploaded or when an existing media item has been cancelled. When a new media item is uploaded, the code dispatch</t>
        </is>
      </c>
      <c r="M2553" t="n">
        <v>0</v>
      </c>
      <c r="N2553" t="n">
        <v>0</v>
      </c>
      <c r="O2553" t="n">
        <v>0.0368</v>
      </c>
    </row>
    <row r="2554">
      <c r="A2554" t="inlineStr">
        <is>
          <t>wordpress</t>
        </is>
      </c>
      <c r="B2554" t="inlineStr">
        <is>
          <t>WordPress/src/main/java/org/wordpress/android/ui/uploads/AutoSavePostIfNotDraftUseCase.kt</t>
        </is>
      </c>
      <c r="C2554">
        <f>HYPERLINK("https://github.com/wordpress-mobile/WordPress-Android/blob/master/WordPress/src/main/java/org/wordpress/android/ui/uploads/AutoSavePostIfNotDraftUseCase.kt")</f>
        <v/>
      </c>
      <c r="D2554" t="inlineStr">
        <is>
          <t>This is a Kotlin file that defines a class called `UploadService`, which is responsible for uploading posts to WordPress. The service uses the Flux architecture and the GreenRobot EventBus library to handle events and communicate with other parts of the application.
The `UploadService` class has several methods, including `start()`, `stop()`, and `onEvent()`. These methods</t>
        </is>
      </c>
      <c r="E2554" t="n">
        <v>0.004</v>
      </c>
      <c r="F2554" t="n">
        <v>0.0645</v>
      </c>
      <c r="G2554" t="n">
        <v>0.119</v>
      </c>
      <c r="H2554" t="inlineStr">
        <is>
          <t>This is a Kotlin Android project that uses the Flux architecture to manage state changes in a WordPress application. The main class, `org.wordpress.android.ui.uploads.UploadManager`, listens for events from the `PostStore` and updates the UI accordingly. It also handles errors and dispatches actions to update the post status. Additionally, it has a background thread</t>
        </is>
      </c>
      <c r="I2554" t="n">
        <v>0.0042</v>
      </c>
      <c r="J2554" t="n">
        <v>0.0615</v>
      </c>
      <c r="K2554" t="n">
        <v>0.121</v>
      </c>
      <c r="L2554" t="inlineStr">
        <is>
          <t>The provided code is part of a Kotlin Android application that uses the Flux architecture for managing data flows between different parts of the app. It appears to be responsible for handling events related to posts (e.g., changes to post statuses) and updating the UI accordingly.
The code defines several classes and functions related to event bus subscriptions, coroutines, and dispatch</t>
        </is>
      </c>
      <c r="M2554" t="n">
        <v>0.003</v>
      </c>
      <c r="N2554" t="n">
        <v>0.0571</v>
      </c>
      <c r="O2554" t="n">
        <v>0.0752</v>
      </c>
    </row>
    <row r="2555">
      <c r="A2555" t="inlineStr">
        <is>
          <t>wordpress</t>
        </is>
      </c>
      <c r="B2555" t="inlineStr">
        <is>
          <t>WordPress/src/main/java/org/wordpress/android/ui/uploads/MediaUploadReadyProcessor.java</t>
        </is>
      </c>
      <c r="C2555">
        <f>HYPERLINK("https://github.com/wordpress-mobile/WordPress-Android/blob/master/WordPress/src/main/java/org/wordpress/android/ui/uploads/MediaUploadReadyProcessor.java")</f>
        <v/>
      </c>
      <c r="D2555" t="inlineStr">
        <is>
          <t>The `MediaUploadReadyProcessor` class is responsible for processing uploaded media files in the context of a WordPress application. It does this by injecting itself with dependencies from the WordPress application's component, then overriding the `replaceMediaFileWithUrlInPost()` method to handle the upload process.
The method takes four parameters:
* `post`: A `Post</t>
        </is>
      </c>
      <c r="E2555" t="n">
        <v>0</v>
      </c>
      <c r="F2555" t="n">
        <v>0.0351</v>
      </c>
      <c r="G2555" t="n">
        <v>0.0413</v>
      </c>
      <c r="H2555" t="inlineStr">
        <is>
          <t>This is a Java Android project that includes a module for handling media uploads in the WordPress mobile app. The main component of this module is the `MediaUploadReadyProcessor` class, which is responsible for replacing uploaded media files with URLs in posts. It has several dependencies on other classes and modules within the WordPress application, including the `WordPress` context, the `Aztec</t>
        </is>
      </c>
      <c r="I2555" t="n">
        <v>0.004</v>
      </c>
      <c r="J2555" t="n">
        <v>0.0882</v>
      </c>
      <c r="K2555" t="n">
        <v>0.1136</v>
      </c>
      <c r="L2555" t="inlineStr">
        <is>
          <t>The `MediaUploadReadyProcessor` is a class that processes uploaded media files by replacing them with URLs in a given post model. It uses the `WordPress` application context to inject dependencies and retrieve the necessary models and utilities.
The class has one method, `replaceMediaFileWithUrlInPost`, which takes a post model, a local media ID, a media file object</t>
        </is>
      </c>
      <c r="M2555" t="n">
        <v>0.0033</v>
      </c>
      <c r="N2555" t="n">
        <v>0.0317</v>
      </c>
      <c r="O2555" t="n">
        <v>0.07870000000000001</v>
      </c>
    </row>
    <row r="2556">
      <c r="A2556" t="inlineStr">
        <is>
          <t>wordpress</t>
        </is>
      </c>
      <c r="B2556" t="inlineStr">
        <is>
          <t>WordPress/src/main/java/org/wordpress/android/ui/uploads/PostUploadHandler.java</t>
        </is>
      </c>
      <c r="C2556">
        <f>HYPERLINK("https://github.com/wordpress-mobile/WordPress-Android/blob/master/WordPress/src/main/java/org/wordpress/android/ui/uploads/PostUploadHandler.java")</f>
        <v/>
      </c>
      <c r="D2556" t="inlineStr">
        <is>
          <t>This is a Java package for uploading media (images or videos) to WordPress using the Android platform. The package includes classes and methods for handling the asynchronous task of uploading media, as well as event handling and analytics tracking.
The main class in this package is `org.wordpress.android.ui.uploads.MediaUploader`, which extends `AsyncTask`</t>
        </is>
      </c>
      <c r="E2556" t="n">
        <v>0.0044</v>
      </c>
      <c r="F2556" t="n">
        <v>0.0635</v>
      </c>
      <c r="G2556" t="n">
        <v>0.123</v>
      </c>
      <c r="H2556" t="inlineStr">
        <is>
          <t>This is a Java Android project that includes several classes and interfaces related to uploading media (images or videos) to WordPress. The main class, `org.wordpress.android.ui.uploads.UploadManager`, handles the process of selecting and uploading media files from the device's storage. It uses the GreenRobot EventBus library for communication between threads and the Flux</t>
        </is>
      </c>
      <c r="I2556" t="n">
        <v>0.0043</v>
      </c>
      <c r="J2556" t="n">
        <v>0.0615</v>
      </c>
      <c r="K2556" t="n">
        <v>0.122</v>
      </c>
      <c r="L2556" t="inlineStr">
        <is>
          <t>The provided code is part of a WordPress Android app's upload module, specifically for media files (images and videos). It appears to be responsible for handling the uploading process, including fetching metadata from the device's storage and dispatching actions to update the UI and send requests to the server.
The code uses several libraries and frameworks, such as GreenRobot EventBus</t>
        </is>
      </c>
      <c r="M2556" t="n">
        <v>0.003</v>
      </c>
      <c r="N2556" t="n">
        <v>0.0571</v>
      </c>
      <c r="O2556" t="n">
        <v>0.07580000000000001</v>
      </c>
    </row>
    <row r="2557">
      <c r="A2557" t="inlineStr">
        <is>
          <t>wordpress</t>
        </is>
      </c>
      <c r="B2557" t="inlineStr">
        <is>
          <t>WordPress/src/main/java/org/wordpress/android/ui/uploads/UploadUtils.java</t>
        </is>
      </c>
      <c r="C2557">
        <f>HYPERLINK("https://github.com/wordpress-mobile/WordPress-Android/blob/master/WordPress/src/main/java/org/wordpress/android/ui/uploads/UploadUtils.java")</f>
        <v/>
      </c>
      <c r="D2557" t="inlineStr">
        <is>
          <t>This is a Java code file that defines a class named `UploadManager` which manages the uploading process for media files on Android devices. The class has several methods that handle different aspects of the upload process, such as displaying progress bars, handling errors, and persisting uploaded media to the device's storage.
The `UploadManager` class also uses various other classes from the</t>
        </is>
      </c>
      <c r="E2557" t="n">
        <v>0.0036</v>
      </c>
      <c r="F2557" t="n">
        <v>0.0571</v>
      </c>
      <c r="G2557" t="n">
        <v>0.1128</v>
      </c>
      <c r="H2557" t="inlineStr">
        <is>
          <t>This is a Java Android project that uses the Flux architecture to manage state changes in the app. The project consists of several files, including `MainActivity`, `MainApplication`, `AppDatabase`, `PostDao`, `PostRepository`, `PostService`, and others.
The main activity (`MainActivity`) creates and manages the application's UI, while the `MainApplication`</t>
        </is>
      </c>
      <c r="I2557" t="n">
        <v>0.0048</v>
      </c>
      <c r="J2557" t="n">
        <v>0.0727</v>
      </c>
      <c r="K2557" t="n">
        <v>0.1271</v>
      </c>
      <c r="L2557" t="inlineStr">
        <is>
          <t>The provided code is part of an Android application that handles uploading media files to WordPress websites using Flux architecture. It appears to be responsible for displaying a snackbar message when the user clicks on a button to initiate the upload process.
The code imports various dependencies such as Android's Material Design library, Google's Gson library, and Flux libraries. It</t>
        </is>
      </c>
      <c r="M2557" t="n">
        <v>0.003</v>
      </c>
      <c r="N2557" t="n">
        <v>0.0286</v>
      </c>
      <c r="O2557" t="n">
        <v>0.07580000000000001</v>
      </c>
    </row>
    <row r="2558">
      <c r="A2558" t="inlineStr">
        <is>
          <t>wordpress</t>
        </is>
      </c>
      <c r="B2558" t="inlineStr">
        <is>
          <t>WordPress/src/main/java/org/wordpress/android/ui/uploads/UploadUtilsWrapper.kt</t>
        </is>
      </c>
      <c r="C2558">
        <f>HYPERLINK("https://github.com/wordpress-mobile/WordPress-Android/blob/master/WordPress/src/main/java/org/wordpress/android/ui/uploads/UploadUtilsWrapper.kt")</f>
        <v/>
      </c>
      <c r="D2558" t="inlineStr">
        <is>
          <t>The `UploadUtilsWrapper` class provides a wrapper around the `UploadUtils` class, making it easier to test and mock. It injects dependencies using Dagger and has a constructor that takes in an instance of `Dispatcher`, `PostStore`, and `SnackbarSequencer`.
The `onAttach` method attaches listeners to the `PostStore` and</t>
        </is>
      </c>
      <c r="E2558" t="n">
        <v>0.0041</v>
      </c>
      <c r="F2558" t="n">
        <v>0.0377</v>
      </c>
      <c r="G2558" t="n">
        <v>0.08550000000000001</v>
      </c>
      <c r="H2558" t="inlineStr">
        <is>
          <t>This Java class `UploadUtilsWrapper` provides a wrapper around the `UploadUtils` interface, making it easier to test and mock its methods. It is annotated with `@Reusable`, indicating that it can be used multiple times in different parts of the application without creating new instances each time. The class has no constructor and is injected using Dagger dependency injection framework.
The `</t>
        </is>
      </c>
      <c r="I2558" t="n">
        <v>0.0036</v>
      </c>
      <c r="J2558" t="n">
        <v>0.0597</v>
      </c>
      <c r="K2558" t="n">
        <v>0.1136</v>
      </c>
      <c r="L2558" t="inlineStr">
        <is>
          <t>The provided code defines a class called `UploadUtilsWrapper` that provides a wrapper around the `UploadUtils` interface. It is annotated with `@Reusable`, indicating that it can be reused across multiple parts of the application.
The `UploadUtilsWrapper` class has several responsibilities, including:
* Wrapping the `UploadUtils` interface to make it</t>
        </is>
      </c>
      <c r="M2558" t="n">
        <v>0</v>
      </c>
      <c r="N2558" t="n">
        <v>0</v>
      </c>
      <c r="O2558" t="n">
        <v>0.0417</v>
      </c>
    </row>
    <row r="2559">
      <c r="A2559" t="inlineStr">
        <is>
          <t>wordpress</t>
        </is>
      </c>
      <c r="B2559" t="inlineStr">
        <is>
          <t>WordPress/src/main/java/org/wordpress/android/ui/uploads/VideoOptimizer.java</t>
        </is>
      </c>
      <c r="C2559">
        <f>HYPERLINK("https://github.com/wordpress-mobile/WordPress-Android/blob/master/WordPress/src/main/java/org/wordpress/android/ui/uploads/VideoOptimizer.java")</f>
        <v/>
      </c>
      <c r="D2559" t="inlineStr">
        <is>
          <t>This is a Java class that implements the `org.wordpress.android.ui.uploads.UploadService` interface. It appears to be responsible for uploading media files to WordPress. The class has several methods, including `start()`, `stop()`, and `onDestroy()`. These methods seem to be related to starting and stopping the service, as well as handling the destruction of the</t>
        </is>
      </c>
      <c r="E2559" t="n">
        <v>0.0047</v>
      </c>
      <c r="F2559" t="n">
        <v>0.09379999999999999</v>
      </c>
      <c r="G2559" t="n">
        <v>0.122</v>
      </c>
      <c r="H2559" t="inlineStr">
        <is>
          <t>This is a Java Android project that contains various classes and methods for implementing media optimization in WordPress apps. The project uses the Flux architecture and includes dependencies on other libraries such as MediaComposer, AnalyticsTracker, AppPrefs, FileUtils, MediaUtils, WPVideoUtils, and DecimalFormat. The project also includes comments and documentation throughout the code to explain its</t>
        </is>
      </c>
      <c r="I2559" t="n">
        <v>0.004</v>
      </c>
      <c r="J2559" t="n">
        <v>0.0968</v>
      </c>
      <c r="K2559" t="n">
        <v>0.1587</v>
      </c>
      <c r="L2559" t="inlineStr">
        <is>
          <t>The provided code is part of an Android application that handles video uploading and optimization for WordPress. It appears to be a Java class that performs various tasks related to media processing, such as compressing videos, extracting metadata, and sending analytics data. The class uses several external libraries and utilities from the WordPress ecosystem, including the MediaComposer library for video compression</t>
        </is>
      </c>
      <c r="M2559" t="n">
        <v>0.003</v>
      </c>
      <c r="N2559" t="n">
        <v>0.029</v>
      </c>
      <c r="O2559" t="n">
        <v>0.0752</v>
      </c>
    </row>
    <row r="2560">
      <c r="A2560" t="inlineStr">
        <is>
          <t>wordpress</t>
        </is>
      </c>
      <c r="B2560" t="inlineStr">
        <is>
          <t>WordPress/src/main/java/org/wordpress/android/ui/uploads/PostMediaHandler.kt</t>
        </is>
      </c>
      <c r="C2560">
        <f>HYPERLINK("https://github.com/wordpress-mobile/WordPress-Android/blob/master/WordPress/src/main/java/org/wordpress/android/ui/uploads/PostMediaHandler.kt")</f>
        <v/>
      </c>
      <c r="D2560" t="inlineStr">
        <is>
          <t>The `PostMediaHandler` class is responsible for updating media models associated with a given post model in the WordPress Android app. It does this by retrieving all media models that belong to the post using the `mediaStore.getMediaForPost()` method, filtering out any media models that have a non-zero value for their `postId` field, and then setting the `post</t>
        </is>
      </c>
      <c r="E2560" t="n">
        <v>0.0033</v>
      </c>
      <c r="F2560" t="n">
        <v>0.0606</v>
      </c>
      <c r="G2560" t="n">
        <v>0.1172</v>
      </c>
      <c r="H2560" t="inlineStr">
        <is>
          <t>This is a Kotlin class that provides a method called `updateMediaWithoutPostId` which takes in two parameters - `site` and `post`. The method updates the `media` objects for the given `post` by setting their `parentId` to the `remotePostId` of the `post`, which is assumed to be non-zero. The method uses the `</t>
        </is>
      </c>
      <c r="I2560" t="n">
        <v>0.0043</v>
      </c>
      <c r="J2560" t="n">
        <v>0.06900000000000001</v>
      </c>
      <c r="K2560" t="n">
        <v>0.122</v>
      </c>
      <c r="L2560" t="inlineStr">
        <is>
          <t>The `PostMediaHandler` class is responsible for updating media objects that belong to a specific post without a remote ID. It uses the Flux architecture to manage updates to the media store and dispatches actions to update the media objects. The class takes two parameters upon instantiation - a `MediaStore` instance and a `Dispatcher` instance. When the `updateMediaWithoutPostId()`</t>
        </is>
      </c>
      <c r="M2560" t="n">
        <v>0.0032</v>
      </c>
      <c r="N2560" t="n">
        <v>0.0312</v>
      </c>
      <c r="O2560" t="n">
        <v>0.0775</v>
      </c>
    </row>
    <row r="2561">
      <c r="A2561" t="inlineStr">
        <is>
          <t>wordpress</t>
        </is>
      </c>
      <c r="B2561" t="inlineStr">
        <is>
          <t>WordPress/src/main/java/org/wordpress/android/ui/uploads/PostUploadNotifier.java</t>
        </is>
      </c>
      <c r="C2561">
        <f>HYPERLINK("https://github.com/wordpress-mobile/WordPress-Android/blob/master/WordPress/src/main/java/org/wordpress/android/ui/uploads/PostUploadNotifier.java")</f>
        <v/>
      </c>
      <c r="D2561" t="inlineStr">
        <is>
          <t>This is a Java package containing classes for handling notifications in an Android app. The package includes several classes that implement different types of notifications, such as `Notification` and `NotificationCompat`, which are used to display messages or alerts on the user's device. There are also classes for managing the notification queue and processing incoming notifications.
The main class in this package is `Not</t>
        </is>
      </c>
      <c r="E2561" t="n">
        <v>0.0034</v>
      </c>
      <c r="F2561" t="n">
        <v>0.0833</v>
      </c>
      <c r="G2561" t="n">
        <v>0.1481</v>
      </c>
      <c r="H2561" t="inlineStr">
        <is>
          <t>This is a Java package that provides various utility classes for working with notifications in Android applications. The package includes several classes for sending and receiving notifications, as well as classes for processing and managing notification data.
The `Notification` class represents a single notification and provides methods for setting and retrieving its properties such as title, message, icon, etc. The `NotificationManager` class provides</t>
        </is>
      </c>
      <c r="I2561" t="n">
        <v>0.0034</v>
      </c>
      <c r="J2561" t="n">
        <v>0.0563</v>
      </c>
      <c r="K2561" t="n">
        <v>0.1111</v>
      </c>
      <c r="L2561" t="inlineStr">
        <is>
          <t>The provided code is part of a WordPress Android app's upload module. It appears to be responsible for handling notifications related to media uploads. Specifically, it listens for events from the NotificationsProcessingService class and creates notifications based on the received data. The notifications are displayed using the NotificationCompat class and can be customized using various parameters such as title, text, icon,</t>
        </is>
      </c>
      <c r="M2561" t="n">
        <v>0.003</v>
      </c>
      <c r="N2561" t="n">
        <v>0.0571</v>
      </c>
      <c r="O2561" t="n">
        <v>0.0752</v>
      </c>
    </row>
    <row r="2562">
      <c r="A2562" t="inlineStr">
        <is>
          <t>wordpress</t>
        </is>
      </c>
      <c r="B2562" t="inlineStr">
        <is>
          <t>WordPress/src/main/java/org/wordpress/android/ui/uploads/UploadStarter.kt</t>
        </is>
      </c>
      <c r="C2562">
        <f>HYPERLINK("https://github.com/wordpress-mobile/WordPress-Android/blob/master/WordPress/src/main/java/org/wordpress/android/ui/uploads/UploadStarter.kt")</f>
        <v/>
      </c>
      <c r="D2562" t="inlineStr">
        <is>
          <t>This is a Kotlin file containing the implementation of various classes and functions related to uploading files in WordPress. The main class `UploadManager` handles the process of uploading files to a WordPress site using the Flux architecture. It uses the `Dispatcher`, `PageStore`, and `PostStore` classes from the Flux library to manage the state of the application and perform actions</t>
        </is>
      </c>
      <c r="E2562" t="n">
        <v>0.0037</v>
      </c>
      <c r="F2562" t="n">
        <v>0.1194</v>
      </c>
      <c r="G2562" t="n">
        <v>0.1527</v>
      </c>
      <c r="H2562" t="inlineStr">
        <is>
          <t>This is a Kotlin file containing various classes and functions that implement the backend logic for a WordPress Android app. The main class `org.wordpress.android.ui.uploads.UploadManager` implements the logic for handling uploads to the WordPress site. It uses the Flux architecture to manage state changes and dispatches actions to the appropriate stores. The `UploadActionBuilder`</t>
        </is>
      </c>
      <c r="I2562" t="n">
        <v>0.0046</v>
      </c>
      <c r="J2562" t="n">
        <v>0.09229999999999999</v>
      </c>
      <c r="K2562" t="n">
        <v>0.1613</v>
      </c>
      <c r="L2562" t="inlineStr">
        <is>
          <t>The provided code is part of an Android app's upload feature, which allows users to upload images and other media files to their WordPress sites. The code defines several classes and functions related to this feature, including `Uploader`, `UploadManager`, and `UploadService`.
The `Uploader` class provides methods for initiating and managing the upload process, while the `</t>
        </is>
      </c>
      <c r="M2562" t="n">
        <v>0.0033</v>
      </c>
      <c r="N2562" t="n">
        <v>0.0625</v>
      </c>
      <c r="O2562" t="n">
        <v>0.1172</v>
      </c>
    </row>
    <row r="2563">
      <c r="A2563" t="inlineStr">
        <is>
          <t>wordpress</t>
        </is>
      </c>
      <c r="B2563" t="inlineStr">
        <is>
          <t>WordPress/src/main/java/org/wordpress/android/ui/uploads/VideoOptimizerBase.java</t>
        </is>
      </c>
      <c r="C2563">
        <f>HYPERLINK("https://github.com/wordpress-mobile/WordPress-Android/blob/master/WordPress/src/main/java/org/wordpress/android/ui/uploads/VideoOptimizerBase.java")</f>
        <v/>
      </c>
      <c r="D2563" t="inlineStr">
        <is>
          <t>This is a Java class that provides a base implementation for optimizing videos using the WordPress Android app. The class takes in three parameters upon initialization: a cache directory, a media model object representing the video to be optimized, and a listener interface for handling events during optimization. It also defines several private fields and methods.
The main functionalities of this class include:
* Initial</t>
        </is>
      </c>
      <c r="E2563" t="n">
        <v>0.0033</v>
      </c>
      <c r="F2563" t="n">
        <v>0.0833</v>
      </c>
      <c r="G2563" t="n">
        <v>0.146</v>
      </c>
      <c r="H2563" t="inlineStr">
        <is>
          <t>This is a Java file that defines a base class for video optimizers in WordPress Android app. The class has several fields and methods, including:
* `mCacheDir`: A directory where temporary files can be stored during optimization.
* `mMedia`: An instance of `MediaModel` representing the media being optimized.
* `mListener`: An implementation of `Video</t>
        </is>
      </c>
      <c r="I2563" t="n">
        <v>0.004</v>
      </c>
      <c r="J2563" t="n">
        <v>0.0678</v>
      </c>
      <c r="K2563" t="n">
        <v>0.119</v>
      </c>
      <c r="L2563" t="inlineStr">
        <is>
          <t>The provided code is part of a video optimizer module for Android applications. It defines an abstract base class that provides a common interface for different video optimization implementations. The class has several responsibilities, including:
* Managing the cache directory where optimized videos will be stored
* Handling media model objects representing the original video and its metadata
* Defining a listener interface for reporting</t>
        </is>
      </c>
      <c r="M2563" t="n">
        <v>0.0033</v>
      </c>
      <c r="N2563" t="n">
        <v>0.0857</v>
      </c>
      <c r="O2563" t="n">
        <v>0.1095</v>
      </c>
    </row>
    <row r="2564">
      <c r="A2564" t="inlineStr">
        <is>
          <t>wordpress</t>
        </is>
      </c>
      <c r="B2564" t="inlineStr">
        <is>
          <t>WordPress/src/main/java/org/wordpress/android/ui/mediapicker/PhotoThumbnailViewHolder.kt</t>
        </is>
      </c>
      <c r="C2564">
        <f>HYPERLINK("https://github.com/wordpress-mobile/WordPress-Android/blob/master/WordPress/src/main/java/org/wordpress/android/ui/mediapicker/PhotoThumbnailViewHolder.kt")</f>
        <v/>
      </c>
      <c r="D2564" t="inlineStr">
        <is>
          <t>The provided code defines a `PhotoThumbnailViewHolder` class that extends a `ThumbnailViewHolder` class and provides a view holder for displaying a photo thumbnail in a list or grid view. The constructor takes three parameters: `parent`, which is a `ViewGroup`; `mediaThumbnailViewUtils`, which is an instance of `MediaThumbnailViewUtils`; and `imageManager`,</t>
        </is>
      </c>
      <c r="E2564" t="n">
        <v>0.0039</v>
      </c>
      <c r="F2564" t="n">
        <v>0.0364</v>
      </c>
      <c r="G2564" t="n">
        <v>0.042</v>
      </c>
      <c r="H2564" t="inlineStr">
        <is>
          <t>This Java class defines a custom view holder for displaying photo items in a list. It extends the `ThumbnailViewHolder` class and provides methods to bind data to the view, such as setting the selection count and updating the image thumbnail. The class uses various dependencies, including the `MediaThumbnailViewUtils`, `ImageManager`, and `MediaPickerUiItem.PhotoItem`.</t>
        </is>
      </c>
      <c r="I2564" t="n">
        <v>0.0043</v>
      </c>
      <c r="J2564" t="n">
        <v>0.0667</v>
      </c>
      <c r="K2564" t="n">
        <v>0.122</v>
      </c>
      <c r="L2564" t="inlineStr">
        <is>
          <t>The provided code defines a `PhotoThumbnailViewHolder` class that extends from `ThumbnailViewHolder`. It is used to display a photo thumbnail in a list view. The class has two primary functions:
1. Binds data to the view holder by setting up the image thumbnail and selection count based on the input parameters.
2. Manipulates the visibility of these</t>
        </is>
      </c>
      <c r="M2564" t="n">
        <v>0.0033</v>
      </c>
      <c r="N2564" t="n">
        <v>0.0625</v>
      </c>
      <c r="O2564" t="n">
        <v>0.0781</v>
      </c>
    </row>
    <row r="2565">
      <c r="A2565" t="inlineStr">
        <is>
          <t>wordpress</t>
        </is>
      </c>
      <c r="B2565" t="inlineStr">
        <is>
          <t>WordPress/src/main/java/org/wordpress/android/ui/mediapicker/VideoThumbnailViewHolder.kt</t>
        </is>
      </c>
      <c r="C2565">
        <f>HYPERLINK("https://github.com/wordpress-mobile/WordPress-Android/blob/master/WordPress/src/main/java/org/wordpress/android/ui/mediapicker/VideoThumbnailViewHolder.kt")</f>
        <v/>
      </c>
      <c r="D2565" t="inlineStr">
        <is>
          <t>This is a Kotlin class that represents a view holder for a video thumbnail in a media picker UI. It has several responsibilities, including displaying the video thumbnail, handling selection count, and displaying a video overlay when the item is selected. The class takes in several dependencies, such as an instance of `MediaThumbnailViewUtils`, `ImageManager`, and `Corout</t>
        </is>
      </c>
      <c r="E2565" t="n">
        <v>0.0039</v>
      </c>
      <c r="F2565" t="n">
        <v>0.0625</v>
      </c>
      <c r="G2565" t="n">
        <v>0.0781</v>
      </c>
      <c r="H2565" t="inlineStr">
        <is>
          <t>This is a Kotlin Android project that provides a custom `RecyclerView` adapter for displaying videos in a list. The adapter uses a `MediaThumbnailViewUtils` class to generate thumbnails for each video, and it also includes a selection count and a play button overlay for each video. The adapter can be used to display videos from various sources, such as local storage or online services</t>
        </is>
      </c>
      <c r="I2565" t="n">
        <v>0.0034</v>
      </c>
      <c r="J2565" t="n">
        <v>0.0563</v>
      </c>
      <c r="K2565" t="n">
        <v>0.1111</v>
      </c>
      <c r="L2565" t="inlineStr">
        <is>
          <t>The provided code is part of a Android application that displays a list of videos with their corresponding thumbnails. The `VideoThumbnailViewHolder` class is responsible for rendering each video's thumbnail and selection count, as well as displaying an overlay when the video is selected.
The `bind()` method takes a `MediaPickerUiItem.VideoItem` object as input and</t>
        </is>
      </c>
      <c r="M2565" t="n">
        <v>0.0035</v>
      </c>
      <c r="N2565" t="n">
        <v>0.0317</v>
      </c>
      <c r="O2565" t="n">
        <v>0.08</v>
      </c>
    </row>
    <row r="2566">
      <c r="A2566" t="inlineStr">
        <is>
          <t>wordpress</t>
        </is>
      </c>
      <c r="B2566" t="inlineStr">
        <is>
          <t>WordPress/src/main/java/org/wordpress/android/ui/mediapicker/MediaType.kt</t>
        </is>
      </c>
      <c r="C2566">
        <f>HYPERLINK("https://github.com/wordpress-mobile/WordPress-Android/blob/master/WordPress/src/main/java/org/wordpress/android/ui/mediapicker/MediaType.kt")</f>
        <v/>
      </c>
      <c r="D2566" t="inlineStr">
        <is>
          <t>The provided code defines an enum called `MediaType` that represents different types of media files that can be uploaded to WordPress. The enum has four values: `IMAGE`, `VIDEO`, `AUDIO`, and `DOCUMENT`. This enum is used in the Android app's media picker feature to determine which type of media file is being selected by the user.</t>
        </is>
      </c>
      <c r="E2566" t="n">
        <v>0.004</v>
      </c>
      <c r="F2566" t="n">
        <v>0.0312</v>
      </c>
      <c r="G2566" t="n">
        <v>0.1181</v>
      </c>
      <c r="H2566" t="inlineStr">
        <is>
          <t>This is a Java package named "org.wordpress.android.ui.mediapicker" that contains an enumeration class called "MediaType". The enum has four values: IMAGE, VIDEO, AUDIO, and DOCUMENT. It appears to be part of a larger project or application.</t>
        </is>
      </c>
      <c r="I2566" t="n">
        <v>0.0063</v>
      </c>
      <c r="J2566" t="n">
        <v>0.0851</v>
      </c>
      <c r="K2566" t="n">
        <v>0.1402</v>
      </c>
      <c r="L2566" t="inlineStr">
        <is>
          <t>The provided code defines an enum class called `MediaType` that represents different types of media available for selection in a media picker feature. The enum values correspond to image, video, audio, and document files. The code is part of a larger project related to building a mobile app for WordPress.</t>
        </is>
      </c>
      <c r="M2566" t="n">
        <v>0.0037</v>
      </c>
      <c r="N2566" t="n">
        <v>0.0345</v>
      </c>
      <c r="O2566" t="n">
        <v>0.082</v>
      </c>
    </row>
    <row r="2567">
      <c r="A2567" t="inlineStr">
        <is>
          <t>wordpress</t>
        </is>
      </c>
      <c r="B2567" t="inlineStr">
        <is>
          <t>WordPress/src/main/java/org/wordpress/android/ui/mediapicker/MediaPickerUiItem.kt</t>
        </is>
      </c>
      <c r="C2567">
        <f>HYPERLINK("https://github.com/wordpress-mobile/WordPress-Android/blob/master/WordPress/src/main/java/org/wordpress/android/ui/mediapicker/MediaPickerUiItem.kt")</f>
        <v/>
      </c>
      <c r="D2567" t="inlineStr">
        <is>
          <t>This code defines a sealed class called `MediaPickerUiItem` that represents a UI item in a media picker interface. The class has several subclasses that represent different types of items, including photos, videos, next page loaders, and files. Each subclass has its own set of properties and methods that define how it should be displayed and interacted with in the user interface.</t>
        </is>
      </c>
      <c r="E2567" t="n">
        <v>0.0036</v>
      </c>
      <c r="F2567" t="n">
        <v>0.058</v>
      </c>
      <c r="G2567" t="n">
        <v>0.0752</v>
      </c>
      <c r="H2567" t="inlineStr">
        <is>
          <t>This code defines a Kotlin sealed class called `MediaPickerUiItem` that represents different types of UI items used in a media picker feature. The class has several subclasses that represent different types of items, such as photos, videos, next page loaders, etc. Each subclass has its own constructor parameters that define the properties of the item, such as the URL, identifier</t>
        </is>
      </c>
      <c r="I2567" t="n">
        <v>0.003</v>
      </c>
      <c r="J2567" t="n">
        <v>0.0294</v>
      </c>
      <c r="K2567" t="n">
        <v>0.07580000000000001</v>
      </c>
      <c r="L2567" t="inlineStr">
        <is>
          <t>The provided code defines a sealed class called `MediaPickerUiItem` that represents different types of UI items used in a media picker feature. The class has several subclasses that represent specific item types, such as `PhotoItem`, `VideoItem`, and `NextPageLoader`. Each subclass has its own set of properties and methods that define how the item should be displayed and interact</t>
        </is>
      </c>
      <c r="M2567" t="n">
        <v>0.0031</v>
      </c>
      <c r="N2567" t="n">
        <v>0.0303</v>
      </c>
      <c r="O2567" t="n">
        <v>0.0769</v>
      </c>
    </row>
    <row r="2568">
      <c r="A2568" t="inlineStr">
        <is>
          <t>wordpress</t>
        </is>
      </c>
      <c r="B2568" t="inlineStr">
        <is>
          <t>WordPress/src/main/java/org/wordpress/android/ui/mediapicker/MediaNavigationEvent.kt</t>
        </is>
      </c>
      <c r="C2568">
        <f>HYPERLINK("https://github.com/wordpress-mobile/WordPress-Android/blob/master/WordPress/src/main/java/org/wordpress/android/ui/mediapicker/MediaNavigationEvent.kt")</f>
        <v/>
      </c>
      <c r="D2568" t="inlineStr">
        <is>
          <t>This is a Kotlin file that defines a sealed class called `MediaNavigationEvent` with several subclasses representing different events that can occur in the context of a media picker feature. The classes include:
* `PreviewUrl`: represents an event where the user wants to preview a URL. It has one parameter, `url`, which is a string containing the URL to be</t>
        </is>
      </c>
      <c r="E2568" t="n">
        <v>0.0031</v>
      </c>
      <c r="F2568" t="n">
        <v>0.0303</v>
      </c>
      <c r="G2568" t="n">
        <v>0.0382</v>
      </c>
      <c r="H2568" t="inlineStr">
        <is>
          <t>This is a Kotlin Android project that includes a sealed class called `MediaNavigationEvent` which represents different events that can occur in the app's media picker fragment. The event classes include `PreviewUrl`, `PreviewMedia`, `EditMedia`, `InsertMedia`, `IconClickEvent`, and `Exit`. Each event has its own constructor with relevant parameters. The RE</t>
        </is>
      </c>
      <c r="I2568" t="n">
        <v>0.0045</v>
      </c>
      <c r="J2568" t="n">
        <v>0.0702</v>
      </c>
      <c r="K2568" t="n">
        <v>0.0833</v>
      </c>
      <c r="L2568" t="inlineStr">
        <is>
          <t>The code defines a sealed class called `MediaNavigationEvent` that represents different events that can occur when navigating through media items in a WordPress app. These events include previewing URLs, media models, editing media, inserting media, clicking icons, and exiting the navigation. Each event is represented by a separate subclass within the `MediaNavigationEvent` class.</t>
        </is>
      </c>
      <c r="M2568" t="n">
        <v>0.0035</v>
      </c>
      <c r="N2568" t="n">
        <v>0.0328</v>
      </c>
      <c r="O2568" t="n">
        <v>0.04</v>
      </c>
    </row>
    <row r="2569">
      <c r="A2569" t="inlineStr">
        <is>
          <t>wordpress</t>
        </is>
      </c>
      <c r="B2569" t="inlineStr">
        <is>
          <t>WordPress/src/main/java/org/wordpress/android/ui/mediapicker/MediaThumbnailViewUtils.kt</t>
        </is>
      </c>
      <c r="C2569">
        <f>HYPERLINK("https://github.com/wordpress-mobile/WordPress-Android/blob/master/WordPress/src/main/java/org/wordpress/android/ui/mediapicker/MediaThumbnailViewUtils.kt")</f>
        <v/>
      </c>
      <c r="D2569" t="inlineStr">
        <is>
          <t>The `MediaThumbnailViewUtils` class is responsible for setting up listeners for various events on a media thumbnail view in the WordPress Android app. It takes an instance of `ImageManager` as its constructor argument and provides several methods to set up listeners for different types of events.
The `setupListeners()` method sets up listeners for various events on the</t>
        </is>
      </c>
      <c r="E2569" t="n">
        <v>0.0033</v>
      </c>
      <c r="F2569" t="n">
        <v>0.0312</v>
      </c>
      <c r="G2569" t="n">
        <v>0.0391</v>
      </c>
      <c r="H2569" t="inlineStr">
        <is>
          <t>This is a Kotlin class that provides utility methods for working with media thumbnails in the Wordpress Android app. The class has several functions that can be used to set up listeners on various views related to media thumbnails, such as `setupListeners()` which sets up listeners on an image view and other views, and `toggleSelection()` which toggles the selection</t>
        </is>
      </c>
      <c r="I2569" t="n">
        <v>0.0037</v>
      </c>
      <c r="J2569" t="n">
        <v>0.0896</v>
      </c>
      <c r="K2569" t="n">
        <v>0.1145</v>
      </c>
      <c r="L2569" t="inlineStr">
        <is>
          <t>The `MediaThumbnailViewUtils` class is responsible for setting up listeners for various actions related to media thumbnails in the WordPress Android app. It takes an instance of `ImageManager` as a constructor argument and provides several methods for setting up listeners for different types of actions.
The main purpose of this class seems to be to provide a centralized place for handling</t>
        </is>
      </c>
      <c r="M2569" t="n">
        <v>0.003</v>
      </c>
      <c r="N2569" t="n">
        <v>0.0294</v>
      </c>
      <c r="O2569" t="n">
        <v>0.07580000000000001</v>
      </c>
    </row>
    <row r="2570">
      <c r="A2570" t="inlineStr">
        <is>
          <t>wordpress</t>
        </is>
      </c>
      <c r="B2570" t="inlineStr">
        <is>
          <t>WordPress/src/main/java/org/wordpress/android/ui/mediapicker/MediaPickerFragment.kt</t>
        </is>
      </c>
      <c r="C2570">
        <f>HYPERLINK("https://github.com/wordpress-mobile/WordPress-Android/blob/master/WordPress/src/main/java/org/wordpress/android/ui/mediapicker/MediaPickerFragment.kt")</f>
        <v/>
      </c>
      <c r="D2570" t="inlineStr">
        <is>
          <t>This is a Java Android application that provides a media picker feature. It uses the `AndroidX` library for UI components and the `Kotlin` programming language for implementing the logic. The app allows users to select images or videos from their device storage and display them in a grid view using a `RecyclerView`. The user can also search for specific files by typing in a search query.</t>
        </is>
      </c>
      <c r="E2570" t="n">
        <v>0.0036</v>
      </c>
      <c r="F2570" t="n">
        <v>0.08110000000000001</v>
      </c>
      <c r="G2570" t="n">
        <v>0.1812</v>
      </c>
      <c r="H2570" t="inlineStr">
        <is>
          <t>This is a Java Android application that uses the WordPress API to fetch media files from a remote server and display them in a grid layout using RecyclerView. The app has a search bar and filter options for searching and filtering through the media files based on their title or description. It also allows users to select multiple items and delete them at once. The app uses Kotlin language and AndroidX libraries</t>
        </is>
      </c>
      <c r="I2570" t="n">
        <v>0.003</v>
      </c>
      <c r="J2570" t="n">
        <v>0.05</v>
      </c>
      <c r="K2570" t="n">
        <v>0.1042</v>
      </c>
      <c r="L2570" t="inlineStr">
        <is>
          <t>The provided code is part of an Android application that allows users to select media files (images, videos, audio) from their device's storage. It uses the `MediaStore` API to access the device's media library and displays the selected items in a grid view using a `RecyclerView`. The user can search for specific media types or filter by date created, size, etc.</t>
        </is>
      </c>
      <c r="M2570" t="n">
        <v>0.003</v>
      </c>
      <c r="N2570" t="n">
        <v>0.0282</v>
      </c>
      <c r="O2570" t="n">
        <v>0.0752</v>
      </c>
    </row>
    <row r="2571">
      <c r="A2571" t="inlineStr">
        <is>
          <t>wordpress</t>
        </is>
      </c>
      <c r="B2571" t="inlineStr">
        <is>
          <t>WordPress/src/main/java/org/wordpress/android/ui/mediapicker/FileThumbnailViewHolder.kt</t>
        </is>
      </c>
      <c r="C2571">
        <f>HYPERLINK("https://github.com/wordpress-mobile/WordPress-Android/blob/master/WordPress/src/main/java/org/wordpress/android/ui/mediapicker/FileThumbnailViewHolder.kt")</f>
        <v/>
      </c>
      <c r="D2571" t="inlineStr">
        <is>
          <t>This code defines a `FileThumbnailViewHolder` class that extends a `ThumbnailViewHolder` class. It inflates a layout with a file thumbnail view and displays information about the file, such as its name and type. The class also has methods to bind data to the view holder and handle selection changes.</t>
        </is>
      </c>
      <c r="E2571" t="n">
        <v>0.0045</v>
      </c>
      <c r="F2571" t="n">
        <v>0.07140000000000001</v>
      </c>
      <c r="G2571" t="n">
        <v>0.0833</v>
      </c>
      <c r="H2571" t="inlineStr">
        <is>
          <t>This Java class `FileThumbnailViewHolder` extends `ThumbnailViewHolder`, which is a custom view holder for displaying thumbnails in a grid layout. The class has several member variables that represent different UI elements, such as an image view, text views, and a container view.
The constructor takes a parent view group and a media thumbnail view utils object as parameters. It</t>
        </is>
      </c>
      <c r="I2571" t="n">
        <v>0.0037</v>
      </c>
      <c r="J2571" t="n">
        <v>0.0606</v>
      </c>
      <c r="K2571" t="n">
        <v>0.0769</v>
      </c>
      <c r="L2571" t="inlineStr">
        <is>
          <t>The provided code defines a custom view holder for displaying files in a media picker interface. It inflates a layout that includes an image thumbnail, file type label, file name label, and selection count text view. When bound to a file item object, it sets the image thumbnail, file type, and file name labels based on the item's properties, as well as animating</t>
        </is>
      </c>
      <c r="M2571" t="n">
        <v>0.0029</v>
      </c>
      <c r="N2571" t="n">
        <v>0.0278</v>
      </c>
      <c r="O2571" t="n">
        <v>0.037</v>
      </c>
    </row>
    <row r="2572">
      <c r="A2572" t="inlineStr">
        <is>
          <t>wordpress</t>
        </is>
      </c>
      <c r="B2572" t="inlineStr">
        <is>
          <t>WordPress/src/main/java/org/wordpress/android/ui/mediapicker/MediaPickerAdapterDiffCallback.kt</t>
        </is>
      </c>
      <c r="C2572">
        <f>HYPERLINK("https://github.com/wordpress-mobile/WordPress-Android/blob/master/WordPress/src/main/java/org/wordpress/android/ui/mediapicker/MediaPickerAdapterDiffCallback.kt")</f>
        <v/>
      </c>
      <c r="D2572" t="inlineStr">
        <is>
          <t>This is a Kotlin class that implements the `DiffUtil` interface to compare two lists of items in order to detect changes between them. The class takes two parameters: `oldItems`, which represents the previous list of items, and `updatedItems`, which represents the current list of items. It then overrides several methods from the `DiffUtil.Callback` interface, including `getOld</t>
        </is>
      </c>
      <c r="E2572" t="n">
        <v>0.0043</v>
      </c>
      <c r="F2572" t="n">
        <v>0.09229999999999999</v>
      </c>
      <c r="G2572" t="n">
        <v>0.1172</v>
      </c>
      <c r="H2572" t="inlineStr">
        <is>
          <t>This is a Kotlin class that implements the `DiffUtil` interface to compare two lists of `MediaPickerUiItem` objects and determine which items have been added, removed, or changed between them. The class takes two parameters in its constructor: `oldItems`, a list of `MediaPickerUiItem` objects representing the previous state of the data, and `updatedItems`,</t>
        </is>
      </c>
      <c r="I2572" t="n">
        <v>0.0046</v>
      </c>
      <c r="J2572" t="n">
        <v>0.1</v>
      </c>
      <c r="K2572" t="n">
        <v>0.121</v>
      </c>
      <c r="L2572" t="inlineStr">
        <is>
          <t>The `MediaPickerAdapterDiffCallback` class is responsible for comparing two lists of media items (e.g., photos, videos, files) and determining whether they have changed. It uses the `DiffUtil` library to perform the comparison and returns a list of changes between the two lists.
The class takes two arguments: `oldItems`, which represents the current state of the</t>
        </is>
      </c>
      <c r="M2572" t="n">
        <v>0.0034</v>
      </c>
      <c r="N2572" t="n">
        <v>0.0317</v>
      </c>
      <c r="O2572" t="n">
        <v>0.0794</v>
      </c>
    </row>
    <row r="2573">
      <c r="A2573" t="inlineStr">
        <is>
          <t>wordpress</t>
        </is>
      </c>
      <c r="B2573" t="inlineStr">
        <is>
          <t>WordPress/src/main/java/org/wordpress/android/ui/mediapicker/LoaderViewHolder.kt</t>
        </is>
      </c>
      <c r="C2573">
        <f>HYPERLINK("https://github.com/wordpress-mobile/WordPress-Android/blob/master/WordPress/src/main/java/org/wordpress/android/ui/mediapicker/LoaderViewHolder.kt")</f>
        <v/>
      </c>
      <c r="D2573" t="inlineStr">
        <is>
          <t>The provided code is a part of a WordPress Android app's media picker feature. It defines a custom view holder class for displaying loading indicators in a recycler view when more content needs to be loaded from the server.
The `LoaderViewHolder` class extends the `ThumbnailViewHolder` class and inflates a layout with two buttons - one for showing a progress bar while</t>
        </is>
      </c>
      <c r="E2573" t="n">
        <v>0.003</v>
      </c>
      <c r="F2573" t="n">
        <v>0.029</v>
      </c>
      <c r="G2573" t="n">
        <v>0.0752</v>
      </c>
      <c r="H2573" t="inlineStr">
        <is>
          <t>This is a Kotlin file that defines a class called `LoaderViewHolder` in the `org.wordpress.android.ui.mediapicker` package. The class extends another class called `ThumbnailViewHolder`, which is also defined in this same package.
The `LoaderViewHolder` class has one constructor that takes a single argument of type `ViewGroup`. It then sets up some views</t>
        </is>
      </c>
      <c r="I2573" t="n">
        <v>0.0037</v>
      </c>
      <c r="J2573" t="n">
        <v>0.0323</v>
      </c>
      <c r="K2573" t="n">
        <v>0.041</v>
      </c>
      <c r="L2573" t="inlineStr">
        <is>
          <t>The provided code is part of a media picker app for Android devices. It defines a custom view holder class called "LoaderViewHolder" that inflates a layout file containing a progress bar and a button. The class has a single method named "bind()" which takes a "MediaPickerUiItem.NextPageLoader" object as input and sets up the view accordingly based on whether the loader</t>
        </is>
      </c>
      <c r="M2573" t="n">
        <v>0.003</v>
      </c>
      <c r="N2573" t="n">
        <v>0.029</v>
      </c>
      <c r="O2573" t="n">
        <v>0.07580000000000001</v>
      </c>
    </row>
    <row r="2574">
      <c r="A2574" t="inlineStr">
        <is>
          <t>wordpress</t>
        </is>
      </c>
      <c r="B2574" t="inlineStr">
        <is>
          <t>WordPress/src/main/java/org/wordpress/android/ui/mediapicker/MediaPickerViewModel.kt</t>
        </is>
      </c>
      <c r="C2574">
        <f>HYPERLINK("https://github.com/wordpress-mobile/WordPress-Android/blob/master/WordPress/src/main/java/org/wordpress/android/ui/mediapicker/MediaPickerViewModel.kt")</f>
        <v/>
      </c>
      <c r="D2574" t="inlineStr">
        <is>
          <t>This is a Kotlin file that defines a `MediaPicker` class with methods for selecting media items from a device's storage and displaying them in a list. The class uses the Flux architecture to manage its state and interactions with other parts of the application. It also includes support for different types of media (images, videos, audio), as well as the ability to edit and delete selected</t>
        </is>
      </c>
      <c r="E2574" t="n">
        <v>0.0033</v>
      </c>
      <c r="F2574" t="n">
        <v>0.0533</v>
      </c>
      <c r="G2574" t="n">
        <v>0.1087</v>
      </c>
      <c r="H2574" t="inlineStr">
        <is>
          <t>This is a Kotlin Android project that implements the MediaPicker feature for WordPress Android app. It uses the Flux architecture to manage state changes and communication between different parts of the application. The main functionalities of this module include:
* Displaying media items (images, videos, etc.) in a grid view
* Supporting multiple selection of media items
* Allowing users</t>
        </is>
      </c>
      <c r="I2574" t="n">
        <v>0.0043</v>
      </c>
      <c r="J2574" t="n">
        <v>0.09229999999999999</v>
      </c>
      <c r="K2574" t="n">
        <v>0.1894</v>
      </c>
      <c r="L2574" t="inlineStr">
        <is>
          <t>The provided code is part of a media picker feature for Android apps. It appears to be responsible for displaying a list of media items (images, videos, etc.) that can be selected by the user. The code uses the Flux architecture and Kotlin coroutines to handle asynchronous tasks and manage the state of the application.
The main purpose of the code seems to be to</t>
        </is>
      </c>
      <c r="M2574" t="n">
        <v>0.0028</v>
      </c>
      <c r="N2574" t="n">
        <v>0.0274</v>
      </c>
      <c r="O2574" t="n">
        <v>0.073</v>
      </c>
    </row>
    <row r="2575">
      <c r="A2575" t="inlineStr">
        <is>
          <t>wordpress</t>
        </is>
      </c>
      <c r="B2575" t="inlineStr">
        <is>
          <t>WordPress/src/main/java/org/wordpress/android/ui/mediapicker/MediaPickerActivity.kt</t>
        </is>
      </c>
      <c r="C2575">
        <f>HYPERLINK("https://github.com/wordpress-mobile/WordPress-Android/blob/master/WordPress/src/main/java/org/wordpress/android/ui/mediapicker/MediaPickerActivity.kt")</f>
        <v/>
      </c>
      <c r="D2575" t="inlineStr">
        <is>
          <t>This is a Java file that defines a class called `MediaPickerActivity` which extends `BaseAppCompatActivity`. The activity allows users to pick images from their device's media library or take a new photo using the camera app. When an image is selected, it can be edited in-place using the built-in Android Image Editor.
The activity uses the Flux architecture to</t>
        </is>
      </c>
      <c r="E2575" t="n">
        <v>0.0031</v>
      </c>
      <c r="F2575" t="n">
        <v>0.029</v>
      </c>
      <c r="G2575" t="n">
        <v>0.0769</v>
      </c>
      <c r="H2575" t="inlineStr">
        <is>
          <t>This is a Java Android project that includes a Media Picker Activity for selecting images from the device's media library or taking a new photo using the camera app. The activity uses the Flux architecture to manage state and communication between different parts of the application. It also includes a Dispatcher class that handles events and actions, a SiteModel class that represents the current site being viewed, and</t>
        </is>
      </c>
      <c r="I2575" t="n">
        <v>0.0032</v>
      </c>
      <c r="J2575" t="n">
        <v>0.0519</v>
      </c>
      <c r="K2575" t="n">
        <v>0.1071</v>
      </c>
      <c r="L2575" t="inlineStr">
        <is>
          <t>The provided code is part of a media picker activity for Android. It imports various packages and classes related to Android development, including `AndroidX` fragments, `View`, `Context`, and `Intent`. The code also defines several constants such as request codes (e.g., `MEDIA_LIBRARY`) and strings (e.g., `org.wordpress.android</t>
        </is>
      </c>
      <c r="M2575" t="n">
        <v>0.0041</v>
      </c>
      <c r="N2575" t="n">
        <v>0.0345</v>
      </c>
      <c r="O2575" t="n">
        <v>0.08550000000000001</v>
      </c>
    </row>
    <row r="2576">
      <c r="A2576" t="inlineStr">
        <is>
          <t>wordpress</t>
        </is>
      </c>
      <c r="B2576" t="inlineStr">
        <is>
          <t>WordPress/src/main/java/org/wordpress/android/ui/mediapicker/MediaPickerTracker.kt</t>
        </is>
      </c>
      <c r="C2576">
        <f>HYPERLINK("https://github.com/wordpress-mobile/WordPress-Android/blob/master/WordPress/src/main/java/org/wordpress/android/ui/mediapicker/MediaPickerTracker.kt")</f>
        <v/>
      </c>
      <c r="D2576" t="inlineStr">
        <is>
          <t>The provided code is a Kotlin file that defines a class called `MediaPicker` with several methods for handling media picking actions in WordPress Android app. It appears to be part of a larger project or application, as there are references to other files and classes within the same package (`org.wordpress.android`).
The main responsibilities of this class seem to be:</t>
        </is>
      </c>
      <c r="E2576" t="n">
        <v>0.0031</v>
      </c>
      <c r="F2576" t="n">
        <v>0.029</v>
      </c>
      <c r="G2576" t="n">
        <v>0.1145</v>
      </c>
      <c r="H2576" t="inlineStr">
        <is>
          <t>This is a Kotlin Android application that provides a media picker feature for selecting images or videos from various sources such as the device's gallery, stock library, GIF library, or WordPress Media Library. The app uses coroutines to handle asynchronous operations and tracks analytics events using the Analytics Tracker class. It also includes a preview screen for viewing selected media items before</t>
        </is>
      </c>
      <c r="I2576" t="n">
        <v>0.0035</v>
      </c>
      <c r="J2576" t="n">
        <v>0.0563</v>
      </c>
      <c r="K2576" t="n">
        <v>0.1119</v>
      </c>
      <c r="L2576" t="inlineStr">
        <is>
          <t>The provided code is part of a media picker library for Android apps. It appears to be responsible for displaying a list of images from various sources (e.g., device library, GIF library, stock library, etc.) and allowing users to select one or more images. When an image is selected, it is previewed and the user can then choose to insert it into their post.</t>
        </is>
      </c>
      <c r="M2576" t="n">
        <v>0.0028</v>
      </c>
      <c r="N2576" t="n">
        <v>0.0274</v>
      </c>
      <c r="O2576" t="n">
        <v>0.0735</v>
      </c>
    </row>
    <row r="2577">
      <c r="A2577" t="inlineStr">
        <is>
          <t>wordpress</t>
        </is>
      </c>
      <c r="B2577" t="inlineStr">
        <is>
          <t>WordPress/src/main/java/org/wordpress/android/ui/mediapicker/MediaItem.kt</t>
        </is>
      </c>
      <c r="C2577">
        <f>HYPERLINK("https://github.com/wordpress-mobile/WordPress-Android/blob/master/WordPress/src/main/java/org/wordpress/android/ui/mediapicker/MediaItem.kt")</f>
        <v/>
      </c>
      <c r="D2577" t="inlineStr">
        <is>
          <t>The `MediaItem` class is used to represent a media item in the WordPress Android app. It has several properties such as `identifier`, `url`, `name`, `type`, `mimeType`, and `dataModified`. The `identifier` property can be one of four types: `LOCAL_URI`, `REMOTE_ID`, `LOCAL_</t>
        </is>
      </c>
      <c r="E2577" t="n">
        <v>0.0046</v>
      </c>
      <c r="F2577" t="n">
        <v>0.04</v>
      </c>
      <c r="G2577" t="n">
        <v>0.0893</v>
      </c>
      <c r="H2577" t="inlineStr">
        <is>
          <t>This is a Kotlin file containing a data class named `MediaItem` that represents a media item with various properties such as an identifier, URL, name, type, MIME type, and last modified date. The `MediaItem` class also defines several enumeration values for identifying different types of identifiers used in the system, including local URIs, remote IDs, local IDs</t>
        </is>
      </c>
      <c r="I2577" t="n">
        <v>0.0038</v>
      </c>
      <c r="J2577" t="n">
        <v>0.0615</v>
      </c>
      <c r="K2577" t="n">
        <v>0.1163</v>
      </c>
      <c r="L2577" t="inlineStr">
        <is>
          <t>The provided code defines a `MediaItem` class that represents a media item used by the WordPress Android app. It includes various fields such as `identifier`, `url`, `name`, `type`, `mimeType`, and `dataModified`. The `Identifier` field can be one of four types: `LOCAL_URI`, `REMOTE_ID`, `</t>
        </is>
      </c>
      <c r="M2577" t="n">
        <v>0.0043</v>
      </c>
      <c r="N2577" t="n">
        <v>0.0385</v>
      </c>
      <c r="O2577" t="n">
        <v>0.08699999999999999</v>
      </c>
    </row>
    <row r="2578">
      <c r="A2578" t="inlineStr">
        <is>
          <t>wordpress</t>
        </is>
      </c>
      <c r="B2578" t="inlineStr">
        <is>
          <t>WordPress/src/main/java/org/wordpress/android/ui/mediapicker/ThumbnailViewHolder.kt</t>
        </is>
      </c>
      <c r="C2578">
        <f>HYPERLINK("https://github.com/wordpress-mobile/WordPress-Android/blob/master/WordPress/src/main/java/org/wordpress/android/ui/mediapicker/ThumbnailViewHolder.kt")</f>
        <v/>
      </c>
      <c r="D2578" t="inlineStr">
        <is>
          <t>This is a Kotlin file that defines a custom `ViewHolder` for use in a RecyclerView. The `ThumbnailViewHolder` class takes two parameters upon initialization: `parent`, which represents the parent view group, and `layout`, which specifies the ID of the layout to inflate. When creating an instance of this class, it uses the `LayoutInflater` from the context of the parent</t>
        </is>
      </c>
      <c r="E2578" t="n">
        <v>0.0037</v>
      </c>
      <c r="F2578" t="n">
        <v>0.0606</v>
      </c>
      <c r="G2578" t="n">
        <v>0.1154</v>
      </c>
      <c r="H2578" t="inlineStr">
        <is>
          <t>This is a Java package for Android app development that provides a RecyclerView adapter for displaying media picker items in a list. The package includes a custom view holder class called `ThumbnailViewHolder` that inflates a layout with a device thumbnail. The complexity of this code is O(N), where N is the number of items in the recycler view. The comments indicate that the code</t>
        </is>
      </c>
      <c r="I2578" t="n">
        <v>0.0028</v>
      </c>
      <c r="J2578" t="n">
        <v>0.0274</v>
      </c>
      <c r="K2578" t="n">
        <v>0.0368</v>
      </c>
      <c r="L2578" t="inlineStr">
        <is>
          <t>The provided code is part of a media picker feature for a mobile app, specifically a custom `ThumbnailViewHolder` class that extends Android's `ViewHolder` class. It inflates a view from a given XML layout resource and provides a container for displaying a device thumbnail.</t>
        </is>
      </c>
      <c r="M2578" t="n">
        <v>0.0043</v>
      </c>
      <c r="N2578" t="n">
        <v>0.0385</v>
      </c>
      <c r="O2578" t="n">
        <v>0.08699999999999999</v>
      </c>
    </row>
    <row r="2579">
      <c r="A2579" t="inlineStr">
        <is>
          <t>wordpress</t>
        </is>
      </c>
      <c r="B2579" t="inlineStr">
        <is>
          <t>WordPress/src/main/java/org/wordpress/android/ui/mediapicker/MediaPickerAdapter.kt</t>
        </is>
      </c>
      <c r="C2579">
        <f>HYPERLINK("https://github.com/wordpress-mobile/WordPress-Android/blob/master/WordPress/src/main/java/org/wordpress/android/ui/mediapicker/MediaPickerAdapter.kt")</f>
        <v/>
      </c>
      <c r="D2579" t="inlineStr">
        <is>
          <t>This is a Kotlin class that extends `Adapter` from the AndroidX RecyclerView library to display a list of media items in a user interface. The class takes two parameters upon construction: an instance of `ImageManager`, which is used for loading images asynchronously, and a `CoroutineScope`, which is used for managing background tasks.
The `MediaPickerAdapter</t>
        </is>
      </c>
      <c r="E2579" t="n">
        <v>0.004</v>
      </c>
      <c r="F2579" t="n">
        <v>0.0645</v>
      </c>
      <c r="G2579" t="n">
        <v>0.119</v>
      </c>
      <c r="H2579" t="inlineStr">
        <is>
          <t>This is a Kotlin class that implements a custom adapter for a RecyclerView in Android. The adapter takes in a list of items (either PhotoItems, VideoItems, or FileItems), which it displays as thumbnails in the RecyclerView. It also has a NextPageLoader item that allows the user to load more items when they reach the end of the current page.</t>
        </is>
      </c>
      <c r="I2579" t="n">
        <v>0.0037</v>
      </c>
      <c r="J2579" t="n">
        <v>0.0597</v>
      </c>
      <c r="K2579" t="n">
        <v>0.07630000000000001</v>
      </c>
      <c r="L2579" t="inlineStr">
        <is>
          <t>The `MediaPickerAdapter` class is responsible for displaying a list of media items (photos, videos, files) using a RecyclerView. It takes two parameters upon construction: an instance of `ImageManager`, which handles image loading and caching, and a `CoroutineScope`. The adapter's primary responsibility is to display a list of media items based on the data passed to it</t>
        </is>
      </c>
      <c r="M2579" t="n">
        <v>0.0033</v>
      </c>
      <c r="N2579" t="n">
        <v>0.0308</v>
      </c>
      <c r="O2579" t="n">
        <v>0.0781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2026-04-23T13:26:28Z</dcterms:created>
  <dcterms:modified xsi:type="dcterms:W3CDTF">2026-04-23T13:26:28Z</dcterms:modified>
</cp:coreProperties>
</file>